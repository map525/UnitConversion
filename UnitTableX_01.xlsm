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p52\Desktop\UnitConversion\"/>
    </mc:Choice>
  </mc:AlternateContent>
  <xr:revisionPtr revIDLastSave="0" documentId="13_ncr:1_{40988326-9978-4F0C-AFE7-9D10C34DD3AF}" xr6:coauthVersionLast="47" xr6:coauthVersionMax="47" xr10:uidLastSave="{00000000-0000-0000-0000-000000000000}"/>
  <bookViews>
    <workbookView xWindow="62760" yWindow="18615" windowWidth="21960" windowHeight="9780" tabRatio="883" xr2:uid="{909B8F17-A3CB-405A-9C9A-4B4C8528AD83}"/>
  </bookViews>
  <sheets>
    <sheet name="Generate" sheetId="34" r:id="rId1"/>
    <sheet name="Angle" sheetId="12" r:id="rId2"/>
    <sheet name="Computer" sheetId="14" r:id="rId3"/>
    <sheet name="Count" sheetId="17" r:id="rId4"/>
    <sheet name="Density" sheetId="19" r:id="rId5"/>
    <sheet name="EM" sheetId="18" r:id="rId6"/>
    <sheet name="Energy" sheetId="27" r:id="rId7"/>
    <sheet name="Factors" sheetId="1" r:id="rId8"/>
    <sheet name="Frequency" sheetId="15" r:id="rId9"/>
    <sheet name="Flow" sheetId="32" r:id="rId10"/>
    <sheet name="Force" sheetId="24" r:id="rId11"/>
    <sheet name="Luminosity" sheetId="23" r:id="rId12"/>
    <sheet name="Molarity" sheetId="31" r:id="rId13"/>
    <sheet name="Power" sheetId="28" r:id="rId14"/>
    <sheet name="Pressure" sheetId="26" r:id="rId15"/>
    <sheet name="Radiation" sheetId="25" r:id="rId16"/>
    <sheet name="SpecificDensity" sheetId="29" r:id="rId17"/>
    <sheet name="Temperature" sheetId="16" r:id="rId18"/>
    <sheet name="Time" sheetId="13" r:id="rId19"/>
    <sheet name="VelAccJrk" sheetId="20" r:id="rId20"/>
    <sheet name="Viscosity" sheetId="21" r:id="rId21"/>
    <sheet name="Wavenumber" sheetId="30" r:id="rId22"/>
    <sheet name="Systems" sheetId="6" r:id="rId23"/>
    <sheet name="Derived Units" sheetId="3" r:id="rId24"/>
    <sheet name="Physical Constants" sheetId="7" r:id="rId25"/>
    <sheet name="Physical Definitions" sheetId="8" r:id="rId26"/>
    <sheet name="Physical Measurements" sheetId="9" r:id="rId27"/>
    <sheet name="SI" sheetId="2" r:id="rId28"/>
    <sheet name="WGS84 Model" sheetId="33" r:id="rId29"/>
    <sheet name="Binary" sheetId="5" r:id="rId30"/>
    <sheet name="Prefixes" sheetId="4" r:id="rId31"/>
    <sheet name="Units" sheetId="35" r:id="rId32"/>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8" i="6" l="1"/>
  <c r="P8" i="6"/>
  <c r="L6" i="6"/>
  <c r="D194" i="6"/>
  <c r="M205" i="6"/>
  <c r="M204" i="6"/>
  <c r="T194" i="6"/>
  <c r="T193" i="6"/>
  <c r="F4419" i="1"/>
  <c r="F4444" i="1"/>
  <c r="F4464" i="1"/>
  <c r="D10" i="6"/>
  <c r="F4462" i="1"/>
  <c r="F4225" i="1"/>
  <c r="F4200" i="1"/>
  <c r="F4154" i="1"/>
  <c r="D7" i="6"/>
  <c r="F3447" i="1"/>
  <c r="H197" i="6"/>
  <c r="E227" i="1"/>
  <c r="E2" i="12"/>
  <c r="F2346" i="1"/>
  <c r="E2346" i="1" s="1"/>
  <c r="F59" i="1"/>
  <c r="E59" i="1" s="1"/>
  <c r="F58" i="1"/>
  <c r="E58" i="1" s="1"/>
  <c r="F56" i="1"/>
  <c r="F55" i="1"/>
  <c r="F623" i="1"/>
  <c r="E623" i="1" s="1"/>
  <c r="F622" i="1"/>
  <c r="E622" i="1" s="1"/>
  <c r="F621" i="1"/>
  <c r="E621" i="1" s="1"/>
  <c r="F620" i="1"/>
  <c r="E620" i="1" s="1"/>
  <c r="F619" i="1"/>
  <c r="E619" i="1" s="1"/>
  <c r="F618" i="1"/>
  <c r="E618" i="1" s="1"/>
  <c r="F617" i="1"/>
  <c r="E617" i="1" s="1"/>
  <c r="F616" i="1"/>
  <c r="E616" i="1" s="1"/>
  <c r="F615" i="1"/>
  <c r="E615" i="1" s="1"/>
  <c r="F614" i="1"/>
  <c r="E614" i="1" s="1"/>
  <c r="F613" i="1"/>
  <c r="E613" i="1" s="1"/>
  <c r="F612" i="1"/>
  <c r="E612" i="1" s="1"/>
  <c r="F611" i="1"/>
  <c r="E611" i="1" s="1"/>
  <c r="F610" i="1"/>
  <c r="E610" i="1" s="1"/>
  <c r="F609" i="1"/>
  <c r="E609" i="1" s="1"/>
  <c r="F608" i="1"/>
  <c r="E608" i="1" s="1"/>
  <c r="F607" i="1"/>
  <c r="E607" i="1" s="1"/>
  <c r="F606" i="1"/>
  <c r="E606" i="1" s="1"/>
  <c r="F605" i="1"/>
  <c r="E605" i="1" s="1"/>
  <c r="F604" i="1"/>
  <c r="E604" i="1" s="1"/>
  <c r="F603" i="1"/>
  <c r="E603" i="1" s="1"/>
  <c r="F602" i="1"/>
  <c r="E602" i="1" s="1"/>
  <c r="F601" i="1"/>
  <c r="E601" i="1" s="1"/>
  <c r="F600" i="1"/>
  <c r="E600" i="1" s="1"/>
  <c r="F599" i="1"/>
  <c r="E599" i="1" s="1"/>
  <c r="F598" i="1"/>
  <c r="E598" i="1" s="1"/>
  <c r="F597" i="1"/>
  <c r="E597" i="1" s="1"/>
  <c r="F596" i="1"/>
  <c r="E596" i="1" s="1"/>
  <c r="F595" i="1"/>
  <c r="E595" i="1" s="1"/>
  <c r="F594" i="1"/>
  <c r="E594" i="1" s="1"/>
  <c r="F593" i="1"/>
  <c r="E593" i="1" s="1"/>
  <c r="F592" i="1"/>
  <c r="E592" i="1" s="1"/>
  <c r="F591" i="1"/>
  <c r="E591" i="1" s="1"/>
  <c r="F590" i="1"/>
  <c r="E590" i="1" s="1"/>
  <c r="F589" i="1"/>
  <c r="E589" i="1" s="1"/>
  <c r="F588" i="1"/>
  <c r="E588" i="1" s="1"/>
  <c r="F587" i="1"/>
  <c r="E587" i="1" s="1"/>
  <c r="F586" i="1"/>
  <c r="E586" i="1" s="1"/>
  <c r="F585" i="1"/>
  <c r="E585" i="1" s="1"/>
  <c r="F584" i="1"/>
  <c r="E584" i="1" s="1"/>
  <c r="F583" i="1"/>
  <c r="E583" i="1" s="1"/>
  <c r="F582" i="1"/>
  <c r="E582" i="1" s="1"/>
  <c r="F581" i="1"/>
  <c r="E581" i="1" s="1"/>
  <c r="F580" i="1"/>
  <c r="E580" i="1" s="1"/>
  <c r="F3716" i="1"/>
  <c r="E3716" i="1" s="1"/>
  <c r="F3715" i="1"/>
  <c r="E3715" i="1" s="1"/>
  <c r="F3714" i="1"/>
  <c r="E3714" i="1" s="1"/>
  <c r="F3713" i="1"/>
  <c r="E3713" i="1" s="1"/>
  <c r="F3712" i="1"/>
  <c r="E3712" i="1" s="1"/>
  <c r="F3711" i="1"/>
  <c r="E3711" i="1" s="1"/>
  <c r="F3710" i="1"/>
  <c r="E3710" i="1" s="1"/>
  <c r="F3709" i="1"/>
  <c r="E3709" i="1" s="1"/>
  <c r="F3708" i="1"/>
  <c r="E3708" i="1" s="1"/>
  <c r="F3707" i="1"/>
  <c r="E3707" i="1" s="1"/>
  <c r="F3706" i="1"/>
  <c r="E3706" i="1" s="1"/>
  <c r="F3705" i="1"/>
  <c r="E3705" i="1" s="1"/>
  <c r="F3704" i="1"/>
  <c r="E3704" i="1" s="1"/>
  <c r="F3703" i="1"/>
  <c r="E3703" i="1" s="1"/>
  <c r="F3702" i="1"/>
  <c r="E3702" i="1" s="1"/>
  <c r="F3701" i="1"/>
  <c r="E3701" i="1" s="1"/>
  <c r="F3700" i="1"/>
  <c r="E3700" i="1" s="1"/>
  <c r="F3699" i="1"/>
  <c r="E3699" i="1" s="1"/>
  <c r="F3698" i="1"/>
  <c r="E3698" i="1" s="1"/>
  <c r="F3697" i="1"/>
  <c r="E3697" i="1" s="1"/>
  <c r="F3696" i="1"/>
  <c r="E3696" i="1" s="1"/>
  <c r="F3695" i="1"/>
  <c r="E3695" i="1" s="1"/>
  <c r="F3694" i="1"/>
  <c r="E3694" i="1" s="1"/>
  <c r="F3693" i="1"/>
  <c r="E3693" i="1" s="1"/>
  <c r="F3692" i="1"/>
  <c r="E3692" i="1" s="1"/>
  <c r="F3691" i="1"/>
  <c r="E3691" i="1" s="1"/>
  <c r="T208" i="6"/>
  <c r="P208" i="6"/>
  <c r="M208" i="6"/>
  <c r="L208" i="6" s="1"/>
  <c r="M207" i="6"/>
  <c r="H208" i="6"/>
  <c r="D208" i="6"/>
  <c r="E208" i="6"/>
  <c r="E207" i="6"/>
  <c r="I208" i="6"/>
  <c r="I206" i="6"/>
  <c r="Q208" i="6"/>
  <c r="Q206" i="6"/>
  <c r="P206" i="6" s="1"/>
  <c r="U208" i="6"/>
  <c r="U207" i="6"/>
  <c r="T206" i="6"/>
  <c r="L206" i="6"/>
  <c r="H206" i="6"/>
  <c r="D206" i="6"/>
  <c r="F3990" i="1"/>
  <c r="E3990" i="1" s="1"/>
  <c r="F3985" i="1"/>
  <c r="E3985" i="1" s="1"/>
  <c r="F3984" i="1"/>
  <c r="E3984" i="1" s="1"/>
  <c r="F3983" i="1"/>
  <c r="E3983" i="1" s="1"/>
  <c r="F3982" i="1"/>
  <c r="E3982" i="1" s="1"/>
  <c r="F3981" i="1"/>
  <c r="E3981" i="1" s="1"/>
  <c r="F3980" i="1"/>
  <c r="E3980" i="1" s="1"/>
  <c r="F3979" i="1"/>
  <c r="E3979" i="1" s="1"/>
  <c r="F3970" i="1"/>
  <c r="E3970" i="1" s="1"/>
  <c r="F3966" i="1"/>
  <c r="E3966" i="1" s="1"/>
  <c r="F3962" i="1"/>
  <c r="E3962" i="1" s="1"/>
  <c r="F3958" i="1"/>
  <c r="E3958" i="1" s="1"/>
  <c r="P207" i="6"/>
  <c r="U206" i="6"/>
  <c r="U204" i="6"/>
  <c r="Q207" i="6"/>
  <c r="Q204" i="6"/>
  <c r="L207" i="6"/>
  <c r="F3989" i="1" s="1"/>
  <c r="E3989" i="1" s="1"/>
  <c r="M206" i="6"/>
  <c r="E206" i="6"/>
  <c r="E203" i="6"/>
  <c r="I205" i="6"/>
  <c r="H207" i="6"/>
  <c r="F3977" i="1" s="1"/>
  <c r="E3977" i="1" s="1"/>
  <c r="I207" i="6"/>
  <c r="D207" i="6"/>
  <c r="F3969" i="1" s="1"/>
  <c r="E3969" i="1" s="1"/>
  <c r="E204" i="6"/>
  <c r="F3991" i="1" l="1"/>
  <c r="E3991" i="1" s="1"/>
  <c r="F3992" i="1"/>
  <c r="E3992" i="1" s="1"/>
  <c r="F3986" i="1"/>
  <c r="E3986" i="1" s="1"/>
  <c r="T207" i="6"/>
  <c r="F3978" i="1" s="1"/>
  <c r="E3978" i="1" s="1"/>
  <c r="F3987" i="1"/>
  <c r="E3987" i="1" s="1"/>
  <c r="F3988" i="1"/>
  <c r="E3988" i="1" s="1"/>
  <c r="F3972" i="1"/>
  <c r="E3972" i="1" s="1"/>
  <c r="F3973" i="1"/>
  <c r="E3973" i="1" s="1"/>
  <c r="F3963" i="1"/>
  <c r="E3963" i="1" s="1"/>
  <c r="F3971" i="1"/>
  <c r="E3971" i="1" s="1"/>
  <c r="F3964" i="1"/>
  <c r="E3964" i="1" s="1"/>
  <c r="F3965" i="1"/>
  <c r="E3965" i="1" s="1"/>
  <c r="F3974" i="1"/>
  <c r="E3974" i="1" s="1"/>
  <c r="F3975" i="1"/>
  <c r="E3975" i="1" s="1"/>
  <c r="F3959" i="1"/>
  <c r="E3959" i="1" s="1"/>
  <c r="F3967" i="1"/>
  <c r="E3967" i="1" s="1"/>
  <c r="F3976" i="1"/>
  <c r="E3976" i="1" s="1"/>
  <c r="F3960" i="1"/>
  <c r="E3960" i="1" s="1"/>
  <c r="F3968" i="1"/>
  <c r="E3968" i="1" s="1"/>
  <c r="F3961" i="1"/>
  <c r="E3961" i="1" s="1"/>
  <c r="L205" i="6" l="1"/>
  <c r="F2635" i="1" s="1"/>
  <c r="E2635" i="1" s="1"/>
  <c r="F2629" i="1"/>
  <c r="E2629" i="1" s="1"/>
  <c r="F2628" i="1"/>
  <c r="E2628" i="1" s="1"/>
  <c r="F2627" i="1"/>
  <c r="E2627" i="1" s="1"/>
  <c r="F2625" i="1"/>
  <c r="E2625" i="1" s="1"/>
  <c r="F2621" i="1"/>
  <c r="E2621" i="1" s="1"/>
  <c r="F2622" i="1"/>
  <c r="E2622" i="1" s="1"/>
  <c r="H205" i="6"/>
  <c r="F2624" i="1" s="1"/>
  <c r="E2624" i="1" s="1"/>
  <c r="I204" i="6"/>
  <c r="H204" i="6"/>
  <c r="F2619" i="1" s="1"/>
  <c r="E2619" i="1" s="1"/>
  <c r="F2620" i="1"/>
  <c r="E2620" i="1" s="1"/>
  <c r="F2618" i="1"/>
  <c r="E2618" i="1" s="1"/>
  <c r="L204" i="6"/>
  <c r="U202" i="6"/>
  <c r="P204" i="6"/>
  <c r="F2630" i="1" s="1"/>
  <c r="E2630" i="1" s="1"/>
  <c r="Q202" i="6"/>
  <c r="M202" i="6"/>
  <c r="L202" i="6" s="1"/>
  <c r="I202" i="6"/>
  <c r="D204" i="6"/>
  <c r="F2616" i="1" s="1"/>
  <c r="E2616" i="1" s="1"/>
  <c r="E202" i="6"/>
  <c r="D203" i="6"/>
  <c r="F3888" i="1" s="1"/>
  <c r="E3888" i="1" s="1"/>
  <c r="F3948" i="1"/>
  <c r="E3948" i="1" s="1"/>
  <c r="F3947" i="1"/>
  <c r="E3947" i="1" s="1"/>
  <c r="F3946" i="1"/>
  <c r="E3946" i="1" s="1"/>
  <c r="F3945" i="1"/>
  <c r="E3945" i="1" s="1"/>
  <c r="F3944" i="1"/>
  <c r="E3944" i="1" s="1"/>
  <c r="F3943" i="1"/>
  <c r="E3943" i="1" s="1"/>
  <c r="F3942" i="1"/>
  <c r="E3942" i="1" s="1"/>
  <c r="F3941" i="1"/>
  <c r="E3941" i="1" s="1"/>
  <c r="F3940" i="1"/>
  <c r="E3940" i="1" s="1"/>
  <c r="F3939" i="1"/>
  <c r="E3939" i="1" s="1"/>
  <c r="F3938" i="1"/>
  <c r="E3938" i="1" s="1"/>
  <c r="F3937" i="1"/>
  <c r="E3937" i="1" s="1"/>
  <c r="F3936" i="1"/>
  <c r="E3936" i="1" s="1"/>
  <c r="F3935" i="1"/>
  <c r="E3935" i="1" s="1"/>
  <c r="F3934" i="1"/>
  <c r="E3934" i="1" s="1"/>
  <c r="F3933" i="1"/>
  <c r="E3933" i="1" s="1"/>
  <c r="F3932" i="1"/>
  <c r="E3932" i="1" s="1"/>
  <c r="F3931" i="1"/>
  <c r="E3931" i="1" s="1"/>
  <c r="F3930" i="1"/>
  <c r="E3930" i="1" s="1"/>
  <c r="F3929" i="1"/>
  <c r="E3929" i="1" s="1"/>
  <c r="F3928" i="1"/>
  <c r="E3928" i="1" s="1"/>
  <c r="F3927" i="1"/>
  <c r="E3927" i="1" s="1"/>
  <c r="F3926" i="1"/>
  <c r="E3926" i="1" s="1"/>
  <c r="F3925" i="1"/>
  <c r="E3925" i="1" s="1"/>
  <c r="F3924" i="1"/>
  <c r="E3924" i="1" s="1"/>
  <c r="F3923" i="1"/>
  <c r="E3923" i="1" s="1"/>
  <c r="F3922" i="1"/>
  <c r="E3922" i="1" s="1"/>
  <c r="F3921" i="1"/>
  <c r="E3921" i="1" s="1"/>
  <c r="F3920" i="1"/>
  <c r="E3920" i="1" s="1"/>
  <c r="F3919" i="1"/>
  <c r="E3919" i="1" s="1"/>
  <c r="F3918" i="1"/>
  <c r="E3918" i="1" s="1"/>
  <c r="F3917" i="1"/>
  <c r="E3917" i="1" s="1"/>
  <c r="F3916" i="1"/>
  <c r="E3916" i="1" s="1"/>
  <c r="F3915" i="1"/>
  <c r="E3915" i="1" s="1"/>
  <c r="F3914" i="1"/>
  <c r="E3914" i="1" s="1"/>
  <c r="F3913" i="1"/>
  <c r="E3913" i="1" s="1"/>
  <c r="F3912" i="1"/>
  <c r="E3912" i="1" s="1"/>
  <c r="F3911" i="1"/>
  <c r="E3911" i="1" s="1"/>
  <c r="F3910" i="1"/>
  <c r="E3910" i="1" s="1"/>
  <c r="F3909" i="1"/>
  <c r="E3909" i="1" s="1"/>
  <c r="F3908" i="1"/>
  <c r="E3908" i="1" s="1"/>
  <c r="F3907" i="1"/>
  <c r="E3907" i="1" s="1"/>
  <c r="F3906" i="1"/>
  <c r="E3906" i="1" s="1"/>
  <c r="F3905" i="1"/>
  <c r="E3905" i="1" s="1"/>
  <c r="F3904" i="1"/>
  <c r="E3904" i="1" s="1"/>
  <c r="F3903" i="1"/>
  <c r="E3903" i="1" s="1"/>
  <c r="F3902" i="1"/>
  <c r="E3902" i="1" s="1"/>
  <c r="F3901" i="1"/>
  <c r="E3901" i="1" s="1"/>
  <c r="F3900" i="1"/>
  <c r="E3900" i="1" s="1"/>
  <c r="F3899" i="1"/>
  <c r="E3899" i="1" s="1"/>
  <c r="F3898" i="1"/>
  <c r="E3898" i="1" s="1"/>
  <c r="F3897" i="1"/>
  <c r="E3897" i="1" s="1"/>
  <c r="F3896" i="1"/>
  <c r="E3896" i="1" s="1"/>
  <c r="F3895" i="1"/>
  <c r="E3895" i="1" s="1"/>
  <c r="F3894" i="1"/>
  <c r="E3894" i="1" s="1"/>
  <c r="F3893" i="1"/>
  <c r="E3893" i="1" s="1"/>
  <c r="F3890" i="1"/>
  <c r="E3890" i="1" s="1"/>
  <c r="F3889" i="1"/>
  <c r="E3889" i="1" s="1"/>
  <c r="F3885" i="1"/>
  <c r="E3885" i="1" s="1"/>
  <c r="F3884" i="1"/>
  <c r="E3884" i="1" s="1"/>
  <c r="F3883" i="1"/>
  <c r="E3883" i="1" s="1"/>
  <c r="F3882" i="1"/>
  <c r="E3882" i="1" s="1"/>
  <c r="F3881" i="1"/>
  <c r="E3881" i="1" s="1"/>
  <c r="F3880" i="1"/>
  <c r="E3880" i="1" s="1"/>
  <c r="F3879" i="1"/>
  <c r="E3879" i="1" s="1"/>
  <c r="F3878" i="1"/>
  <c r="E3878" i="1" s="1"/>
  <c r="F3877" i="1"/>
  <c r="E3877" i="1" s="1"/>
  <c r="F3891" i="1"/>
  <c r="E3891" i="1" s="1"/>
  <c r="T203" i="6"/>
  <c r="P203" i="6"/>
  <c r="L203" i="6"/>
  <c r="H203" i="6"/>
  <c r="M203" i="6"/>
  <c r="M201" i="6"/>
  <c r="L201" i="6" s="1"/>
  <c r="Q203" i="6"/>
  <c r="U203" i="6"/>
  <c r="U201" i="6"/>
  <c r="E200" i="6"/>
  <c r="I203" i="6"/>
  <c r="I201" i="6"/>
  <c r="F3865" i="1"/>
  <c r="E3865" i="1" s="1"/>
  <c r="F3861" i="1"/>
  <c r="E3861" i="1" s="1"/>
  <c r="F3860" i="1"/>
  <c r="E3860" i="1" s="1"/>
  <c r="F3859" i="1"/>
  <c r="E3859" i="1" s="1"/>
  <c r="F3858" i="1"/>
  <c r="E3858" i="1" s="1"/>
  <c r="T202" i="6"/>
  <c r="F3867" i="1" s="1"/>
  <c r="E3867" i="1" s="1"/>
  <c r="P202" i="6"/>
  <c r="F3868" i="1" s="1"/>
  <c r="E3868" i="1" s="1"/>
  <c r="U200" i="6"/>
  <c r="Q200" i="6"/>
  <c r="M200" i="6"/>
  <c r="H202" i="6"/>
  <c r="F3864" i="1" s="1"/>
  <c r="E3864" i="1" s="1"/>
  <c r="I200" i="6"/>
  <c r="D202" i="6"/>
  <c r="E201" i="6"/>
  <c r="D201" i="6" s="1"/>
  <c r="F3543" i="1"/>
  <c r="E3543" i="1" s="1"/>
  <c r="F3542" i="1"/>
  <c r="E3542" i="1" s="1"/>
  <c r="F3541" i="1"/>
  <c r="E3541" i="1" s="1"/>
  <c r="F3540" i="1"/>
  <c r="E3540" i="1" s="1"/>
  <c r="F3539" i="1"/>
  <c r="E3539" i="1" s="1"/>
  <c r="F3538" i="1"/>
  <c r="E3538" i="1" s="1"/>
  <c r="L5" i="6"/>
  <c r="E199" i="6"/>
  <c r="I199" i="6"/>
  <c r="Q201" i="6"/>
  <c r="P200" i="6"/>
  <c r="F2696" i="1" s="1"/>
  <c r="E2696" i="1" s="1"/>
  <c r="F2707" i="1"/>
  <c r="E2707" i="1" s="1"/>
  <c r="F2706" i="1"/>
  <c r="E2706" i="1" s="1"/>
  <c r="F1924" i="1"/>
  <c r="F1895" i="1"/>
  <c r="F1896" i="1"/>
  <c r="F1893" i="1"/>
  <c r="F1892" i="1"/>
  <c r="F1890" i="1"/>
  <c r="F1889" i="1"/>
  <c r="F1888" i="1"/>
  <c r="F1887" i="1"/>
  <c r="F1886" i="1"/>
  <c r="F1885" i="1"/>
  <c r="F1884" i="1"/>
  <c r="F1883" i="1"/>
  <c r="F1882" i="1"/>
  <c r="F1881" i="1"/>
  <c r="F1880" i="1"/>
  <c r="F1879" i="1"/>
  <c r="F1877" i="1"/>
  <c r="F1876" i="1"/>
  <c r="F1875" i="1"/>
  <c r="F1874" i="1"/>
  <c r="F1873" i="1"/>
  <c r="F1872" i="1"/>
  <c r="F1871" i="1"/>
  <c r="F1870" i="1"/>
  <c r="F1869" i="1"/>
  <c r="F1868" i="1"/>
  <c r="F1867" i="1"/>
  <c r="F1866" i="1"/>
  <c r="F1865" i="1"/>
  <c r="F1864" i="1"/>
  <c r="F1863" i="1"/>
  <c r="F1862" i="1"/>
  <c r="F1860" i="1"/>
  <c r="F1859" i="1"/>
  <c r="F1858" i="1"/>
  <c r="F1856" i="1"/>
  <c r="F1855" i="1"/>
  <c r="F1854" i="1"/>
  <c r="F1853" i="1"/>
  <c r="F1852" i="1"/>
  <c r="F1851" i="1"/>
  <c r="F1850" i="1"/>
  <c r="F1849" i="1"/>
  <c r="F1848" i="1"/>
  <c r="F1847" i="1"/>
  <c r="F1846" i="1"/>
  <c r="F1845" i="1"/>
  <c r="F1844" i="1"/>
  <c r="F1843" i="1"/>
  <c r="F1842" i="1"/>
  <c r="F1841" i="1"/>
  <c r="F1840" i="1"/>
  <c r="F1839" i="1"/>
  <c r="F1837" i="1"/>
  <c r="F1836" i="1"/>
  <c r="F1835" i="1"/>
  <c r="F1834" i="1"/>
  <c r="F1833" i="1"/>
  <c r="F1832" i="1"/>
  <c r="F1831" i="1"/>
  <c r="F1830" i="1"/>
  <c r="F1829" i="1"/>
  <c r="F1828" i="1"/>
  <c r="F1827" i="1"/>
  <c r="F1825" i="1"/>
  <c r="F1824" i="1"/>
  <c r="F1823" i="1"/>
  <c r="F1822" i="1"/>
  <c r="F1821" i="1"/>
  <c r="F1820" i="1"/>
  <c r="F1818" i="1"/>
  <c r="F1817" i="1"/>
  <c r="F1816" i="1"/>
  <c r="F1815" i="1"/>
  <c r="F1814" i="1"/>
  <c r="F1813" i="1"/>
  <c r="F1812" i="1"/>
  <c r="F1811" i="1"/>
  <c r="F1810" i="1"/>
  <c r="F1809" i="1"/>
  <c r="F1808" i="1"/>
  <c r="F1807" i="1"/>
  <c r="F1806" i="1"/>
  <c r="F1805" i="1"/>
  <c r="F1804" i="1"/>
  <c r="F1803" i="1"/>
  <c r="F1802" i="1"/>
  <c r="F1801" i="1"/>
  <c r="F1800" i="1"/>
  <c r="F1799" i="1"/>
  <c r="F1798" i="1"/>
  <c r="F1797" i="1"/>
  <c r="T22" i="6"/>
  <c r="T6" i="6"/>
  <c r="U22" i="6"/>
  <c r="U18" i="6"/>
  <c r="P22" i="6"/>
  <c r="P6" i="6"/>
  <c r="Q22" i="6"/>
  <c r="Q18" i="6"/>
  <c r="L22" i="6"/>
  <c r="L7" i="6"/>
  <c r="M22" i="6"/>
  <c r="M18" i="6"/>
  <c r="I22" i="6"/>
  <c r="I18" i="6"/>
  <c r="H22" i="6"/>
  <c r="E22" i="6"/>
  <c r="E9" i="6"/>
  <c r="F4590" i="1"/>
  <c r="F4588" i="1"/>
  <c r="F4587" i="1"/>
  <c r="F4586" i="1"/>
  <c r="F4585" i="1"/>
  <c r="F4584" i="1"/>
  <c r="F4583" i="1"/>
  <c r="F4582" i="1"/>
  <c r="F4581" i="1"/>
  <c r="F4580" i="1"/>
  <c r="F4579" i="1"/>
  <c r="F4578" i="1"/>
  <c r="F4577" i="1"/>
  <c r="F4574" i="1"/>
  <c r="F4591" i="1"/>
  <c r="F4592" i="1"/>
  <c r="F4593" i="1"/>
  <c r="F4596" i="1"/>
  <c r="F4595" i="1"/>
  <c r="F4568" i="1"/>
  <c r="F4511" i="1"/>
  <c r="F4509" i="1"/>
  <c r="F4508" i="1"/>
  <c r="F4507" i="1"/>
  <c r="F4506" i="1"/>
  <c r="F4505" i="1"/>
  <c r="F4501" i="1"/>
  <c r="F4500" i="1"/>
  <c r="F4499" i="1"/>
  <c r="F4498" i="1"/>
  <c r="F4494" i="1"/>
  <c r="F4493" i="1"/>
  <c r="F4487" i="1"/>
  <c r="F4486" i="1"/>
  <c r="F4485" i="1"/>
  <c r="F4484" i="1"/>
  <c r="F4483" i="1"/>
  <c r="F4482" i="1"/>
  <c r="F4476" i="1"/>
  <c r="F4475" i="1"/>
  <c r="F4473" i="1"/>
  <c r="F4472" i="1"/>
  <c r="F4471" i="1"/>
  <c r="F4470" i="1"/>
  <c r="F4468" i="1"/>
  <c r="F4467" i="1"/>
  <c r="F4466" i="1"/>
  <c r="F4465" i="1"/>
  <c r="F4463" i="1"/>
  <c r="F4461" i="1"/>
  <c r="F4460" i="1"/>
  <c r="F4459" i="1"/>
  <c r="F4457" i="1"/>
  <c r="F4456" i="1"/>
  <c r="F4455" i="1"/>
  <c r="F4454" i="1"/>
  <c r="F4451" i="1"/>
  <c r="F4450" i="1"/>
  <c r="F4449" i="1"/>
  <c r="F4448" i="1"/>
  <c r="F4447" i="1"/>
  <c r="F4445" i="1"/>
  <c r="F4442" i="1"/>
  <c r="F4441" i="1"/>
  <c r="F4439" i="1"/>
  <c r="F4438" i="1"/>
  <c r="F4437" i="1"/>
  <c r="F4436" i="1"/>
  <c r="F4435" i="1"/>
  <c r="F4434" i="1"/>
  <c r="F4432" i="1"/>
  <c r="F4431" i="1"/>
  <c r="F4430" i="1"/>
  <c r="F4429" i="1"/>
  <c r="F4428" i="1"/>
  <c r="F4427" i="1"/>
  <c r="F4426" i="1"/>
  <c r="F4425" i="1"/>
  <c r="F4424" i="1"/>
  <c r="F4422" i="1"/>
  <c r="F4421" i="1"/>
  <c r="F4420" i="1"/>
  <c r="F4418" i="1"/>
  <c r="F4417" i="1"/>
  <c r="F4416" i="1"/>
  <c r="F4413" i="1"/>
  <c r="F4412" i="1"/>
  <c r="F4411" i="1"/>
  <c r="F4410" i="1"/>
  <c r="F4409" i="1"/>
  <c r="F4408" i="1"/>
  <c r="F4407" i="1"/>
  <c r="F4406" i="1"/>
  <c r="F4405" i="1"/>
  <c r="F4404" i="1"/>
  <c r="F1469" i="1"/>
  <c r="P82" i="6"/>
  <c r="Q82" i="6"/>
  <c r="Q81" i="6"/>
  <c r="U81" i="6"/>
  <c r="F4326" i="1"/>
  <c r="F4306" i="1"/>
  <c r="F4302" i="1"/>
  <c r="F4288" i="1"/>
  <c r="F4285" i="1"/>
  <c r="F4280" i="1"/>
  <c r="P7" i="6"/>
  <c r="F11" i="26"/>
  <c r="F8" i="26"/>
  <c r="F73" i="28"/>
  <c r="F62" i="24"/>
  <c r="F31" i="32"/>
  <c r="F18" i="32"/>
  <c r="F16" i="32"/>
  <c r="F14" i="32"/>
  <c r="F12" i="32"/>
  <c r="F17" i="29"/>
  <c r="F3" i="32"/>
  <c r="F4573" i="1"/>
  <c r="F4572" i="1"/>
  <c r="F4571" i="1"/>
  <c r="F4570" i="1"/>
  <c r="F4569" i="1"/>
  <c r="F2" i="32"/>
  <c r="F4567" i="1"/>
  <c r="F4566" i="1"/>
  <c r="F4565" i="1"/>
  <c r="F4563" i="1"/>
  <c r="F4562" i="1"/>
  <c r="F4561" i="1"/>
  <c r="F4560" i="1"/>
  <c r="F4559" i="1"/>
  <c r="F4558" i="1"/>
  <c r="F4557" i="1"/>
  <c r="F4556" i="1"/>
  <c r="F4555" i="1"/>
  <c r="F4554" i="1"/>
  <c r="F4553" i="1"/>
  <c r="F4552" i="1"/>
  <c r="F4551" i="1"/>
  <c r="F4550" i="1"/>
  <c r="F4549" i="1"/>
  <c r="F4548" i="1"/>
  <c r="F4547" i="1"/>
  <c r="F4544" i="1"/>
  <c r="F4543" i="1"/>
  <c r="F4542" i="1"/>
  <c r="F4541" i="1"/>
  <c r="F4540" i="1"/>
  <c r="F4539" i="1"/>
  <c r="F4538" i="1"/>
  <c r="F4537" i="1"/>
  <c r="F4536" i="1"/>
  <c r="F4535" i="1"/>
  <c r="F4534" i="1"/>
  <c r="F4533" i="1"/>
  <c r="F4531" i="1"/>
  <c r="F4530" i="1"/>
  <c r="F4529" i="1"/>
  <c r="F4528" i="1"/>
  <c r="F4527" i="1"/>
  <c r="F4526" i="1"/>
  <c r="F4525" i="1"/>
  <c r="F4524" i="1"/>
  <c r="F4523" i="1"/>
  <c r="F4522" i="1"/>
  <c r="F4521" i="1"/>
  <c r="F4520" i="1"/>
  <c r="F4519" i="1"/>
  <c r="F4517" i="1"/>
  <c r="F4516" i="1"/>
  <c r="F4515" i="1"/>
  <c r="F4513" i="1"/>
  <c r="F4512" i="1"/>
  <c r="F4328" i="1"/>
  <c r="F4322" i="1"/>
  <c r="F4311" i="1"/>
  <c r="F147" i="27"/>
  <c r="F4510" i="1"/>
  <c r="F4504" i="1"/>
  <c r="F4503" i="1"/>
  <c r="F4502" i="1"/>
  <c r="F4497" i="1"/>
  <c r="F4496" i="1"/>
  <c r="F4495" i="1"/>
  <c r="F4492" i="1"/>
  <c r="F4491" i="1"/>
  <c r="F4490" i="1"/>
  <c r="F4489" i="1"/>
  <c r="F4488" i="1"/>
  <c r="F4481" i="1"/>
  <c r="F4480" i="1"/>
  <c r="F4479" i="1"/>
  <c r="F4478" i="1"/>
  <c r="F4477" i="1"/>
  <c r="U8" i="6"/>
  <c r="L8" i="6"/>
  <c r="M8" i="6"/>
  <c r="M7" i="6"/>
  <c r="H8" i="6"/>
  <c r="F4474" i="1"/>
  <c r="E4474" i="1" s="1"/>
  <c r="H9" i="6"/>
  <c r="I9" i="6"/>
  <c r="I8" i="6"/>
  <c r="E10" i="6"/>
  <c r="F4589" i="1"/>
  <c r="F4575" i="1"/>
  <c r="F4386" i="1"/>
  <c r="F4338" i="1"/>
  <c r="F1918" i="1"/>
  <c r="F1911" i="1"/>
  <c r="F1903" i="1"/>
  <c r="F1898" i="1"/>
  <c r="M5" i="6"/>
  <c r="T197" i="6"/>
  <c r="U197" i="6"/>
  <c r="Q197" i="6"/>
  <c r="P197" i="6"/>
  <c r="P194" i="6"/>
  <c r="F3953" i="1" s="1"/>
  <c r="E3953" i="1" s="1"/>
  <c r="P193" i="6"/>
  <c r="D197" i="6"/>
  <c r="H192" i="6"/>
  <c r="H193" i="6"/>
  <c r="H194" i="6"/>
  <c r="F3951" i="1" s="1"/>
  <c r="E3951" i="1" s="1"/>
  <c r="H199" i="6"/>
  <c r="D200" i="6"/>
  <c r="F2693" i="1" s="1"/>
  <c r="E2693" i="1" s="1"/>
  <c r="D199" i="6"/>
  <c r="T199" i="6" s="1"/>
  <c r="D193" i="6"/>
  <c r="L200" i="6"/>
  <c r="F2699" i="1" s="1"/>
  <c r="E2699" i="1" s="1"/>
  <c r="L199" i="6"/>
  <c r="F2363" i="1" s="1"/>
  <c r="E2363" i="1" s="1"/>
  <c r="L198" i="6"/>
  <c r="L197" i="6"/>
  <c r="F60" i="1" s="1"/>
  <c r="E60" i="1" s="1"/>
  <c r="L196" i="6"/>
  <c r="L195" i="6"/>
  <c r="L194" i="6"/>
  <c r="L193" i="6"/>
  <c r="F2431" i="1" s="1"/>
  <c r="E2431" i="1" s="1"/>
  <c r="M198" i="6"/>
  <c r="F2359" i="1"/>
  <c r="E2359" i="1" s="1"/>
  <c r="F2358" i="1"/>
  <c r="E2358" i="1" s="1"/>
  <c r="F2357" i="1"/>
  <c r="E2357" i="1" s="1"/>
  <c r="F2356" i="1"/>
  <c r="E2356" i="1" s="1"/>
  <c r="F2355" i="1"/>
  <c r="E2355" i="1" s="1"/>
  <c r="F2354" i="1"/>
  <c r="E2354" i="1" s="1"/>
  <c r="F2353" i="1"/>
  <c r="E2353" i="1" s="1"/>
  <c r="F2352" i="1"/>
  <c r="E2352" i="1" s="1"/>
  <c r="F2351" i="1"/>
  <c r="E2351" i="1" s="1"/>
  <c r="F2350" i="1"/>
  <c r="E2350" i="1" s="1"/>
  <c r="F2349" i="1"/>
  <c r="E2349" i="1" s="1"/>
  <c r="F2348" i="1"/>
  <c r="E2348" i="1" s="1"/>
  <c r="F2347" i="1"/>
  <c r="E2347" i="1" s="1"/>
  <c r="P199" i="6"/>
  <c r="M199" i="6"/>
  <c r="M192" i="6"/>
  <c r="I192" i="6"/>
  <c r="Q199" i="6"/>
  <c r="Q192" i="6"/>
  <c r="U199" i="6"/>
  <c r="U193" i="6"/>
  <c r="E197" i="6"/>
  <c r="E55" i="1"/>
  <c r="F54" i="1"/>
  <c r="E54" i="1" s="1"/>
  <c r="F53" i="1"/>
  <c r="E53" i="1" s="1"/>
  <c r="F57" i="1"/>
  <c r="E57" i="1" s="1"/>
  <c r="F4202" i="1"/>
  <c r="F78" i="1"/>
  <c r="E78" i="1" s="1"/>
  <c r="F77" i="1"/>
  <c r="E77" i="1" s="1"/>
  <c r="F76" i="1"/>
  <c r="E76" i="1" s="1"/>
  <c r="F75" i="1"/>
  <c r="E75" i="1" s="1"/>
  <c r="F74" i="1"/>
  <c r="E74" i="1" s="1"/>
  <c r="F73" i="1"/>
  <c r="E73" i="1" s="1"/>
  <c r="F72" i="1"/>
  <c r="E72" i="1" s="1"/>
  <c r="F71" i="1"/>
  <c r="E71" i="1" s="1"/>
  <c r="Q193" i="6"/>
  <c r="F70" i="1"/>
  <c r="E70" i="1" s="1"/>
  <c r="F65" i="1"/>
  <c r="E65" i="1" s="1"/>
  <c r="F69" i="1"/>
  <c r="E69" i="1" s="1"/>
  <c r="F62" i="1"/>
  <c r="E62" i="1" s="1"/>
  <c r="F68" i="1"/>
  <c r="E68" i="1" s="1"/>
  <c r="F67" i="1"/>
  <c r="E67" i="1" s="1"/>
  <c r="F66" i="1"/>
  <c r="E66" i="1" s="1"/>
  <c r="M197" i="6"/>
  <c r="F64" i="1"/>
  <c r="E64" i="1" s="1"/>
  <c r="F63" i="1"/>
  <c r="E63" i="1" s="1"/>
  <c r="M193" i="6"/>
  <c r="E56" i="1"/>
  <c r="I197" i="6"/>
  <c r="I193" i="6"/>
  <c r="F45" i="1"/>
  <c r="E45" i="1" s="1"/>
  <c r="E193" i="6"/>
  <c r="F52" i="1"/>
  <c r="E52" i="1" s="1"/>
  <c r="F51" i="1"/>
  <c r="E51" i="1" s="1"/>
  <c r="F50" i="1"/>
  <c r="E50" i="1" s="1"/>
  <c r="F49" i="1"/>
  <c r="E49" i="1" s="1"/>
  <c r="F48" i="1"/>
  <c r="E48" i="1" s="1"/>
  <c r="F47" i="1"/>
  <c r="E47" i="1" s="1"/>
  <c r="F46" i="1"/>
  <c r="E46" i="1" s="1"/>
  <c r="F3956" i="1"/>
  <c r="E3956" i="1" s="1"/>
  <c r="F3955" i="1"/>
  <c r="E3955" i="1" s="1"/>
  <c r="F3954" i="1"/>
  <c r="E3954" i="1" s="1"/>
  <c r="F3950" i="1"/>
  <c r="E3950" i="1" s="1"/>
  <c r="Q194" i="6"/>
  <c r="U194" i="6"/>
  <c r="M196" i="6"/>
  <c r="M195" i="6"/>
  <c r="M194" i="6"/>
  <c r="I194" i="6"/>
  <c r="E194" i="6"/>
  <c r="F2432" i="1"/>
  <c r="E2432" i="1" s="1"/>
  <c r="I191" i="6"/>
  <c r="E190" i="6"/>
  <c r="M190" i="6"/>
  <c r="U192" i="6"/>
  <c r="F17" i="1"/>
  <c r="F43" i="13"/>
  <c r="E43" i="13" s="1"/>
  <c r="F104" i="12"/>
  <c r="E104" i="12" s="1"/>
  <c r="F103" i="12"/>
  <c r="E103" i="12" s="1"/>
  <c r="F102" i="12"/>
  <c r="E102" i="12" s="1"/>
  <c r="F101" i="12"/>
  <c r="E101" i="12" s="1"/>
  <c r="F100" i="12"/>
  <c r="E100" i="12" s="1"/>
  <c r="F99" i="12"/>
  <c r="E99" i="12" s="1"/>
  <c r="F98" i="12"/>
  <c r="E98" i="12" s="1"/>
  <c r="F97" i="12"/>
  <c r="E97" i="12" s="1"/>
  <c r="F96" i="12"/>
  <c r="E96" i="12" s="1"/>
  <c r="F95" i="12"/>
  <c r="E95" i="12" s="1"/>
  <c r="F94" i="12"/>
  <c r="E94" i="12" s="1"/>
  <c r="F93" i="12"/>
  <c r="E93" i="12" s="1"/>
  <c r="F92" i="12"/>
  <c r="E92" i="12" s="1"/>
  <c r="F91" i="12"/>
  <c r="E91" i="12" s="1"/>
  <c r="F90" i="12"/>
  <c r="E90" i="12" s="1"/>
  <c r="F89" i="12"/>
  <c r="E89" i="12" s="1"/>
  <c r="F88" i="12"/>
  <c r="E88" i="12" s="1"/>
  <c r="F87" i="12"/>
  <c r="E87" i="12" s="1"/>
  <c r="F86" i="12"/>
  <c r="E86" i="12" s="1"/>
  <c r="F85" i="12"/>
  <c r="E85" i="12" s="1"/>
  <c r="F84" i="12"/>
  <c r="F72" i="12"/>
  <c r="E72" i="12" s="1"/>
  <c r="F71" i="12"/>
  <c r="E71" i="12" s="1"/>
  <c r="F70" i="12"/>
  <c r="E70" i="12" s="1"/>
  <c r="F69" i="12"/>
  <c r="E69" i="12" s="1"/>
  <c r="F68" i="12"/>
  <c r="E68" i="12" s="1"/>
  <c r="F67" i="12"/>
  <c r="E67" i="12" s="1"/>
  <c r="F66" i="12"/>
  <c r="E66" i="12" s="1"/>
  <c r="F65" i="12"/>
  <c r="E65" i="12" s="1"/>
  <c r="F64" i="12"/>
  <c r="E64" i="12" s="1"/>
  <c r="F63" i="12"/>
  <c r="E63" i="12" s="1"/>
  <c r="F62" i="12"/>
  <c r="E62" i="12" s="1"/>
  <c r="F61" i="12"/>
  <c r="E61" i="12" s="1"/>
  <c r="F60" i="12"/>
  <c r="E60" i="12" s="1"/>
  <c r="F59" i="12"/>
  <c r="E59" i="12" s="1"/>
  <c r="F58" i="12"/>
  <c r="E58" i="12" s="1"/>
  <c r="F57" i="12"/>
  <c r="E57" i="12" s="1"/>
  <c r="F56" i="12"/>
  <c r="E56" i="12" s="1"/>
  <c r="F55" i="12"/>
  <c r="E55" i="12" s="1"/>
  <c r="F54" i="12"/>
  <c r="E54" i="12" s="1"/>
  <c r="F53" i="12"/>
  <c r="E53" i="12" s="1"/>
  <c r="F37" i="12"/>
  <c r="F2634" i="1" l="1"/>
  <c r="E2634" i="1" s="1"/>
  <c r="F3892" i="1"/>
  <c r="E3892" i="1" s="1"/>
  <c r="F3886" i="1"/>
  <c r="E3886" i="1" s="1"/>
  <c r="F3887" i="1"/>
  <c r="E3887" i="1" s="1"/>
  <c r="F2623" i="1"/>
  <c r="E2623" i="1" s="1"/>
  <c r="F2617" i="1"/>
  <c r="E2617" i="1" s="1"/>
  <c r="F2610" i="1"/>
  <c r="E2610" i="1" s="1"/>
  <c r="F2611" i="1"/>
  <c r="E2611" i="1" s="1"/>
  <c r="F2612" i="1"/>
  <c r="E2612" i="1" s="1"/>
  <c r="F2613" i="1"/>
  <c r="E2613" i="1" s="1"/>
  <c r="F2614" i="1"/>
  <c r="E2614" i="1" s="1"/>
  <c r="F2615" i="1"/>
  <c r="E2615" i="1" s="1"/>
  <c r="T204" i="6"/>
  <c r="F2626" i="1" s="1"/>
  <c r="E2626" i="1" s="1"/>
  <c r="F2631" i="1"/>
  <c r="E2631" i="1" s="1"/>
  <c r="F2632" i="1"/>
  <c r="E2632" i="1" s="1"/>
  <c r="F2633" i="1"/>
  <c r="E2633" i="1" s="1"/>
  <c r="F3875" i="1"/>
  <c r="E3875" i="1" s="1"/>
  <c r="F3874" i="1"/>
  <c r="E3874" i="1" s="1"/>
  <c r="F3873" i="1"/>
  <c r="E3873" i="1" s="1"/>
  <c r="F3872" i="1"/>
  <c r="E3872" i="1" s="1"/>
  <c r="F3871" i="1"/>
  <c r="E3871" i="1" s="1"/>
  <c r="F3870" i="1"/>
  <c r="E3870" i="1" s="1"/>
  <c r="F3869" i="1"/>
  <c r="E3869" i="1" s="1"/>
  <c r="F3866" i="1"/>
  <c r="E3866" i="1" s="1"/>
  <c r="F3862" i="1"/>
  <c r="E3862" i="1" s="1"/>
  <c r="F3863" i="1"/>
  <c r="E3863" i="1" s="1"/>
  <c r="F2709" i="1"/>
  <c r="E2709" i="1" s="1"/>
  <c r="F2708" i="1"/>
  <c r="E2708" i="1" s="1"/>
  <c r="F2710" i="1"/>
  <c r="E2710" i="1" s="1"/>
  <c r="H200" i="6"/>
  <c r="F2694" i="1" s="1"/>
  <c r="E2694" i="1" s="1"/>
  <c r="T200" i="6"/>
  <c r="F2695" i="1" s="1"/>
  <c r="E2695" i="1" s="1"/>
  <c r="F2698" i="1"/>
  <c r="E2698" i="1" s="1"/>
  <c r="H201" i="6"/>
  <c r="F2702" i="1"/>
  <c r="E2702" i="1" s="1"/>
  <c r="F2703" i="1"/>
  <c r="E2703" i="1" s="1"/>
  <c r="T201" i="6"/>
  <c r="P201" i="6"/>
  <c r="F2701" i="1"/>
  <c r="E2701" i="1" s="1"/>
  <c r="F2705" i="1"/>
  <c r="E2705" i="1" s="1"/>
  <c r="F2704" i="1"/>
  <c r="E2704" i="1" s="1"/>
  <c r="F2320" i="1"/>
  <c r="E2320" i="1" s="1"/>
  <c r="F2322" i="1"/>
  <c r="E2322" i="1" s="1"/>
  <c r="F2323" i="1"/>
  <c r="E2323" i="1" s="1"/>
  <c r="F2330" i="1"/>
  <c r="E2330" i="1" s="1"/>
  <c r="F2697" i="1"/>
  <c r="E2697" i="1" s="1"/>
  <c r="F2430" i="1"/>
  <c r="E2430" i="1" s="1"/>
  <c r="F2428" i="1"/>
  <c r="E2428" i="1" s="1"/>
  <c r="F2364" i="1"/>
  <c r="E2364" i="1" s="1"/>
  <c r="F2365" i="1"/>
  <c r="E2365" i="1" s="1"/>
  <c r="F2366" i="1"/>
  <c r="E2366" i="1" s="1"/>
  <c r="F2369" i="1"/>
  <c r="E2369" i="1" s="1"/>
  <c r="F2361" i="1"/>
  <c r="E2361" i="1" s="1"/>
  <c r="F2367" i="1"/>
  <c r="E2367" i="1" s="1"/>
  <c r="F2360" i="1"/>
  <c r="E2360" i="1" s="1"/>
  <c r="F2362" i="1"/>
  <c r="E2362" i="1" s="1"/>
  <c r="F2368" i="1"/>
  <c r="E2368" i="1" s="1"/>
  <c r="F61" i="1"/>
  <c r="E61" i="1" s="1"/>
  <c r="F2427" i="1"/>
  <c r="E2427" i="1" s="1"/>
  <c r="F2433" i="1"/>
  <c r="E2433" i="1" s="1"/>
  <c r="F2344" i="1"/>
  <c r="E2344" i="1" s="1"/>
  <c r="F2336" i="1"/>
  <c r="E2336" i="1" s="1"/>
  <c r="F2341" i="1"/>
  <c r="E2341" i="1" s="1"/>
  <c r="F2343" i="1"/>
  <c r="E2343" i="1" s="1"/>
  <c r="F2335" i="1"/>
  <c r="E2335" i="1" s="1"/>
  <c r="F2342" i="1"/>
  <c r="E2342" i="1" s="1"/>
  <c r="F2334" i="1"/>
  <c r="E2334" i="1" s="1"/>
  <c r="F2333" i="1"/>
  <c r="E2333" i="1" s="1"/>
  <c r="F2340" i="1"/>
  <c r="E2340" i="1" s="1"/>
  <c r="F2332" i="1"/>
  <c r="E2332" i="1" s="1"/>
  <c r="F2345" i="1"/>
  <c r="E2345" i="1" s="1"/>
  <c r="F2339" i="1"/>
  <c r="E2339" i="1" s="1"/>
  <c r="F2331" i="1"/>
  <c r="E2331" i="1" s="1"/>
  <c r="F2337" i="1"/>
  <c r="E2337" i="1" s="1"/>
  <c r="F2338" i="1"/>
  <c r="E2338" i="1" s="1"/>
  <c r="F2328" i="1"/>
  <c r="E2328" i="1" s="1"/>
  <c r="F2321" i="1"/>
  <c r="E2321" i="1" s="1"/>
  <c r="F2329" i="1"/>
  <c r="E2329" i="1" s="1"/>
  <c r="F2324" i="1"/>
  <c r="E2324" i="1" s="1"/>
  <c r="F2317" i="1"/>
  <c r="E2317" i="1" s="1"/>
  <c r="F2325" i="1"/>
  <c r="E2325" i="1" s="1"/>
  <c r="F2318" i="1"/>
  <c r="E2318" i="1" s="1"/>
  <c r="F2326" i="1"/>
  <c r="E2326" i="1" s="1"/>
  <c r="F2319" i="1"/>
  <c r="E2319" i="1" s="1"/>
  <c r="F2327" i="1"/>
  <c r="E2327" i="1" s="1"/>
  <c r="F181" i="20"/>
  <c r="E181" i="20" s="1"/>
  <c r="F34" i="31"/>
  <c r="E34" i="31" s="1"/>
  <c r="F33" i="31"/>
  <c r="E33" i="31" s="1"/>
  <c r="F32" i="31"/>
  <c r="E32" i="31" s="1"/>
  <c r="F29" i="31"/>
  <c r="F15" i="31"/>
  <c r="E15" i="31" s="1"/>
  <c r="F14" i="31"/>
  <c r="E14" i="31" s="1"/>
  <c r="F13" i="31"/>
  <c r="E13" i="31" s="1"/>
  <c r="F12" i="31"/>
  <c r="E12" i="31" s="1"/>
  <c r="F11" i="31"/>
  <c r="E11" i="31" s="1"/>
  <c r="F10" i="31"/>
  <c r="E10" i="31" s="1"/>
  <c r="F68" i="23"/>
  <c r="E68" i="23" s="1"/>
  <c r="F67" i="23"/>
  <c r="F6" i="12"/>
  <c r="E6" i="12" s="1"/>
  <c r="F9" i="12"/>
  <c r="E9" i="12" s="1"/>
  <c r="E4418" i="1"/>
  <c r="E1867" i="1"/>
  <c r="F724" i="1"/>
  <c r="E724" i="1" s="1"/>
  <c r="F725" i="1"/>
  <c r="F711" i="1"/>
  <c r="E711" i="1" s="1"/>
  <c r="F712" i="1"/>
  <c r="E712" i="1" s="1"/>
  <c r="F713" i="1"/>
  <c r="E713" i="1" s="1"/>
  <c r="F720" i="1"/>
  <c r="E720" i="1" s="1"/>
  <c r="F721" i="1"/>
  <c r="E721" i="1" s="1"/>
  <c r="F722" i="1"/>
  <c r="E722" i="1" s="1"/>
  <c r="F719" i="1"/>
  <c r="E719" i="1" s="1"/>
  <c r="F718" i="1"/>
  <c r="E718" i="1" s="1"/>
  <c r="F717" i="1"/>
  <c r="E717" i="1" s="1"/>
  <c r="F716" i="1"/>
  <c r="E716" i="1" s="1"/>
  <c r="F715" i="1"/>
  <c r="E715" i="1" s="1"/>
  <c r="F710" i="1"/>
  <c r="E710" i="1" s="1"/>
  <c r="F709" i="1"/>
  <c r="E709" i="1" s="1"/>
  <c r="F708" i="1"/>
  <c r="E708" i="1" s="1"/>
  <c r="F707" i="1"/>
  <c r="E707" i="1" s="1"/>
  <c r="F706" i="1"/>
  <c r="E706" i="1" s="1"/>
  <c r="F704" i="1"/>
  <c r="F703" i="1"/>
  <c r="E703" i="1" s="1"/>
  <c r="F702" i="1"/>
  <c r="E702" i="1" s="1"/>
  <c r="F701" i="1"/>
  <c r="E701" i="1" s="1"/>
  <c r="F699" i="1"/>
  <c r="E699" i="1" s="1"/>
  <c r="F700" i="1"/>
  <c r="E700" i="1" s="1"/>
  <c r="F697" i="1"/>
  <c r="E697" i="1" s="1"/>
  <c r="F698" i="1"/>
  <c r="E698" i="1" s="1"/>
  <c r="F11" i="33" l="1"/>
  <c r="F4" i="33"/>
  <c r="F10" i="33"/>
  <c r="F9" i="33"/>
  <c r="F8" i="33"/>
  <c r="F7" i="33"/>
  <c r="F3" i="33"/>
  <c r="F6" i="33"/>
  <c r="F2" i="33"/>
  <c r="F5" i="33"/>
  <c r="E4" i="33"/>
  <c r="E6" i="33" s="1"/>
  <c r="E11" i="33" s="1"/>
  <c r="E7" i="33" l="1"/>
  <c r="E8" i="33" s="1"/>
  <c r="F5" i="12"/>
  <c r="F38" i="12"/>
  <c r="E38" i="12" s="1"/>
  <c r="F39" i="12"/>
  <c r="E39" i="12" s="1"/>
  <c r="E4470" i="1" l="1"/>
  <c r="E4486" i="1"/>
  <c r="E4485" i="1"/>
  <c r="E4484" i="1"/>
  <c r="E4483" i="1"/>
  <c r="F4244" i="1"/>
  <c r="E4244" i="1" s="1"/>
  <c r="F4242" i="1"/>
  <c r="E4242" i="1" s="1"/>
  <c r="F4224" i="1"/>
  <c r="E4224" i="1" s="1"/>
  <c r="F4220" i="1"/>
  <c r="E4220" i="1" s="1"/>
  <c r="F4226" i="1"/>
  <c r="E4226" i="1" s="1"/>
  <c r="F4221" i="1"/>
  <c r="E4221" i="1" s="1"/>
  <c r="E4463" i="1"/>
  <c r="E4465" i="1"/>
  <c r="E4445" i="1"/>
  <c r="E4424" i="1"/>
  <c r="F14" i="30"/>
  <c r="E14" i="30" s="1"/>
  <c r="F13" i="30"/>
  <c r="E13" i="30" s="1"/>
  <c r="F31" i="31"/>
  <c r="F30" i="31"/>
  <c r="E29" i="31"/>
  <c r="F104" i="23"/>
  <c r="E104" i="23" s="1"/>
  <c r="F103" i="23"/>
  <c r="E103" i="23" s="1"/>
  <c r="F102" i="23"/>
  <c r="E102" i="23" s="1"/>
  <c r="F101" i="23"/>
  <c r="E101" i="23" s="1"/>
  <c r="F100" i="23"/>
  <c r="E100" i="23" s="1"/>
  <c r="F99" i="23"/>
  <c r="E99" i="23" s="1"/>
  <c r="F98" i="23"/>
  <c r="E98" i="23" s="1"/>
  <c r="F76" i="19"/>
  <c r="F77" i="19"/>
  <c r="F80" i="19"/>
  <c r="F79" i="19"/>
  <c r="F78" i="19"/>
  <c r="F75" i="19"/>
  <c r="F69" i="19"/>
  <c r="F57" i="19"/>
  <c r="F56" i="19"/>
  <c r="F37" i="19"/>
  <c r="E37" i="19" s="1"/>
  <c r="F36" i="19"/>
  <c r="E36" i="19" s="1"/>
  <c r="F35" i="19"/>
  <c r="E35" i="19" s="1"/>
  <c r="F39" i="19"/>
  <c r="E39" i="19" s="1"/>
  <c r="F38" i="19"/>
  <c r="E38" i="19" s="1"/>
  <c r="F44" i="19"/>
  <c r="F45" i="19"/>
  <c r="F51" i="19"/>
  <c r="F50" i="19"/>
  <c r="F49" i="19"/>
  <c r="F48" i="19"/>
  <c r="F30" i="19"/>
  <c r="E31" i="19" s="1"/>
  <c r="F31" i="19"/>
  <c r="E30" i="19" s="1"/>
  <c r="F13" i="19"/>
  <c r="E13" i="19" s="1"/>
  <c r="F12" i="19"/>
  <c r="E12" i="19" s="1"/>
  <c r="F11" i="19"/>
  <c r="E11" i="19" s="1"/>
  <c r="F10" i="19"/>
  <c r="E10" i="19" s="1"/>
  <c r="F7" i="19"/>
  <c r="E7" i="19" s="1"/>
  <c r="F367" i="18"/>
  <c r="E367" i="18" s="1"/>
  <c r="F366" i="18"/>
  <c r="E366" i="18" s="1"/>
  <c r="F365" i="18"/>
  <c r="E365" i="18" s="1"/>
  <c r="F364" i="18"/>
  <c r="E364" i="18" s="1"/>
  <c r="F363" i="18"/>
  <c r="E363" i="18" s="1"/>
  <c r="F362" i="18"/>
  <c r="E362" i="18" s="1"/>
  <c r="F361" i="18"/>
  <c r="E361" i="18" s="1"/>
  <c r="F360" i="18"/>
  <c r="E360" i="18" s="1"/>
  <c r="F359" i="18"/>
  <c r="E359" i="18" s="1"/>
  <c r="F358" i="18"/>
  <c r="E358" i="18" s="1"/>
  <c r="F357" i="18"/>
  <c r="E357" i="18" s="1"/>
  <c r="F356" i="18"/>
  <c r="E356" i="18" s="1"/>
  <c r="F355" i="18"/>
  <c r="F354" i="18"/>
  <c r="F353" i="18"/>
  <c r="E353" i="18" s="1"/>
  <c r="F352" i="18"/>
  <c r="E352" i="18" s="1"/>
  <c r="F351" i="18"/>
  <c r="E351" i="18" s="1"/>
  <c r="F350" i="18"/>
  <c r="F349" i="18"/>
  <c r="F348" i="18"/>
  <c r="E348" i="18" s="1"/>
  <c r="F347" i="18"/>
  <c r="E347" i="18" s="1"/>
  <c r="F342" i="18"/>
  <c r="E342" i="18" s="1"/>
  <c r="F343" i="18"/>
  <c r="F346" i="18"/>
  <c r="E346" i="18" s="1"/>
  <c r="F345" i="18"/>
  <c r="F344" i="18"/>
  <c r="F192" i="18"/>
  <c r="E192" i="18" s="1"/>
  <c r="F193" i="18"/>
  <c r="E193" i="18" s="1"/>
  <c r="F195" i="18"/>
  <c r="F72" i="18"/>
  <c r="F71" i="18"/>
  <c r="F70" i="18"/>
  <c r="E70" i="18" s="1"/>
  <c r="F69" i="18"/>
  <c r="E69" i="18" s="1"/>
  <c r="F68" i="18"/>
  <c r="F89" i="18"/>
  <c r="E89" i="18" s="1"/>
  <c r="F88" i="18"/>
  <c r="E88" i="18" s="1"/>
  <c r="F87" i="18"/>
  <c r="F86" i="18"/>
  <c r="F85" i="18"/>
  <c r="F84" i="18"/>
  <c r="E84" i="18" s="1"/>
  <c r="F83" i="18"/>
  <c r="E83" i="18" s="1"/>
  <c r="F67" i="18"/>
  <c r="E71" i="18" s="1"/>
  <c r="F66" i="18"/>
  <c r="F63" i="18"/>
  <c r="E66" i="18" s="1"/>
  <c r="F82" i="18"/>
  <c r="E82" i="18" s="1"/>
  <c r="F81" i="18"/>
  <c r="F80" i="18"/>
  <c r="F79" i="18"/>
  <c r="F73" i="18"/>
  <c r="F78" i="18"/>
  <c r="E78" i="18" s="1"/>
  <c r="F77" i="18"/>
  <c r="E77" i="18" s="1"/>
  <c r="F76" i="18"/>
  <c r="E76" i="18" s="1"/>
  <c r="F75" i="18"/>
  <c r="F74" i="18"/>
  <c r="F65" i="18"/>
  <c r="E65" i="18" s="1"/>
  <c r="F64" i="18"/>
  <c r="E68" i="18" s="1"/>
  <c r="F14" i="14"/>
  <c r="E14" i="14" s="1"/>
  <c r="F13" i="14"/>
  <c r="E13" i="14" s="1"/>
  <c r="F12" i="14"/>
  <c r="E12" i="14" s="1"/>
  <c r="F11" i="14"/>
  <c r="E11" i="14" s="1"/>
  <c r="F10" i="14"/>
  <c r="E10" i="14" s="1"/>
  <c r="F9" i="14"/>
  <c r="F2536" i="1"/>
  <c r="E2536" i="1" s="1"/>
  <c r="F417" i="18"/>
  <c r="E417" i="18" s="1"/>
  <c r="F416" i="18"/>
  <c r="E416" i="18" s="1"/>
  <c r="F415" i="18"/>
  <c r="E415" i="18" s="1"/>
  <c r="F414" i="18"/>
  <c r="E414" i="18" s="1"/>
  <c r="F413" i="18"/>
  <c r="E413" i="18" s="1"/>
  <c r="F412" i="18"/>
  <c r="E412" i="18" s="1"/>
  <c r="F411" i="18"/>
  <c r="E411" i="18" s="1"/>
  <c r="F410" i="18"/>
  <c r="E410" i="18" s="1"/>
  <c r="F409" i="18"/>
  <c r="E409" i="18" s="1"/>
  <c r="F408" i="18"/>
  <c r="E408" i="18" s="1"/>
  <c r="F406" i="18"/>
  <c r="E406" i="18" s="1"/>
  <c r="F405" i="18"/>
  <c r="E405" i="18" s="1"/>
  <c r="F404" i="18"/>
  <c r="E404" i="18" s="1"/>
  <c r="F403" i="18"/>
  <c r="E403" i="18" s="1"/>
  <c r="F402" i="18"/>
  <c r="E402" i="18" s="1"/>
  <c r="F397" i="18"/>
  <c r="E397" i="18" s="1"/>
  <c r="F398" i="18"/>
  <c r="E398" i="18" s="1"/>
  <c r="F401" i="18"/>
  <c r="E401" i="18" s="1"/>
  <c r="F400" i="18"/>
  <c r="E400" i="18" s="1"/>
  <c r="F399" i="18"/>
  <c r="E399" i="18" s="1"/>
  <c r="F129" i="18"/>
  <c r="F128" i="18"/>
  <c r="F127" i="18"/>
  <c r="F126" i="18"/>
  <c r="F125" i="18"/>
  <c r="F124" i="18"/>
  <c r="E124" i="18" s="1"/>
  <c r="F123" i="18"/>
  <c r="E123" i="18" s="1"/>
  <c r="F120" i="18"/>
  <c r="F119" i="18"/>
  <c r="F121" i="18"/>
  <c r="F118" i="18"/>
  <c r="F117" i="18"/>
  <c r="F116" i="18"/>
  <c r="E116" i="18" s="1"/>
  <c r="F115" i="18"/>
  <c r="F331" i="18"/>
  <c r="E331" i="18" s="1"/>
  <c r="F166" i="27"/>
  <c r="F165" i="27"/>
  <c r="F164" i="27"/>
  <c r="F160" i="27"/>
  <c r="F162" i="27"/>
  <c r="F161" i="27"/>
  <c r="F20" i="27"/>
  <c r="F158" i="27"/>
  <c r="F157" i="27"/>
  <c r="F24" i="27"/>
  <c r="F109" i="18"/>
  <c r="E109" i="18" s="1"/>
  <c r="F110" i="18"/>
  <c r="E110" i="18" s="1"/>
  <c r="F108" i="18"/>
  <c r="E108" i="18" s="1"/>
  <c r="F107" i="18"/>
  <c r="E107" i="18" s="1"/>
  <c r="F106" i="18"/>
  <c r="E106" i="18" s="1"/>
  <c r="F103" i="18"/>
  <c r="E103" i="18" s="1"/>
  <c r="F104" i="18"/>
  <c r="F97" i="18"/>
  <c r="E97" i="18" s="1"/>
  <c r="F98" i="18"/>
  <c r="E98" i="18" s="1"/>
  <c r="F91" i="18"/>
  <c r="E91" i="18" s="1"/>
  <c r="F92" i="18"/>
  <c r="E92" i="18" s="1"/>
  <c r="F96" i="18"/>
  <c r="E96" i="18" s="1"/>
  <c r="F95" i="18"/>
  <c r="E95" i="18" s="1"/>
  <c r="F94" i="18"/>
  <c r="E94" i="18" s="1"/>
  <c r="F112" i="18"/>
  <c r="E112" i="18" s="1"/>
  <c r="F111" i="18"/>
  <c r="E111" i="18" s="1"/>
  <c r="F105" i="18"/>
  <c r="E105" i="18" s="1"/>
  <c r="F100" i="18"/>
  <c r="F99" i="18"/>
  <c r="E100" i="18" s="1"/>
  <c r="F93" i="18"/>
  <c r="E93" i="18" s="1"/>
  <c r="F39" i="31"/>
  <c r="F40" i="31"/>
  <c r="F25" i="31"/>
  <c r="F24" i="31"/>
  <c r="F23" i="31"/>
  <c r="F20" i="31"/>
  <c r="E20" i="31" s="1"/>
  <c r="F22" i="31"/>
  <c r="E22" i="31" s="1"/>
  <c r="F21" i="31"/>
  <c r="E21" i="31" s="1"/>
  <c r="F19" i="31"/>
  <c r="E19" i="31" s="1"/>
  <c r="F41" i="31"/>
  <c r="F36" i="31"/>
  <c r="E36" i="31" s="1"/>
  <c r="F38" i="31"/>
  <c r="E38" i="31" s="1"/>
  <c r="F37" i="31"/>
  <c r="E37" i="31" s="1"/>
  <c r="F35" i="23"/>
  <c r="E35" i="23" s="1"/>
  <c r="F34" i="23"/>
  <c r="E34" i="23" s="1"/>
  <c r="F33" i="23"/>
  <c r="E33" i="23" s="1"/>
  <c r="F32" i="23"/>
  <c r="E32" i="23" s="1"/>
  <c r="F31" i="23"/>
  <c r="E31" i="23" s="1"/>
  <c r="F30" i="23"/>
  <c r="E30" i="23" s="1"/>
  <c r="F29" i="23"/>
  <c r="E29" i="23" s="1"/>
  <c r="F28" i="23"/>
  <c r="E28" i="23" s="1"/>
  <c r="F27" i="23"/>
  <c r="E27" i="23" s="1"/>
  <c r="F26" i="23"/>
  <c r="E26" i="23" s="1"/>
  <c r="F25" i="23"/>
  <c r="E25" i="23" s="1"/>
  <c r="F24" i="23"/>
  <c r="E24" i="23" s="1"/>
  <c r="F23" i="23"/>
  <c r="E23" i="23" s="1"/>
  <c r="F22" i="23"/>
  <c r="E22" i="23" s="1"/>
  <c r="F21" i="23"/>
  <c r="E21" i="23" s="1"/>
  <c r="F20" i="23"/>
  <c r="E20" i="23" s="1"/>
  <c r="F19" i="23"/>
  <c r="E19" i="23" s="1"/>
  <c r="F18" i="23"/>
  <c r="E18" i="23" s="1"/>
  <c r="F17" i="23"/>
  <c r="E17" i="23" s="1"/>
  <c r="F16" i="23"/>
  <c r="E16" i="23" s="1"/>
  <c r="F11" i="23"/>
  <c r="E11" i="23" s="1"/>
  <c r="F71" i="23"/>
  <c r="E71" i="23" s="1"/>
  <c r="F139" i="12"/>
  <c r="E139" i="12" s="1"/>
  <c r="F138" i="12"/>
  <c r="E138" i="12" s="1"/>
  <c r="F22" i="18"/>
  <c r="E22" i="18" s="1"/>
  <c r="F57" i="31"/>
  <c r="E57" i="31" s="1"/>
  <c r="F56" i="31"/>
  <c r="E56" i="31" s="1"/>
  <c r="F55" i="31"/>
  <c r="E55" i="31" s="1"/>
  <c r="F53" i="31"/>
  <c r="E53" i="31" s="1"/>
  <c r="F50" i="31"/>
  <c r="E50" i="31" s="1"/>
  <c r="F44" i="31"/>
  <c r="E44" i="31" s="1"/>
  <c r="F61" i="24"/>
  <c r="E61" i="24" s="1"/>
  <c r="F60" i="24"/>
  <c r="E60" i="24" s="1"/>
  <c r="F59" i="24"/>
  <c r="E59" i="24" s="1"/>
  <c r="F22" i="32"/>
  <c r="E22" i="32" s="1"/>
  <c r="F10" i="32"/>
  <c r="E10" i="32" s="1"/>
  <c r="F30" i="32"/>
  <c r="E30" i="32" s="1"/>
  <c r="F27" i="32"/>
  <c r="E27" i="32" s="1"/>
  <c r="F26" i="32"/>
  <c r="E26" i="32" s="1"/>
  <c r="F25" i="32"/>
  <c r="E25" i="32" s="1"/>
  <c r="F24" i="32"/>
  <c r="F23" i="32"/>
  <c r="E23" i="32" s="1"/>
  <c r="F11" i="32"/>
  <c r="E11" i="32" s="1"/>
  <c r="F7" i="32"/>
  <c r="E7" i="32" s="1"/>
  <c r="F16" i="31"/>
  <c r="E16" i="31" s="1"/>
  <c r="F9" i="31"/>
  <c r="E9" i="31" s="1"/>
  <c r="F6" i="31"/>
  <c r="E6" i="31" s="1"/>
  <c r="F3" i="31"/>
  <c r="E3" i="31" s="1"/>
  <c r="F2" i="31"/>
  <c r="E2" i="31" s="1"/>
  <c r="F149" i="27"/>
  <c r="E149" i="27" s="1"/>
  <c r="F12" i="30"/>
  <c r="E12" i="30" s="1"/>
  <c r="F11" i="30"/>
  <c r="E11" i="30" s="1"/>
  <c r="F10" i="30"/>
  <c r="E10" i="30" s="1"/>
  <c r="F9" i="30"/>
  <c r="E9" i="30" s="1"/>
  <c r="F7" i="30"/>
  <c r="E7" i="30" s="1"/>
  <c r="F6" i="30"/>
  <c r="E6" i="30" s="1"/>
  <c r="F5" i="30"/>
  <c r="E5" i="30" s="1"/>
  <c r="F4" i="30"/>
  <c r="E4" i="30" s="1"/>
  <c r="F3" i="30"/>
  <c r="E3" i="30" s="1"/>
  <c r="F22" i="29"/>
  <c r="E22" i="29" s="1"/>
  <c r="F13" i="29"/>
  <c r="E13" i="29" s="1"/>
  <c r="F10" i="29"/>
  <c r="E10" i="29" s="1"/>
  <c r="F143" i="27"/>
  <c r="E143" i="27" s="1"/>
  <c r="F142" i="27"/>
  <c r="F139" i="27"/>
  <c r="E139" i="27" s="1"/>
  <c r="F135" i="27"/>
  <c r="E135" i="27" s="1"/>
  <c r="F134" i="27"/>
  <c r="E134" i="27" s="1"/>
  <c r="F132" i="27"/>
  <c r="E132" i="27" s="1"/>
  <c r="F57" i="24"/>
  <c r="E57" i="24" s="1"/>
  <c r="F56" i="24"/>
  <c r="E56" i="24" s="1"/>
  <c r="F55" i="24"/>
  <c r="E55" i="24" s="1"/>
  <c r="F129" i="27"/>
  <c r="E129" i="27" s="1"/>
  <c r="F128" i="27"/>
  <c r="E128" i="27" s="1"/>
  <c r="F126" i="27"/>
  <c r="F125" i="27"/>
  <c r="E125" i="27" s="1"/>
  <c r="F118" i="27"/>
  <c r="F119" i="27"/>
  <c r="E119" i="27" s="1"/>
  <c r="F121" i="27"/>
  <c r="F122" i="27"/>
  <c r="E122" i="27" s="1"/>
  <c r="F120" i="27"/>
  <c r="E120" i="27" s="1"/>
  <c r="F117" i="27"/>
  <c r="E117" i="27" s="1"/>
  <c r="F104" i="27"/>
  <c r="E104" i="27" s="1"/>
  <c r="F100" i="27"/>
  <c r="E100" i="27" s="1"/>
  <c r="F99" i="27"/>
  <c r="E99" i="27" s="1"/>
  <c r="F97" i="27"/>
  <c r="E97" i="27" s="1"/>
  <c r="F95" i="27"/>
  <c r="E95" i="27" s="1"/>
  <c r="F91" i="27"/>
  <c r="E91" i="27" s="1"/>
  <c r="F97" i="28"/>
  <c r="E97" i="28" s="1"/>
  <c r="F96" i="28"/>
  <c r="E96" i="28" s="1"/>
  <c r="F95" i="28"/>
  <c r="E95" i="28" s="1"/>
  <c r="F94" i="28"/>
  <c r="E94" i="28" s="1"/>
  <c r="F93" i="28"/>
  <c r="E93" i="28" s="1"/>
  <c r="F92" i="28"/>
  <c r="E92" i="28" s="1"/>
  <c r="F91" i="28"/>
  <c r="E91" i="28" s="1"/>
  <c r="F90" i="28"/>
  <c r="E90" i="28" s="1"/>
  <c r="F89" i="28"/>
  <c r="E89" i="28" s="1"/>
  <c r="F88" i="28"/>
  <c r="E88" i="28" s="1"/>
  <c r="F87" i="28"/>
  <c r="E87" i="28" s="1"/>
  <c r="F86" i="28"/>
  <c r="E86" i="28" s="1"/>
  <c r="F85" i="28"/>
  <c r="E85" i="28" s="1"/>
  <c r="F84" i="28"/>
  <c r="E84" i="28" s="1"/>
  <c r="F83" i="28"/>
  <c r="E83" i="28" s="1"/>
  <c r="F82" i="28"/>
  <c r="E82" i="28" s="1"/>
  <c r="F81" i="28"/>
  <c r="E81" i="28" s="1"/>
  <c r="F80" i="28"/>
  <c r="E80" i="28" s="1"/>
  <c r="F79" i="28"/>
  <c r="E79" i="28" s="1"/>
  <c r="F78" i="28"/>
  <c r="E78" i="28" s="1"/>
  <c r="F77" i="28"/>
  <c r="E77" i="28" s="1"/>
  <c r="F76" i="28"/>
  <c r="E76" i="28" s="1"/>
  <c r="F71" i="28"/>
  <c r="E71" i="28" s="1"/>
  <c r="F64" i="28"/>
  <c r="E64" i="28" s="1"/>
  <c r="F63" i="28"/>
  <c r="E63" i="28" s="1"/>
  <c r="F58" i="28"/>
  <c r="F57" i="28"/>
  <c r="F56" i="28"/>
  <c r="F55" i="28"/>
  <c r="F54" i="28"/>
  <c r="F53" i="28"/>
  <c r="F52" i="28"/>
  <c r="F51" i="28"/>
  <c r="F50" i="28"/>
  <c r="F42" i="28"/>
  <c r="E42" i="28" s="1"/>
  <c r="F23" i="28"/>
  <c r="E23" i="28" s="1"/>
  <c r="F22" i="28"/>
  <c r="F21" i="28"/>
  <c r="F20" i="28"/>
  <c r="E20" i="28" s="1"/>
  <c r="F19" i="28"/>
  <c r="F18" i="28"/>
  <c r="F17" i="28"/>
  <c r="E17" i="28" s="1"/>
  <c r="F16" i="28"/>
  <c r="F15" i="28"/>
  <c r="F14" i="28"/>
  <c r="F13" i="28"/>
  <c r="F12" i="28"/>
  <c r="F4" i="28"/>
  <c r="E4" i="28" s="1"/>
  <c r="F3" i="28"/>
  <c r="E3" i="28" s="1"/>
  <c r="F2" i="28"/>
  <c r="E2" i="28" s="1"/>
  <c r="F87" i="27"/>
  <c r="E87" i="27" s="1"/>
  <c r="F86" i="27"/>
  <c r="E86" i="27" s="1"/>
  <c r="F85" i="27"/>
  <c r="E85" i="27" s="1"/>
  <c r="F84" i="27"/>
  <c r="E84" i="27" s="1"/>
  <c r="F83" i="27"/>
  <c r="E83" i="27" s="1"/>
  <c r="F82" i="27"/>
  <c r="E82" i="27" s="1"/>
  <c r="F81" i="27"/>
  <c r="E81" i="27" s="1"/>
  <c r="F80" i="27"/>
  <c r="E80" i="27" s="1"/>
  <c r="F79" i="27"/>
  <c r="E79" i="27" s="1"/>
  <c r="F78" i="27"/>
  <c r="E78" i="27" s="1"/>
  <c r="F77" i="27"/>
  <c r="E77" i="27" s="1"/>
  <c r="F76" i="27"/>
  <c r="E76" i="27" s="1"/>
  <c r="F75" i="27"/>
  <c r="E75" i="27" s="1"/>
  <c r="F74" i="27"/>
  <c r="E74" i="27" s="1"/>
  <c r="F73" i="27"/>
  <c r="E73" i="27" s="1"/>
  <c r="F72" i="27"/>
  <c r="E72" i="27" s="1"/>
  <c r="F71" i="27"/>
  <c r="E71" i="27" s="1"/>
  <c r="F70" i="27"/>
  <c r="E70" i="27" s="1"/>
  <c r="F69" i="27"/>
  <c r="E69" i="27" s="1"/>
  <c r="F68" i="27"/>
  <c r="E68" i="27" s="1"/>
  <c r="F64" i="27"/>
  <c r="E64" i="27" s="1"/>
  <c r="F10" i="27"/>
  <c r="E10" i="27" s="1"/>
  <c r="F4" i="27"/>
  <c r="E4" i="27" s="1"/>
  <c r="F3" i="27"/>
  <c r="E3" i="27" s="1"/>
  <c r="F17" i="27"/>
  <c r="E17" i="27" s="1"/>
  <c r="F14" i="27"/>
  <c r="E14" i="27" s="1"/>
  <c r="F13" i="27"/>
  <c r="E13" i="27" s="1"/>
  <c r="F12" i="27"/>
  <c r="E12" i="27" s="1"/>
  <c r="F11" i="27"/>
  <c r="E11" i="27" s="1"/>
  <c r="F9" i="27"/>
  <c r="E9" i="27" s="1"/>
  <c r="F8" i="27"/>
  <c r="E8" i="27" s="1"/>
  <c r="F7" i="27"/>
  <c r="E7" i="27" s="1"/>
  <c r="F56" i="27"/>
  <c r="E56" i="27" s="1"/>
  <c r="F41" i="27"/>
  <c r="E41" i="27" s="1"/>
  <c r="F58" i="27"/>
  <c r="E58" i="27" s="1"/>
  <c r="F55" i="27"/>
  <c r="E55" i="27" s="1"/>
  <c r="F22" i="27"/>
  <c r="F21" i="27"/>
  <c r="F40" i="27"/>
  <c r="E40" i="27" s="1"/>
  <c r="F57" i="27"/>
  <c r="E57" i="27" s="1"/>
  <c r="F27" i="27"/>
  <c r="E27" i="27" s="1"/>
  <c r="F28" i="27"/>
  <c r="E28" i="27" s="1"/>
  <c r="F33" i="27"/>
  <c r="E33" i="27" s="1"/>
  <c r="F92" i="26"/>
  <c r="E92" i="26" s="1"/>
  <c r="F91" i="26"/>
  <c r="E91" i="26" s="1"/>
  <c r="F90" i="26"/>
  <c r="E90" i="26" s="1"/>
  <c r="F89" i="26"/>
  <c r="E89" i="26" s="1"/>
  <c r="F88" i="26"/>
  <c r="E88" i="26" s="1"/>
  <c r="F87" i="26"/>
  <c r="E87" i="26" s="1"/>
  <c r="F86" i="26"/>
  <c r="E86" i="26" s="1"/>
  <c r="F85" i="26"/>
  <c r="E85" i="26" s="1"/>
  <c r="F84" i="26"/>
  <c r="E84" i="26" s="1"/>
  <c r="F83" i="26"/>
  <c r="E83" i="26" s="1"/>
  <c r="F82" i="26"/>
  <c r="E82" i="26" s="1"/>
  <c r="F81" i="26"/>
  <c r="E81" i="26" s="1"/>
  <c r="F80" i="26"/>
  <c r="E80" i="26" s="1"/>
  <c r="F79" i="26"/>
  <c r="E79" i="26" s="1"/>
  <c r="F78" i="26"/>
  <c r="E78" i="26" s="1"/>
  <c r="F77" i="26"/>
  <c r="E77" i="26" s="1"/>
  <c r="F76" i="26"/>
  <c r="E76" i="26" s="1"/>
  <c r="F75" i="26"/>
  <c r="E75" i="26" s="1"/>
  <c r="F74" i="26"/>
  <c r="E74" i="26" s="1"/>
  <c r="F73" i="26"/>
  <c r="E73" i="26" s="1"/>
  <c r="F59" i="26"/>
  <c r="E59" i="26" s="1"/>
  <c r="F57" i="26"/>
  <c r="E57" i="26" s="1"/>
  <c r="F38" i="26"/>
  <c r="E38" i="26" s="1"/>
  <c r="F37" i="26"/>
  <c r="E37" i="26" s="1"/>
  <c r="F71" i="26"/>
  <c r="E71" i="26" s="1"/>
  <c r="F18" i="26"/>
  <c r="E18" i="26" s="1"/>
  <c r="F16" i="26"/>
  <c r="E16" i="26" s="1"/>
  <c r="F50" i="26"/>
  <c r="E50" i="26" s="1"/>
  <c r="F67" i="26"/>
  <c r="E67" i="26" s="1"/>
  <c r="F60" i="26"/>
  <c r="E60" i="26" s="1"/>
  <c r="F3" i="26"/>
  <c r="E3" i="26" s="1"/>
  <c r="F19" i="26"/>
  <c r="E19" i="26" s="1"/>
  <c r="F17" i="26"/>
  <c r="E17" i="26" s="1"/>
  <c r="F53" i="24"/>
  <c r="E53" i="24" s="1"/>
  <c r="F52" i="24"/>
  <c r="E52" i="24" s="1"/>
  <c r="F70" i="25"/>
  <c r="E70" i="25" s="1"/>
  <c r="F67" i="25"/>
  <c r="E67" i="25" s="1"/>
  <c r="F60" i="25"/>
  <c r="E60" i="25" s="1"/>
  <c r="F56" i="25"/>
  <c r="E56" i="25" s="1"/>
  <c r="F55" i="25"/>
  <c r="E55" i="25" s="1"/>
  <c r="F54" i="25"/>
  <c r="E54" i="25" s="1"/>
  <c r="F53" i="25"/>
  <c r="E53" i="25" s="1"/>
  <c r="F52" i="25"/>
  <c r="E52" i="25" s="1"/>
  <c r="F51" i="25"/>
  <c r="E51" i="25" s="1"/>
  <c r="F50" i="25"/>
  <c r="E50" i="25" s="1"/>
  <c r="F49" i="25"/>
  <c r="E49" i="25" s="1"/>
  <c r="F48" i="25"/>
  <c r="E48" i="25" s="1"/>
  <c r="F47" i="25"/>
  <c r="E47" i="25" s="1"/>
  <c r="F46" i="25"/>
  <c r="E46" i="25" s="1"/>
  <c r="F45" i="25"/>
  <c r="E45" i="25" s="1"/>
  <c r="F44" i="25"/>
  <c r="E44" i="25" s="1"/>
  <c r="F43" i="25"/>
  <c r="E43" i="25" s="1"/>
  <c r="F42" i="25"/>
  <c r="E42" i="25" s="1"/>
  <c r="F41" i="25"/>
  <c r="E41" i="25" s="1"/>
  <c r="F40" i="25"/>
  <c r="E40" i="25" s="1"/>
  <c r="F39" i="25"/>
  <c r="E39" i="25" s="1"/>
  <c r="F38" i="25"/>
  <c r="E38" i="25" s="1"/>
  <c r="F37" i="25"/>
  <c r="E37" i="25" s="1"/>
  <c r="F36" i="25"/>
  <c r="E36" i="25" s="1"/>
  <c r="F35" i="25"/>
  <c r="E35" i="25" s="1"/>
  <c r="F34" i="25"/>
  <c r="E34" i="25" s="1"/>
  <c r="F33" i="25"/>
  <c r="E33" i="25" s="1"/>
  <c r="F32" i="25"/>
  <c r="E32" i="25" s="1"/>
  <c r="F31" i="25"/>
  <c r="E31" i="25" s="1"/>
  <c r="F30" i="25"/>
  <c r="E30" i="25" s="1"/>
  <c r="F29" i="25"/>
  <c r="E29" i="25" s="1"/>
  <c r="F28" i="25"/>
  <c r="E28" i="25" s="1"/>
  <c r="F27" i="25"/>
  <c r="E27" i="25" s="1"/>
  <c r="F26" i="25"/>
  <c r="E26" i="25" s="1"/>
  <c r="F25" i="25"/>
  <c r="E25" i="25" s="1"/>
  <c r="F24" i="25"/>
  <c r="E24" i="25" s="1"/>
  <c r="F23" i="25"/>
  <c r="E23" i="25" s="1"/>
  <c r="F22" i="25"/>
  <c r="E22" i="25" s="1"/>
  <c r="F21" i="25"/>
  <c r="E21" i="25" s="1"/>
  <c r="F20" i="25"/>
  <c r="E20" i="25" s="1"/>
  <c r="F19" i="25"/>
  <c r="E19" i="25" s="1"/>
  <c r="F18" i="25"/>
  <c r="E18" i="25" s="1"/>
  <c r="F17" i="25"/>
  <c r="E17" i="25" s="1"/>
  <c r="F16" i="25"/>
  <c r="E16" i="25" s="1"/>
  <c r="F9" i="25"/>
  <c r="E9" i="25" s="1"/>
  <c r="F15" i="25"/>
  <c r="E15" i="25" s="1"/>
  <c r="F13" i="25"/>
  <c r="E13" i="25" s="1"/>
  <c r="F12" i="25"/>
  <c r="E12" i="25" s="1"/>
  <c r="F14" i="25"/>
  <c r="E14" i="25" s="1"/>
  <c r="F11" i="25"/>
  <c r="E11" i="25" s="1"/>
  <c r="F10" i="25"/>
  <c r="E10" i="25" s="1"/>
  <c r="F8" i="25"/>
  <c r="E8" i="25" s="1"/>
  <c r="F3" i="25"/>
  <c r="E3" i="25" s="1"/>
  <c r="F48" i="24"/>
  <c r="E48" i="24" s="1"/>
  <c r="F47" i="24"/>
  <c r="E47" i="24" s="1"/>
  <c r="F43" i="24"/>
  <c r="E43" i="24" s="1"/>
  <c r="F42" i="24"/>
  <c r="E42" i="24" s="1"/>
  <c r="F41" i="24"/>
  <c r="E41" i="24" s="1"/>
  <c r="F40" i="24"/>
  <c r="E40" i="24" s="1"/>
  <c r="F39" i="24"/>
  <c r="E39" i="24" s="1"/>
  <c r="F38" i="24"/>
  <c r="E38" i="24" s="1"/>
  <c r="F37" i="24"/>
  <c r="E37" i="24" s="1"/>
  <c r="F36" i="24"/>
  <c r="E36" i="24" s="1"/>
  <c r="F35" i="24"/>
  <c r="E35" i="24" s="1"/>
  <c r="F34" i="24"/>
  <c r="E34" i="24" s="1"/>
  <c r="F33" i="24"/>
  <c r="E33" i="24" s="1"/>
  <c r="F32" i="24"/>
  <c r="E32" i="24" s="1"/>
  <c r="F31" i="24"/>
  <c r="E31" i="24" s="1"/>
  <c r="F30" i="24"/>
  <c r="E30" i="24" s="1"/>
  <c r="F29" i="24"/>
  <c r="E29" i="24" s="1"/>
  <c r="F28" i="24"/>
  <c r="E28" i="24" s="1"/>
  <c r="F27" i="24"/>
  <c r="E27" i="24" s="1"/>
  <c r="F26" i="24"/>
  <c r="E26" i="24" s="1"/>
  <c r="F25" i="24"/>
  <c r="E25" i="24" s="1"/>
  <c r="F24" i="24"/>
  <c r="E24" i="24" s="1"/>
  <c r="F19" i="24"/>
  <c r="E19" i="24" s="1"/>
  <c r="F15" i="24"/>
  <c r="E15" i="24" s="1"/>
  <c r="F14" i="24"/>
  <c r="E14" i="24" s="1"/>
  <c r="F96" i="23"/>
  <c r="E96" i="23" s="1"/>
  <c r="F95" i="23"/>
  <c r="E95" i="23" s="1"/>
  <c r="F94" i="23"/>
  <c r="E94" i="23" s="1"/>
  <c r="F93" i="23"/>
  <c r="E93" i="23" s="1"/>
  <c r="F92" i="23"/>
  <c r="E92" i="23" s="1"/>
  <c r="F91" i="23"/>
  <c r="E91" i="23" s="1"/>
  <c r="F90" i="23"/>
  <c r="E90" i="23" s="1"/>
  <c r="F89" i="23"/>
  <c r="E89" i="23" s="1"/>
  <c r="F88" i="23"/>
  <c r="E88" i="23" s="1"/>
  <c r="F87" i="23"/>
  <c r="E87" i="23" s="1"/>
  <c r="F86" i="23"/>
  <c r="E86" i="23" s="1"/>
  <c r="F85" i="23"/>
  <c r="E85" i="23" s="1"/>
  <c r="F84" i="23"/>
  <c r="E84" i="23" s="1"/>
  <c r="F83" i="23"/>
  <c r="E83" i="23" s="1"/>
  <c r="F82" i="23"/>
  <c r="E82" i="23" s="1"/>
  <c r="F81" i="23"/>
  <c r="E81" i="23" s="1"/>
  <c r="F80" i="23"/>
  <c r="E80" i="23" s="1"/>
  <c r="F79" i="23"/>
  <c r="E79" i="23" s="1"/>
  <c r="F78" i="23"/>
  <c r="E78" i="23" s="1"/>
  <c r="F77" i="23"/>
  <c r="E77" i="23" s="1"/>
  <c r="F76" i="23"/>
  <c r="E76" i="23" s="1"/>
  <c r="F75" i="23"/>
  <c r="E75" i="23" s="1"/>
  <c r="F74" i="23"/>
  <c r="E74" i="23" s="1"/>
  <c r="F73" i="23"/>
  <c r="E73" i="23" s="1"/>
  <c r="F70" i="23"/>
  <c r="E70" i="23" s="1"/>
  <c r="F69" i="23"/>
  <c r="E69" i="23" s="1"/>
  <c r="E67" i="23"/>
  <c r="F66" i="23"/>
  <c r="E66" i="23" s="1"/>
  <c r="F65" i="23"/>
  <c r="E65" i="23" s="1"/>
  <c r="F64" i="23"/>
  <c r="E64" i="23" s="1"/>
  <c r="F63" i="23"/>
  <c r="E63" i="23" s="1"/>
  <c r="F62" i="23"/>
  <c r="E62" i="23" s="1"/>
  <c r="F61" i="23"/>
  <c r="E61" i="23" s="1"/>
  <c r="F60" i="23"/>
  <c r="E60" i="23" s="1"/>
  <c r="F58" i="23"/>
  <c r="E58" i="23" s="1"/>
  <c r="F57" i="23"/>
  <c r="E57" i="23" s="1"/>
  <c r="F56" i="23"/>
  <c r="E56" i="23" s="1"/>
  <c r="F55" i="23"/>
  <c r="E55" i="23" s="1"/>
  <c r="F54" i="23"/>
  <c r="E54" i="23" s="1"/>
  <c r="F53" i="23"/>
  <c r="E53" i="23" s="1"/>
  <c r="F52" i="23"/>
  <c r="E52" i="23" s="1"/>
  <c r="F51" i="23"/>
  <c r="E51" i="23" s="1"/>
  <c r="F50" i="23"/>
  <c r="E50" i="23" s="1"/>
  <c r="F49" i="23"/>
  <c r="E49" i="23" s="1"/>
  <c r="F48" i="23"/>
  <c r="E48" i="23" s="1"/>
  <c r="F47" i="23"/>
  <c r="E47" i="23" s="1"/>
  <c r="F46" i="23"/>
  <c r="E46" i="23" s="1"/>
  <c r="F45" i="23"/>
  <c r="E45" i="23" s="1"/>
  <c r="F44" i="23"/>
  <c r="E44" i="23" s="1"/>
  <c r="F43" i="23"/>
  <c r="E43" i="23" s="1"/>
  <c r="F42" i="23"/>
  <c r="E42" i="23" s="1"/>
  <c r="F41" i="23"/>
  <c r="E41" i="23" s="1"/>
  <c r="F40" i="23"/>
  <c r="E40" i="23" s="1"/>
  <c r="F39" i="23"/>
  <c r="E39" i="23" s="1"/>
  <c r="F38" i="23"/>
  <c r="E38" i="23" s="1"/>
  <c r="F37" i="23"/>
  <c r="E37" i="23" s="1"/>
  <c r="F15" i="23"/>
  <c r="E15" i="23" s="1"/>
  <c r="F14" i="23"/>
  <c r="E14" i="23" s="1"/>
  <c r="F13" i="23"/>
  <c r="E13" i="23" s="1"/>
  <c r="F12" i="23"/>
  <c r="E12" i="23" s="1"/>
  <c r="F10" i="23"/>
  <c r="E10" i="23" s="1"/>
  <c r="F9" i="23"/>
  <c r="E9" i="23" s="1"/>
  <c r="F8" i="23"/>
  <c r="E8" i="23" s="1"/>
  <c r="F7" i="23"/>
  <c r="E7" i="23" s="1"/>
  <c r="F6" i="23"/>
  <c r="E6" i="23" s="1"/>
  <c r="F5" i="23"/>
  <c r="E5" i="23" s="1"/>
  <c r="F4" i="23"/>
  <c r="E4" i="23" s="1"/>
  <c r="F3" i="23"/>
  <c r="E3" i="23" s="1"/>
  <c r="F2" i="23"/>
  <c r="E2" i="23" s="1"/>
  <c r="F90" i="13"/>
  <c r="E90" i="13" s="1"/>
  <c r="F89" i="13"/>
  <c r="E89" i="13" s="1"/>
  <c r="F88" i="13"/>
  <c r="E88" i="13" s="1"/>
  <c r="F87" i="13"/>
  <c r="E87" i="13" s="1"/>
  <c r="F86" i="13"/>
  <c r="E86" i="13" s="1"/>
  <c r="F85" i="13"/>
  <c r="E85" i="13" s="1"/>
  <c r="F84" i="13"/>
  <c r="E84" i="13" s="1"/>
  <c r="F83" i="13"/>
  <c r="E83" i="13" s="1"/>
  <c r="F82" i="13"/>
  <c r="E82" i="13" s="1"/>
  <c r="F81" i="13"/>
  <c r="E81" i="13" s="1"/>
  <c r="F80" i="13"/>
  <c r="E80" i="13" s="1"/>
  <c r="F79" i="13"/>
  <c r="E79" i="13" s="1"/>
  <c r="F78" i="13"/>
  <c r="E78" i="13" s="1"/>
  <c r="F77" i="13"/>
  <c r="E77" i="13" s="1"/>
  <c r="F76" i="13"/>
  <c r="E76" i="13" s="1"/>
  <c r="F75" i="13"/>
  <c r="E75" i="13" s="1"/>
  <c r="F74" i="13"/>
  <c r="E74" i="13" s="1"/>
  <c r="F73" i="13"/>
  <c r="E73" i="13" s="1"/>
  <c r="F72" i="13"/>
  <c r="E72" i="13" s="1"/>
  <c r="F71" i="13"/>
  <c r="E71" i="13" s="1"/>
  <c r="F42" i="13"/>
  <c r="F32" i="21"/>
  <c r="E32" i="21" s="1"/>
  <c r="F30" i="21"/>
  <c r="E30" i="21" s="1"/>
  <c r="F24" i="21"/>
  <c r="E24" i="21" s="1"/>
  <c r="F23" i="21"/>
  <c r="E23" i="21" s="1"/>
  <c r="F33" i="21"/>
  <c r="E33" i="21" s="1"/>
  <c r="F22" i="21"/>
  <c r="E22" i="21" s="1"/>
  <c r="F18" i="21"/>
  <c r="E18" i="21" s="1"/>
  <c r="F55" i="21"/>
  <c r="E55" i="21" s="1"/>
  <c r="F54" i="21"/>
  <c r="E54" i="21" s="1"/>
  <c r="F53" i="21"/>
  <c r="E53" i="21" s="1"/>
  <c r="F52" i="21"/>
  <c r="E52" i="21" s="1"/>
  <c r="F51" i="21"/>
  <c r="E51" i="21" s="1"/>
  <c r="F50" i="21"/>
  <c r="E50" i="21" s="1"/>
  <c r="F49" i="21"/>
  <c r="E49" i="21" s="1"/>
  <c r="F48" i="21"/>
  <c r="E48" i="21" s="1"/>
  <c r="F47" i="21"/>
  <c r="E47" i="21" s="1"/>
  <c r="F46" i="21"/>
  <c r="E46" i="21" s="1"/>
  <c r="F45" i="21"/>
  <c r="E45" i="21" s="1"/>
  <c r="F44" i="21"/>
  <c r="E44" i="21" s="1"/>
  <c r="F43" i="21"/>
  <c r="E43" i="21" s="1"/>
  <c r="F42" i="21"/>
  <c r="E42" i="21" s="1"/>
  <c r="F41" i="21"/>
  <c r="E41" i="21" s="1"/>
  <c r="F40" i="21"/>
  <c r="E40" i="21" s="1"/>
  <c r="F39" i="21"/>
  <c r="E39" i="21" s="1"/>
  <c r="F38" i="21"/>
  <c r="E38" i="21" s="1"/>
  <c r="F37" i="21"/>
  <c r="E37" i="21" s="1"/>
  <c r="F36" i="21"/>
  <c r="E36" i="21" s="1"/>
  <c r="F34" i="21"/>
  <c r="E34" i="21" s="1"/>
  <c r="F25" i="21"/>
  <c r="E25" i="21" s="1"/>
  <c r="F15" i="21"/>
  <c r="E15" i="21" s="1"/>
  <c r="F13" i="21"/>
  <c r="E13" i="21" s="1"/>
  <c r="F11" i="21"/>
  <c r="E11" i="21" s="1"/>
  <c r="F9" i="21"/>
  <c r="E9" i="21" s="1"/>
  <c r="F7" i="21"/>
  <c r="E7" i="21" s="1"/>
  <c r="F3304" i="1"/>
  <c r="E3304" i="1" s="1"/>
  <c r="F3303" i="1"/>
  <c r="F3298" i="1"/>
  <c r="E3298" i="1" s="1"/>
  <c r="F3297" i="1"/>
  <c r="F3300" i="1"/>
  <c r="E3300" i="1" s="1"/>
  <c r="F3299" i="1"/>
  <c r="F2169" i="1"/>
  <c r="E2169" i="1" s="1"/>
  <c r="F131" i="12"/>
  <c r="E131" i="12" s="1"/>
  <c r="F125" i="12"/>
  <c r="E125" i="12" s="1"/>
  <c r="F124" i="12"/>
  <c r="F174" i="20"/>
  <c r="E174" i="20" s="1"/>
  <c r="F173" i="20"/>
  <c r="E173" i="20" s="1"/>
  <c r="F172" i="20"/>
  <c r="E172" i="20" s="1"/>
  <c r="F171" i="20"/>
  <c r="E171" i="20" s="1"/>
  <c r="F175" i="20"/>
  <c r="E175" i="20" s="1"/>
  <c r="F176" i="20"/>
  <c r="E176" i="20" s="1"/>
  <c r="F177" i="20"/>
  <c r="E177" i="20" s="1"/>
  <c r="F178" i="20"/>
  <c r="E178" i="20" s="1"/>
  <c r="F179" i="20"/>
  <c r="E179" i="20" s="1"/>
  <c r="F180" i="20"/>
  <c r="E180" i="20" s="1"/>
  <c r="F184" i="20"/>
  <c r="E184" i="20" s="1"/>
  <c r="F183" i="20"/>
  <c r="E183" i="20" s="1"/>
  <c r="F182" i="20"/>
  <c r="E182" i="20" s="1"/>
  <c r="F168" i="20"/>
  <c r="E168" i="20" s="1"/>
  <c r="F167" i="20"/>
  <c r="E167" i="20" s="1"/>
  <c r="F166" i="20"/>
  <c r="E166" i="20" s="1"/>
  <c r="F165" i="20"/>
  <c r="E165" i="20" s="1"/>
  <c r="F164" i="20"/>
  <c r="E164" i="20" s="1"/>
  <c r="F161" i="20"/>
  <c r="E161" i="20" s="1"/>
  <c r="F160" i="20"/>
  <c r="E160" i="20" s="1"/>
  <c r="F156" i="20"/>
  <c r="F155" i="20"/>
  <c r="F154" i="20"/>
  <c r="F149" i="20"/>
  <c r="F148" i="20"/>
  <c r="F147" i="20"/>
  <c r="F143" i="20"/>
  <c r="F142" i="20"/>
  <c r="F141" i="20"/>
  <c r="F135" i="20"/>
  <c r="F134" i="20"/>
  <c r="F133" i="20"/>
  <c r="F127" i="20"/>
  <c r="F126" i="20"/>
  <c r="F125" i="20"/>
  <c r="F113" i="20"/>
  <c r="F112" i="20"/>
  <c r="F111" i="20"/>
  <c r="F107" i="20"/>
  <c r="F106" i="20"/>
  <c r="F105" i="20"/>
  <c r="F101" i="20"/>
  <c r="F100" i="20"/>
  <c r="F99" i="20"/>
  <c r="F95" i="20"/>
  <c r="F94" i="20"/>
  <c r="F93" i="20"/>
  <c r="F73" i="20"/>
  <c r="F72" i="20"/>
  <c r="F74" i="20"/>
  <c r="F71" i="20"/>
  <c r="F70" i="20"/>
  <c r="F69" i="20"/>
  <c r="F61" i="20"/>
  <c r="F60" i="20"/>
  <c r="F62" i="20"/>
  <c r="F59" i="20"/>
  <c r="F58" i="20"/>
  <c r="F57" i="20"/>
  <c r="F40" i="20"/>
  <c r="E40" i="20" s="1"/>
  <c r="F36" i="20"/>
  <c r="F35" i="20"/>
  <c r="F34" i="20"/>
  <c r="E34" i="20" s="1"/>
  <c r="F33" i="20"/>
  <c r="F30" i="20"/>
  <c r="F29" i="20"/>
  <c r="F31" i="20"/>
  <c r="F24" i="20"/>
  <c r="F23" i="20"/>
  <c r="F26" i="20"/>
  <c r="F3" i="20"/>
  <c r="F2" i="20"/>
  <c r="F4" i="20"/>
  <c r="F7" i="20"/>
  <c r="E7" i="20" s="1"/>
  <c r="F6" i="20"/>
  <c r="F5" i="20"/>
  <c r="F8" i="20"/>
  <c r="E8" i="20" s="1"/>
  <c r="F39" i="20"/>
  <c r="F38" i="20"/>
  <c r="F37" i="20"/>
  <c r="F132" i="20"/>
  <c r="F131" i="20"/>
  <c r="F130" i="20"/>
  <c r="E130" i="20" s="1"/>
  <c r="F137" i="20"/>
  <c r="E137" i="20" s="1"/>
  <c r="F124" i="20"/>
  <c r="F123" i="20"/>
  <c r="F122" i="20"/>
  <c r="E122" i="20" s="1"/>
  <c r="F92" i="20"/>
  <c r="F91" i="20"/>
  <c r="F90" i="20"/>
  <c r="E90" i="20" s="1"/>
  <c r="F96" i="20"/>
  <c r="F32" i="20"/>
  <c r="F25" i="20"/>
  <c r="F28" i="20"/>
  <c r="E28" i="20" s="1"/>
  <c r="F27" i="20"/>
  <c r="F65" i="20"/>
  <c r="E65" i="20" s="1"/>
  <c r="F64" i="20"/>
  <c r="F63" i="20"/>
  <c r="F104" i="20"/>
  <c r="F103" i="20"/>
  <c r="F102" i="20"/>
  <c r="E102" i="20" s="1"/>
  <c r="F108" i="20"/>
  <c r="E108" i="20" s="1"/>
  <c r="F153" i="20"/>
  <c r="F152" i="20"/>
  <c r="F151" i="20"/>
  <c r="E151" i="20" s="1"/>
  <c r="F146" i="20"/>
  <c r="F145" i="20"/>
  <c r="F144" i="20"/>
  <c r="E144" i="20" s="1"/>
  <c r="F98" i="20"/>
  <c r="F75" i="20"/>
  <c r="F76" i="20"/>
  <c r="F56" i="20"/>
  <c r="F55" i="20"/>
  <c r="F54" i="20"/>
  <c r="E54" i="20" s="1"/>
  <c r="F68" i="20"/>
  <c r="F67" i="20"/>
  <c r="F66" i="20"/>
  <c r="E66" i="20" s="1"/>
  <c r="F115" i="20"/>
  <c r="E115" i="20" s="1"/>
  <c r="F81" i="20"/>
  <c r="F80" i="20"/>
  <c r="F79" i="20"/>
  <c r="F4175" i="1"/>
  <c r="F97" i="20"/>
  <c r="F140" i="20"/>
  <c r="F139" i="20"/>
  <c r="F110" i="20"/>
  <c r="F109" i="20"/>
  <c r="F138" i="20"/>
  <c r="F77" i="20"/>
  <c r="E77" i="20" s="1"/>
  <c r="F78" i="20"/>
  <c r="E78" i="20" s="1"/>
  <c r="F192" i="20"/>
  <c r="E192" i="20" s="1"/>
  <c r="F191" i="20"/>
  <c r="E191" i="20" s="1"/>
  <c r="F190" i="20"/>
  <c r="E190" i="20" s="1"/>
  <c r="F189" i="20"/>
  <c r="E189" i="20" s="1"/>
  <c r="F188" i="20"/>
  <c r="E188" i="20" s="1"/>
  <c r="F187" i="20"/>
  <c r="E187" i="20" s="1"/>
  <c r="F170" i="20"/>
  <c r="E170" i="20" s="1"/>
  <c r="F158" i="20"/>
  <c r="E158" i="20" s="1"/>
  <c r="F22" i="20"/>
  <c r="E22" i="20" s="1"/>
  <c r="F82" i="20"/>
  <c r="E82" i="20" s="1"/>
  <c r="F16" i="13"/>
  <c r="E16" i="13" s="1"/>
  <c r="F14" i="13"/>
  <c r="F33" i="12"/>
  <c r="E33" i="12" s="1"/>
  <c r="F26" i="9"/>
  <c r="E26" i="9" s="1"/>
  <c r="F16" i="9"/>
  <c r="F226" i="18"/>
  <c r="E226" i="18" s="1"/>
  <c r="F225" i="18"/>
  <c r="E225" i="18" s="1"/>
  <c r="F224" i="18"/>
  <c r="E224" i="18" s="1"/>
  <c r="F223" i="18"/>
  <c r="E223" i="18" s="1"/>
  <c r="F222" i="18"/>
  <c r="E222" i="18" s="1"/>
  <c r="F221" i="18"/>
  <c r="E221" i="18" s="1"/>
  <c r="F220" i="18"/>
  <c r="E220" i="18" s="1"/>
  <c r="F219" i="18"/>
  <c r="E219" i="18" s="1"/>
  <c r="F218" i="18"/>
  <c r="E218" i="18" s="1"/>
  <c r="F217" i="18"/>
  <c r="E217" i="18" s="1"/>
  <c r="F216" i="18"/>
  <c r="E216" i="18" s="1"/>
  <c r="F215" i="18"/>
  <c r="E215" i="18" s="1"/>
  <c r="F214" i="18"/>
  <c r="E214" i="18" s="1"/>
  <c r="F213" i="18"/>
  <c r="E213" i="18" s="1"/>
  <c r="F212" i="18"/>
  <c r="E212" i="18" s="1"/>
  <c r="F211" i="18"/>
  <c r="E211" i="18" s="1"/>
  <c r="F210" i="18"/>
  <c r="E210" i="18" s="1"/>
  <c r="F209" i="18"/>
  <c r="E209" i="18" s="1"/>
  <c r="F208" i="18"/>
  <c r="E208" i="18" s="1"/>
  <c r="F207" i="18"/>
  <c r="E207" i="18" s="1"/>
  <c r="F205" i="18"/>
  <c r="F289" i="18"/>
  <c r="E289" i="18" s="1"/>
  <c r="F288" i="18"/>
  <c r="E288" i="18" s="1"/>
  <c r="F287" i="18"/>
  <c r="E287" i="18" s="1"/>
  <c r="F286" i="18"/>
  <c r="E286" i="18" s="1"/>
  <c r="F285" i="18"/>
  <c r="E285" i="18" s="1"/>
  <c r="F284" i="18"/>
  <c r="E284" i="18" s="1"/>
  <c r="F283" i="18"/>
  <c r="E283" i="18" s="1"/>
  <c r="F282" i="18"/>
  <c r="E282" i="18" s="1"/>
  <c r="F281" i="18"/>
  <c r="E281" i="18" s="1"/>
  <c r="F280" i="18"/>
  <c r="E280" i="18" s="1"/>
  <c r="F279" i="18"/>
  <c r="E279" i="18" s="1"/>
  <c r="F278" i="18"/>
  <c r="E278" i="18" s="1"/>
  <c r="F277" i="18"/>
  <c r="E277" i="18" s="1"/>
  <c r="F276" i="18"/>
  <c r="E276" i="18" s="1"/>
  <c r="F275" i="18"/>
  <c r="E275" i="18" s="1"/>
  <c r="F274" i="18"/>
  <c r="E274" i="18" s="1"/>
  <c r="F273" i="18"/>
  <c r="E273" i="18" s="1"/>
  <c r="F272" i="18"/>
  <c r="E272" i="18" s="1"/>
  <c r="F271" i="18"/>
  <c r="E271" i="18" s="1"/>
  <c r="F270" i="18"/>
  <c r="E270" i="18" s="1"/>
  <c r="F269" i="18"/>
  <c r="F392" i="18"/>
  <c r="E392" i="18" s="1"/>
  <c r="F391" i="18"/>
  <c r="E391" i="18" s="1"/>
  <c r="F390" i="18"/>
  <c r="E390" i="18" s="1"/>
  <c r="F389" i="18"/>
  <c r="E389" i="18" s="1"/>
  <c r="F388" i="18"/>
  <c r="E388" i="18" s="1"/>
  <c r="F387" i="18"/>
  <c r="E387" i="18" s="1"/>
  <c r="F386" i="18"/>
  <c r="E386" i="18" s="1"/>
  <c r="F385" i="18"/>
  <c r="E385" i="18" s="1"/>
  <c r="F384" i="18"/>
  <c r="E384" i="18" s="1"/>
  <c r="F383" i="18"/>
  <c r="E383" i="18" s="1"/>
  <c r="F382" i="18"/>
  <c r="E382" i="18" s="1"/>
  <c r="F381" i="18"/>
  <c r="E381" i="18" s="1"/>
  <c r="F380" i="18"/>
  <c r="E380" i="18" s="1"/>
  <c r="F379" i="18"/>
  <c r="E379" i="18" s="1"/>
  <c r="F378" i="18"/>
  <c r="E378" i="18" s="1"/>
  <c r="F377" i="18"/>
  <c r="E377" i="18" s="1"/>
  <c r="F376" i="18"/>
  <c r="E376" i="18" s="1"/>
  <c r="F375" i="18"/>
  <c r="E375" i="18" s="1"/>
  <c r="F374" i="18"/>
  <c r="E374" i="18" s="1"/>
  <c r="F373" i="18"/>
  <c r="E373" i="18" s="1"/>
  <c r="F372" i="18"/>
  <c r="F158" i="18"/>
  <c r="E158" i="18" s="1"/>
  <c r="F157" i="18"/>
  <c r="E157" i="18" s="1"/>
  <c r="F156" i="18"/>
  <c r="E156" i="18" s="1"/>
  <c r="F155" i="18"/>
  <c r="E155" i="18" s="1"/>
  <c r="F154" i="18"/>
  <c r="E154" i="18" s="1"/>
  <c r="F153" i="18"/>
  <c r="E153" i="18" s="1"/>
  <c r="F152" i="18"/>
  <c r="E152" i="18" s="1"/>
  <c r="F151" i="18"/>
  <c r="E151" i="18" s="1"/>
  <c r="F150" i="18"/>
  <c r="E150" i="18" s="1"/>
  <c r="F149" i="18"/>
  <c r="E149" i="18" s="1"/>
  <c r="F148" i="18"/>
  <c r="E148" i="18" s="1"/>
  <c r="F147" i="18"/>
  <c r="E147" i="18" s="1"/>
  <c r="F146" i="18"/>
  <c r="E146" i="18" s="1"/>
  <c r="F145" i="18"/>
  <c r="E145" i="18" s="1"/>
  <c r="F144" i="18"/>
  <c r="E144" i="18" s="1"/>
  <c r="F143" i="18"/>
  <c r="E143" i="18" s="1"/>
  <c r="F142" i="18"/>
  <c r="E142" i="18" s="1"/>
  <c r="F141" i="18"/>
  <c r="E141" i="18" s="1"/>
  <c r="F140" i="18"/>
  <c r="E140" i="18" s="1"/>
  <c r="F139" i="18"/>
  <c r="E139" i="18" s="1"/>
  <c r="F138" i="18"/>
  <c r="F326" i="18"/>
  <c r="E326" i="18" s="1"/>
  <c r="F325" i="18"/>
  <c r="E325" i="18" s="1"/>
  <c r="F324" i="18"/>
  <c r="E324" i="18" s="1"/>
  <c r="F323" i="18"/>
  <c r="E323" i="18" s="1"/>
  <c r="F322" i="18"/>
  <c r="E322" i="18" s="1"/>
  <c r="F321" i="18"/>
  <c r="E321" i="18" s="1"/>
  <c r="F320" i="18"/>
  <c r="E320" i="18" s="1"/>
  <c r="F319" i="18"/>
  <c r="E319" i="18" s="1"/>
  <c r="F318" i="18"/>
  <c r="E318" i="18" s="1"/>
  <c r="F317" i="18"/>
  <c r="E317" i="18" s="1"/>
  <c r="F316" i="18"/>
  <c r="E316" i="18" s="1"/>
  <c r="F315" i="18"/>
  <c r="E315" i="18" s="1"/>
  <c r="F314" i="18"/>
  <c r="E314" i="18" s="1"/>
  <c r="F313" i="18"/>
  <c r="E313" i="18" s="1"/>
  <c r="F312" i="18"/>
  <c r="E312" i="18" s="1"/>
  <c r="F311" i="18"/>
  <c r="E311" i="18" s="1"/>
  <c r="F310" i="18"/>
  <c r="E310" i="18" s="1"/>
  <c r="F309" i="18"/>
  <c r="E309" i="18" s="1"/>
  <c r="F308" i="18"/>
  <c r="E308" i="18" s="1"/>
  <c r="F307" i="18"/>
  <c r="E307" i="18" s="1"/>
  <c r="F301" i="18"/>
  <c r="F257" i="18"/>
  <c r="E257" i="18" s="1"/>
  <c r="F256" i="18"/>
  <c r="E256" i="18" s="1"/>
  <c r="F255" i="18"/>
  <c r="E255" i="18" s="1"/>
  <c r="F254" i="18"/>
  <c r="E254" i="18" s="1"/>
  <c r="F253" i="18"/>
  <c r="E253" i="18" s="1"/>
  <c r="F252" i="18"/>
  <c r="E252" i="18" s="1"/>
  <c r="F251" i="18"/>
  <c r="E251" i="18" s="1"/>
  <c r="F250" i="18"/>
  <c r="E250" i="18" s="1"/>
  <c r="F249" i="18"/>
  <c r="E249" i="18" s="1"/>
  <c r="F248" i="18"/>
  <c r="E248" i="18" s="1"/>
  <c r="F247" i="18"/>
  <c r="E247" i="18" s="1"/>
  <c r="F246" i="18"/>
  <c r="E246" i="18" s="1"/>
  <c r="F245" i="18"/>
  <c r="E245" i="18" s="1"/>
  <c r="F244" i="18"/>
  <c r="E244" i="18" s="1"/>
  <c r="F243" i="18"/>
  <c r="E243" i="18" s="1"/>
  <c r="F242" i="18"/>
  <c r="E242" i="18" s="1"/>
  <c r="F241" i="18"/>
  <c r="E241" i="18" s="1"/>
  <c r="F240" i="18"/>
  <c r="E240" i="18" s="1"/>
  <c r="F239" i="18"/>
  <c r="E239" i="18" s="1"/>
  <c r="F238" i="18"/>
  <c r="E238" i="18" s="1"/>
  <c r="F234" i="18"/>
  <c r="F188" i="18"/>
  <c r="E188" i="18" s="1"/>
  <c r="F187" i="18"/>
  <c r="E187" i="18" s="1"/>
  <c r="F186" i="18"/>
  <c r="E186" i="18" s="1"/>
  <c r="F185" i="18"/>
  <c r="E185" i="18" s="1"/>
  <c r="F184" i="18"/>
  <c r="E184" i="18" s="1"/>
  <c r="F183" i="18"/>
  <c r="E183" i="18" s="1"/>
  <c r="F182" i="18"/>
  <c r="E182" i="18" s="1"/>
  <c r="F181" i="18"/>
  <c r="E181" i="18" s="1"/>
  <c r="F180" i="18"/>
  <c r="E180" i="18" s="1"/>
  <c r="F179" i="18"/>
  <c r="E179" i="18" s="1"/>
  <c r="F178" i="18"/>
  <c r="E178" i="18" s="1"/>
  <c r="F177" i="18"/>
  <c r="E177" i="18" s="1"/>
  <c r="F176" i="18"/>
  <c r="E176" i="18" s="1"/>
  <c r="F175" i="18"/>
  <c r="E175" i="18" s="1"/>
  <c r="F174" i="18"/>
  <c r="E174" i="18" s="1"/>
  <c r="F173" i="18"/>
  <c r="E173" i="18" s="1"/>
  <c r="F172" i="18"/>
  <c r="E172" i="18" s="1"/>
  <c r="F171" i="18"/>
  <c r="E171" i="18" s="1"/>
  <c r="F170" i="18"/>
  <c r="E170" i="18" s="1"/>
  <c r="F169" i="18"/>
  <c r="E169" i="18" s="1"/>
  <c r="F168" i="18"/>
  <c r="F46" i="18"/>
  <c r="E46" i="18" s="1"/>
  <c r="F45" i="18"/>
  <c r="E45" i="18" s="1"/>
  <c r="F44" i="18"/>
  <c r="E44" i="18" s="1"/>
  <c r="F43" i="18"/>
  <c r="E43" i="18" s="1"/>
  <c r="F42" i="18"/>
  <c r="E42" i="18" s="1"/>
  <c r="F41" i="18"/>
  <c r="E41" i="18" s="1"/>
  <c r="F40" i="18"/>
  <c r="E40" i="18" s="1"/>
  <c r="F39" i="18"/>
  <c r="E39" i="18" s="1"/>
  <c r="F38" i="18"/>
  <c r="E38" i="18" s="1"/>
  <c r="F37" i="18"/>
  <c r="E37" i="18" s="1"/>
  <c r="F36" i="18"/>
  <c r="E36" i="18" s="1"/>
  <c r="F35" i="18"/>
  <c r="E35" i="18" s="1"/>
  <c r="F34" i="18"/>
  <c r="E34" i="18" s="1"/>
  <c r="F33" i="18"/>
  <c r="E33" i="18" s="1"/>
  <c r="F32" i="18"/>
  <c r="E32" i="18" s="1"/>
  <c r="F31" i="18"/>
  <c r="E31" i="18" s="1"/>
  <c r="F30" i="18"/>
  <c r="E30" i="18" s="1"/>
  <c r="F29" i="18"/>
  <c r="E29" i="18" s="1"/>
  <c r="F28" i="18"/>
  <c r="E28" i="18" s="1"/>
  <c r="F27" i="18"/>
  <c r="E27" i="18" s="1"/>
  <c r="F21" i="18"/>
  <c r="F63" i="19"/>
  <c r="E63" i="19" s="1"/>
  <c r="F59" i="19"/>
  <c r="F58" i="19"/>
  <c r="E58" i="19" s="1"/>
  <c r="F62" i="19"/>
  <c r="E62" i="19" s="1"/>
  <c r="F68" i="19"/>
  <c r="E68" i="19" s="1"/>
  <c r="F74" i="19"/>
  <c r="F73" i="19"/>
  <c r="E73" i="19" s="1"/>
  <c r="F61" i="19"/>
  <c r="E61" i="19" s="1"/>
  <c r="E75" i="19"/>
  <c r="F72" i="19"/>
  <c r="F60" i="19"/>
  <c r="E60" i="19" s="1"/>
  <c r="F67" i="19"/>
  <c r="E67" i="19" s="1"/>
  <c r="F55" i="19"/>
  <c r="E55" i="19" s="1"/>
  <c r="F34" i="19"/>
  <c r="E34" i="19" s="1"/>
  <c r="F43" i="19"/>
  <c r="F32" i="19"/>
  <c r="E32" i="19" s="1"/>
  <c r="F42" i="19"/>
  <c r="F40" i="19"/>
  <c r="F47" i="19"/>
  <c r="F41" i="19"/>
  <c r="F46" i="19"/>
  <c r="F26" i="19"/>
  <c r="E26" i="19" s="1"/>
  <c r="F25" i="19"/>
  <c r="E25" i="19" s="1"/>
  <c r="F15" i="19"/>
  <c r="E15" i="19" s="1"/>
  <c r="F9" i="19"/>
  <c r="E9" i="19" s="1"/>
  <c r="F8" i="19"/>
  <c r="E8" i="19" s="1"/>
  <c r="F6" i="19"/>
  <c r="F60" i="15"/>
  <c r="E60" i="15" s="1"/>
  <c r="F59" i="15"/>
  <c r="E59" i="15" s="1"/>
  <c r="F58" i="15"/>
  <c r="E58" i="15" s="1"/>
  <c r="F57" i="15"/>
  <c r="E57" i="15" s="1"/>
  <c r="F56" i="15"/>
  <c r="E56" i="15" s="1"/>
  <c r="F55" i="15"/>
  <c r="E55" i="15" s="1"/>
  <c r="F54" i="15"/>
  <c r="E54" i="15" s="1"/>
  <c r="F53" i="15"/>
  <c r="E53" i="15" s="1"/>
  <c r="F52" i="15"/>
  <c r="E52" i="15" s="1"/>
  <c r="F51" i="15"/>
  <c r="E51" i="15" s="1"/>
  <c r="F50" i="15"/>
  <c r="E50" i="15" s="1"/>
  <c r="F49" i="15"/>
  <c r="E49" i="15" s="1"/>
  <c r="F48" i="15"/>
  <c r="E48" i="15" s="1"/>
  <c r="F47" i="15"/>
  <c r="E47" i="15" s="1"/>
  <c r="F46" i="15"/>
  <c r="E46" i="15" s="1"/>
  <c r="F45" i="15"/>
  <c r="E45" i="15" s="1"/>
  <c r="F44" i="15"/>
  <c r="E44" i="15" s="1"/>
  <c r="F43" i="15"/>
  <c r="E43" i="15" s="1"/>
  <c r="F42" i="15"/>
  <c r="E42" i="15" s="1"/>
  <c r="F41" i="15"/>
  <c r="E41" i="15" s="1"/>
  <c r="F40" i="15"/>
  <c r="E40" i="15" s="1"/>
  <c r="F39" i="15"/>
  <c r="E39" i="15" s="1"/>
  <c r="F38" i="15"/>
  <c r="E38" i="15" s="1"/>
  <c r="F37" i="15"/>
  <c r="E37" i="15" s="1"/>
  <c r="F36" i="15"/>
  <c r="E36" i="15" s="1"/>
  <c r="F35" i="15"/>
  <c r="E35" i="15" s="1"/>
  <c r="F34" i="15"/>
  <c r="E34" i="15" s="1"/>
  <c r="F33" i="15"/>
  <c r="E33" i="15" s="1"/>
  <c r="F32" i="15"/>
  <c r="E32" i="15" s="1"/>
  <c r="F31" i="15"/>
  <c r="E31" i="15" s="1"/>
  <c r="F30" i="15"/>
  <c r="E30" i="15" s="1"/>
  <c r="F29" i="15"/>
  <c r="E29" i="15" s="1"/>
  <c r="F28" i="15"/>
  <c r="E28" i="15" s="1"/>
  <c r="F27" i="15"/>
  <c r="E27" i="15" s="1"/>
  <c r="F26" i="15"/>
  <c r="E26" i="15" s="1"/>
  <c r="F25" i="15"/>
  <c r="E25" i="15" s="1"/>
  <c r="F24" i="15"/>
  <c r="E24" i="15" s="1"/>
  <c r="F23" i="15"/>
  <c r="E23" i="15" s="1"/>
  <c r="F22" i="15"/>
  <c r="E22" i="15" s="1"/>
  <c r="F21" i="15"/>
  <c r="E21" i="15" s="1"/>
  <c r="F3536" i="1"/>
  <c r="E3536" i="1" s="1"/>
  <c r="F3535" i="1"/>
  <c r="E3535" i="1" s="1"/>
  <c r="F3534" i="1"/>
  <c r="E3534" i="1" s="1"/>
  <c r="F3533" i="1"/>
  <c r="E3533" i="1" s="1"/>
  <c r="F3532" i="1"/>
  <c r="E3532" i="1" s="1"/>
  <c r="F3531" i="1"/>
  <c r="E3531" i="1" s="1"/>
  <c r="F3530" i="1"/>
  <c r="E3530" i="1" s="1"/>
  <c r="F3529" i="1"/>
  <c r="E3529" i="1" s="1"/>
  <c r="F3528" i="1"/>
  <c r="E3528" i="1" s="1"/>
  <c r="F3527" i="1"/>
  <c r="E3527" i="1" s="1"/>
  <c r="F3526" i="1"/>
  <c r="E3526" i="1" s="1"/>
  <c r="F3525" i="1"/>
  <c r="E3525" i="1" s="1"/>
  <c r="F3524" i="1"/>
  <c r="E3524" i="1" s="1"/>
  <c r="F3523" i="1"/>
  <c r="E3523" i="1" s="1"/>
  <c r="F3522" i="1"/>
  <c r="E3522" i="1" s="1"/>
  <c r="F3521" i="1"/>
  <c r="E3521" i="1" s="1"/>
  <c r="F3520" i="1"/>
  <c r="E3520" i="1" s="1"/>
  <c r="F3519" i="1"/>
  <c r="E3519" i="1" s="1"/>
  <c r="F3518" i="1"/>
  <c r="E3518" i="1" s="1"/>
  <c r="F3517" i="1"/>
  <c r="E3517" i="1" s="1"/>
  <c r="F3516" i="1"/>
  <c r="E3516" i="1" s="1"/>
  <c r="F3515" i="1"/>
  <c r="E3515" i="1" s="1"/>
  <c r="F3514" i="1"/>
  <c r="E3514" i="1" s="1"/>
  <c r="F3513" i="1"/>
  <c r="E3513" i="1" s="1"/>
  <c r="F3512" i="1"/>
  <c r="E3512" i="1" s="1"/>
  <c r="F3511" i="1"/>
  <c r="E3511" i="1" s="1"/>
  <c r="F3510" i="1"/>
  <c r="E3510" i="1" s="1"/>
  <c r="F3509" i="1"/>
  <c r="E3509" i="1" s="1"/>
  <c r="F3508" i="1"/>
  <c r="E3508" i="1" s="1"/>
  <c r="F3507" i="1"/>
  <c r="E3507" i="1" s="1"/>
  <c r="F3506" i="1"/>
  <c r="E3506" i="1" s="1"/>
  <c r="F3505" i="1"/>
  <c r="E3505" i="1" s="1"/>
  <c r="F3504" i="1"/>
  <c r="E3504" i="1" s="1"/>
  <c r="F3503" i="1"/>
  <c r="E3503" i="1" s="1"/>
  <c r="F3502" i="1"/>
  <c r="E3502" i="1" s="1"/>
  <c r="F3501" i="1"/>
  <c r="E3501" i="1" s="1"/>
  <c r="F3500" i="1"/>
  <c r="E3500" i="1" s="1"/>
  <c r="F3499" i="1"/>
  <c r="E3499" i="1" s="1"/>
  <c r="F3498" i="1"/>
  <c r="E3498" i="1" s="1"/>
  <c r="F3497" i="1"/>
  <c r="E3497" i="1" s="1"/>
  <c r="F3496" i="1"/>
  <c r="E3496" i="1" s="1"/>
  <c r="F3495" i="1"/>
  <c r="E3495" i="1" s="1"/>
  <c r="F3494" i="1"/>
  <c r="E3494" i="1" s="1"/>
  <c r="F3493" i="1"/>
  <c r="E3493" i="1" s="1"/>
  <c r="F3492" i="1"/>
  <c r="E3492" i="1" s="1"/>
  <c r="F3491" i="1"/>
  <c r="E3491" i="1" s="1"/>
  <c r="F3490" i="1"/>
  <c r="E3490" i="1" s="1"/>
  <c r="F3489" i="1"/>
  <c r="E3489" i="1" s="1"/>
  <c r="F3488" i="1"/>
  <c r="E3488" i="1" s="1"/>
  <c r="F3487" i="1"/>
  <c r="E3487" i="1" s="1"/>
  <c r="F3486" i="1"/>
  <c r="E3486" i="1" s="1"/>
  <c r="F3485" i="1"/>
  <c r="E3485" i="1" s="1"/>
  <c r="F3484" i="1"/>
  <c r="E3484" i="1" s="1"/>
  <c r="F3483" i="1"/>
  <c r="E3483" i="1" s="1"/>
  <c r="F3482" i="1"/>
  <c r="E3482" i="1" s="1"/>
  <c r="F3481" i="1"/>
  <c r="E3481" i="1" s="1"/>
  <c r="F3480" i="1"/>
  <c r="E3480" i="1" s="1"/>
  <c r="F3479" i="1"/>
  <c r="E3479" i="1" s="1"/>
  <c r="F3478" i="1"/>
  <c r="E3478" i="1" s="1"/>
  <c r="F3477" i="1"/>
  <c r="E3477" i="1" s="1"/>
  <c r="F3476" i="1"/>
  <c r="E3476" i="1" s="1"/>
  <c r="F3475" i="1"/>
  <c r="E3475" i="1" s="1"/>
  <c r="F3474" i="1"/>
  <c r="E3474" i="1" s="1"/>
  <c r="F3473" i="1"/>
  <c r="E3473" i="1" s="1"/>
  <c r="F3472" i="1"/>
  <c r="E3472" i="1" s="1"/>
  <c r="F3471" i="1"/>
  <c r="E3471" i="1" s="1"/>
  <c r="F3470" i="1"/>
  <c r="E3470" i="1" s="1"/>
  <c r="F3469" i="1"/>
  <c r="E3469" i="1" s="1"/>
  <c r="F3468" i="1"/>
  <c r="E3468" i="1" s="1"/>
  <c r="F3467" i="1"/>
  <c r="E3467" i="1" s="1"/>
  <c r="F3466" i="1"/>
  <c r="E3466" i="1" s="1"/>
  <c r="F3465" i="1"/>
  <c r="E3465" i="1" s="1"/>
  <c r="F3464" i="1"/>
  <c r="E3464" i="1" s="1"/>
  <c r="F3463" i="1"/>
  <c r="E3463" i="1" s="1"/>
  <c r="F3462" i="1"/>
  <c r="E3462" i="1" s="1"/>
  <c r="F3461" i="1"/>
  <c r="E3461" i="1" s="1"/>
  <c r="F3460" i="1"/>
  <c r="E3460" i="1" s="1"/>
  <c r="F3459" i="1"/>
  <c r="E3459" i="1" s="1"/>
  <c r="F3458" i="1"/>
  <c r="E3458" i="1" s="1"/>
  <c r="F3457" i="1"/>
  <c r="E3457" i="1" s="1"/>
  <c r="E63" i="18" l="1"/>
  <c r="E64" i="18"/>
  <c r="E67" i="18"/>
  <c r="E99" i="18"/>
  <c r="E138" i="20"/>
  <c r="F4219" i="1"/>
  <c r="E4219" i="1" s="1"/>
  <c r="F4218" i="1"/>
  <c r="E4218" i="1" s="1"/>
  <c r="F1437" i="1"/>
  <c r="E1437" i="1" s="1"/>
  <c r="F2164" i="1"/>
  <c r="E4471" i="1"/>
  <c r="G8" i="16"/>
  <c r="E8" i="16" s="1"/>
  <c r="G7" i="16"/>
  <c r="E7" i="16" s="1"/>
  <c r="E3299" i="1"/>
  <c r="F26" i="18"/>
  <c r="F23" i="18"/>
  <c r="E23" i="18" s="1"/>
  <c r="F18" i="18"/>
  <c r="F293" i="18"/>
  <c r="F294" i="18"/>
  <c r="F292" i="18"/>
  <c r="E292" i="18" s="1"/>
  <c r="F291" i="18"/>
  <c r="F261" i="18"/>
  <c r="F262" i="18"/>
  <c r="F260" i="18"/>
  <c r="E260" i="18" s="1"/>
  <c r="F259" i="18"/>
  <c r="F230" i="18"/>
  <c r="F231" i="18"/>
  <c r="F229" i="18"/>
  <c r="E229" i="18" s="1"/>
  <c r="F228" i="18"/>
  <c r="F162" i="18"/>
  <c r="F163" i="18"/>
  <c r="F161" i="18"/>
  <c r="E161" i="18" s="1"/>
  <c r="F160" i="18"/>
  <c r="F133" i="18"/>
  <c r="E133" i="18" s="1"/>
  <c r="F132" i="18"/>
  <c r="F134" i="18"/>
  <c r="F135" i="18"/>
  <c r="F25" i="12"/>
  <c r="E25" i="12" s="1"/>
  <c r="F26" i="12"/>
  <c r="F5" i="14"/>
  <c r="E5" i="14" s="1"/>
  <c r="F6" i="14"/>
  <c r="F4393" i="1" l="1"/>
  <c r="E4393" i="1" s="1"/>
  <c r="F4153" i="1"/>
  <c r="E4153" i="1" s="1"/>
  <c r="F4161" i="1"/>
  <c r="E4161" i="1" s="1"/>
  <c r="F4162" i="1"/>
  <c r="F3289" i="1"/>
  <c r="E3289" i="1" s="1"/>
  <c r="F3291" i="1"/>
  <c r="F3288" i="1"/>
  <c r="E3288" i="1" s="1"/>
  <c r="F3281" i="1"/>
  <c r="E3281" i="1" s="1"/>
  <c r="E1804" i="1"/>
  <c r="E1802" i="1"/>
  <c r="F463" i="1"/>
  <c r="E463" i="1" s="1"/>
  <c r="F454" i="1"/>
  <c r="F2571" i="1"/>
  <c r="E2571" i="1" s="1"/>
  <c r="F2570" i="1"/>
  <c r="F41" i="13"/>
  <c r="E41" i="13" s="1"/>
  <c r="F21" i="8"/>
  <c r="E21" i="8" s="1"/>
  <c r="F22" i="8"/>
  <c r="E22" i="8" s="1"/>
  <c r="E80" i="18" s="1"/>
  <c r="F34" i="8"/>
  <c r="E34" i="8" s="1"/>
  <c r="F4" i="15"/>
  <c r="F33" i="8"/>
  <c r="E33" i="8" s="1"/>
  <c r="F25" i="9"/>
  <c r="E25" i="9" s="1"/>
  <c r="F24" i="9"/>
  <c r="E24" i="9" s="1"/>
  <c r="F23" i="9"/>
  <c r="E23" i="9" s="1"/>
  <c r="F22" i="9"/>
  <c r="E22" i="9" s="1"/>
  <c r="F21" i="9"/>
  <c r="E21" i="9" s="1"/>
  <c r="F395" i="18"/>
  <c r="F371" i="18"/>
  <c r="E371" i="18" s="1"/>
  <c r="F370" i="18"/>
  <c r="E343" i="18"/>
  <c r="F338" i="18"/>
  <c r="E338" i="18" s="1"/>
  <c r="F337" i="18"/>
  <c r="E337" i="18" s="1"/>
  <c r="F335" i="18"/>
  <c r="F334" i="18"/>
  <c r="F330" i="18"/>
  <c r="E330" i="18" s="1"/>
  <c r="F329" i="18"/>
  <c r="E329" i="18" s="1"/>
  <c r="F328" i="18"/>
  <c r="F306" i="18"/>
  <c r="E306" i="18" s="1"/>
  <c r="F305" i="18"/>
  <c r="E305" i="18" s="1"/>
  <c r="F304" i="18"/>
  <c r="E304" i="18" s="1"/>
  <c r="F303" i="18"/>
  <c r="E303" i="18" s="1"/>
  <c r="F302" i="18"/>
  <c r="E302" i="18" s="1"/>
  <c r="E301" i="18"/>
  <c r="F300" i="18"/>
  <c r="E300" i="18" s="1"/>
  <c r="F299" i="18"/>
  <c r="E299" i="18" s="1"/>
  <c r="F298" i="18"/>
  <c r="F297" i="18"/>
  <c r="F296" i="18"/>
  <c r="F295" i="18"/>
  <c r="E269" i="18"/>
  <c r="F268" i="18"/>
  <c r="E268" i="18" s="1"/>
  <c r="F267" i="18"/>
  <c r="E267" i="18" s="1"/>
  <c r="F266" i="18"/>
  <c r="E266" i="18" s="1"/>
  <c r="F265" i="18"/>
  <c r="E265" i="18" s="1"/>
  <c r="F264" i="18"/>
  <c r="F263" i="18"/>
  <c r="F237" i="18"/>
  <c r="E237" i="18" s="1"/>
  <c r="F236" i="18"/>
  <c r="E236" i="18" s="1"/>
  <c r="F235" i="18"/>
  <c r="E235" i="18" s="1"/>
  <c r="E234" i="18"/>
  <c r="F233" i="18"/>
  <c r="E233" i="18" s="1"/>
  <c r="F232" i="18"/>
  <c r="F206" i="18"/>
  <c r="E206" i="18" s="1"/>
  <c r="E205" i="18"/>
  <c r="F201" i="18"/>
  <c r="F203" i="18"/>
  <c r="F196" i="18"/>
  <c r="E196" i="18" s="1"/>
  <c r="E195" i="18"/>
  <c r="F194" i="18"/>
  <c r="E194" i="18" s="1"/>
  <c r="F191" i="18"/>
  <c r="E191" i="18" s="1"/>
  <c r="F190" i="18"/>
  <c r="E168" i="18"/>
  <c r="F167" i="18"/>
  <c r="E167" i="18" s="1"/>
  <c r="F164" i="18"/>
  <c r="E138" i="18"/>
  <c r="F137" i="18"/>
  <c r="E137" i="18" s="1"/>
  <c r="F136" i="18"/>
  <c r="E136" i="18" s="1"/>
  <c r="F131" i="18"/>
  <c r="F114" i="18"/>
  <c r="E114" i="18" s="1"/>
  <c r="E115" i="18"/>
  <c r="E104" i="18"/>
  <c r="F9" i="18"/>
  <c r="E9" i="18" s="1"/>
  <c r="F8" i="18"/>
  <c r="E8" i="18" s="1"/>
  <c r="F4" i="18"/>
  <c r="E4" i="18" s="1"/>
  <c r="F2" i="18"/>
  <c r="E372" i="18"/>
  <c r="F336" i="18"/>
  <c r="E336" i="18" s="1"/>
  <c r="E72" i="18"/>
  <c r="F56" i="18"/>
  <c r="E56" i="18" s="1"/>
  <c r="F48" i="18"/>
  <c r="E48" i="18" s="1"/>
  <c r="E21" i="18"/>
  <c r="F6" i="18"/>
  <c r="E6" i="18" s="1"/>
  <c r="F51" i="18"/>
  <c r="E51" i="18" s="1"/>
  <c r="F49" i="18"/>
  <c r="E49" i="18" s="1"/>
  <c r="F15" i="18"/>
  <c r="E15" i="18" s="1"/>
  <c r="F13" i="18"/>
  <c r="E13" i="18" s="1"/>
  <c r="F199" i="18"/>
  <c r="E199" i="18" s="1"/>
  <c r="F5" i="18"/>
  <c r="E5" i="18" s="1"/>
  <c r="F65" i="27" l="1"/>
  <c r="E65" i="27" s="1"/>
  <c r="F43" i="27"/>
  <c r="E43" i="27" s="1"/>
  <c r="F38" i="27"/>
  <c r="E38" i="27" s="1"/>
  <c r="E52" i="28"/>
  <c r="E142" i="27"/>
  <c r="E20" i="27"/>
  <c r="E160" i="27"/>
  <c r="F16" i="27"/>
  <c r="E16" i="27" s="1"/>
  <c r="E14" i="28"/>
  <c r="F44" i="27"/>
  <c r="E44" i="27" s="1"/>
  <c r="E21" i="27"/>
  <c r="E161" i="27"/>
  <c r="F47" i="27"/>
  <c r="E47" i="27" s="1"/>
  <c r="E24" i="27"/>
  <c r="E158" i="27"/>
  <c r="E58" i="28"/>
  <c r="F45" i="27"/>
  <c r="E45" i="27" s="1"/>
  <c r="E162" i="27"/>
  <c r="E22" i="27"/>
  <c r="E55" i="28"/>
  <c r="F2" i="21"/>
  <c r="E2" i="21" s="1"/>
  <c r="E87" i="18"/>
  <c r="E350" i="18"/>
  <c r="E31" i="31"/>
  <c r="E355" i="18"/>
  <c r="E75" i="18"/>
  <c r="E345" i="18"/>
  <c r="E81" i="18"/>
  <c r="E96" i="20"/>
  <c r="F66" i="25"/>
  <c r="E66" i="25" s="1"/>
  <c r="F93" i="27"/>
  <c r="E93" i="27" s="1"/>
  <c r="F65" i="19"/>
  <c r="E65" i="19" s="1"/>
  <c r="F2" i="30"/>
  <c r="E2" i="30" s="1"/>
  <c r="F127" i="27"/>
  <c r="E127" i="27" s="1"/>
  <c r="F15" i="20"/>
  <c r="E15" i="20" s="1"/>
  <c r="F5" i="21"/>
  <c r="E5" i="21" s="1"/>
  <c r="F2" i="25"/>
  <c r="E2" i="25" s="1"/>
  <c r="F4" i="21"/>
  <c r="E4" i="21" s="1"/>
  <c r="F3" i="21"/>
  <c r="E3" i="21" s="1"/>
  <c r="F8" i="31"/>
  <c r="E8" i="31" s="1"/>
  <c r="E349" i="18"/>
  <c r="E74" i="18"/>
  <c r="E121" i="27"/>
  <c r="E86" i="18"/>
  <c r="E126" i="27"/>
  <c r="E30" i="31"/>
  <c r="E118" i="27"/>
  <c r="E354" i="18"/>
  <c r="E77" i="19"/>
  <c r="E344" i="18"/>
  <c r="E4" i="15"/>
  <c r="E328" i="18" l="1"/>
  <c r="E203" i="18"/>
  <c r="F202" i="18"/>
  <c r="E202" i="18" s="1"/>
  <c r="E131" i="18"/>
  <c r="E298" i="18"/>
  <c r="E297" i="18"/>
  <c r="E296" i="18"/>
  <c r="E264" i="18"/>
  <c r="E263" i="18"/>
  <c r="E232" i="18"/>
  <c r="E164" i="18"/>
  <c r="F7" i="18"/>
  <c r="E7" i="18" s="1"/>
  <c r="F3" i="18"/>
  <c r="E3" i="18" s="1"/>
  <c r="E295" i="18"/>
  <c r="E18" i="18"/>
  <c r="E395" i="18"/>
  <c r="E370" i="18"/>
  <c r="E335" i="18"/>
  <c r="E334" i="18"/>
  <c r="E291" i="18"/>
  <c r="E259" i="18"/>
  <c r="E228" i="18"/>
  <c r="E201" i="18"/>
  <c r="F198" i="18"/>
  <c r="E198" i="18" s="1"/>
  <c r="E190" i="18"/>
  <c r="E160" i="18"/>
  <c r="E132" i="18"/>
  <c r="F50" i="18"/>
  <c r="E50" i="18" s="1"/>
  <c r="F16" i="18"/>
  <c r="F14" i="18"/>
  <c r="E14" i="18" s="1"/>
  <c r="F12" i="18"/>
  <c r="E12" i="18" s="1"/>
  <c r="F11" i="18"/>
  <c r="E11" i="18" s="1"/>
  <c r="E2" i="18"/>
  <c r="F23" i="17"/>
  <c r="E23" i="17" s="1"/>
  <c r="F17" i="17"/>
  <c r="E17" i="17" s="1"/>
  <c r="F16" i="17"/>
  <c r="E16" i="17" s="1"/>
  <c r="F15" i="17"/>
  <c r="E15" i="17" s="1"/>
  <c r="F41" i="17"/>
  <c r="E41" i="17" s="1"/>
  <c r="F40" i="17"/>
  <c r="E40" i="17" s="1"/>
  <c r="F39" i="17"/>
  <c r="E39" i="17" s="1"/>
  <c r="F38" i="17"/>
  <c r="E38" i="17" s="1"/>
  <c r="F37" i="17"/>
  <c r="E37" i="17" s="1"/>
  <c r="F36" i="17"/>
  <c r="E36" i="17" s="1"/>
  <c r="F35" i="17"/>
  <c r="E35" i="17" s="1"/>
  <c r="F32" i="17"/>
  <c r="E32" i="17" s="1"/>
  <c r="F27" i="17"/>
  <c r="E27" i="17" s="1"/>
  <c r="F26" i="17"/>
  <c r="E26" i="17" s="1"/>
  <c r="F24" i="17"/>
  <c r="E24" i="17" s="1"/>
  <c r="F22" i="17"/>
  <c r="E22" i="17" s="1"/>
  <c r="F21" i="17"/>
  <c r="E21" i="17" s="1"/>
  <c r="F20" i="17"/>
  <c r="E20" i="17" s="1"/>
  <c r="F19" i="17"/>
  <c r="E19" i="17" s="1"/>
  <c r="F18" i="17"/>
  <c r="E18" i="17" s="1"/>
  <c r="F11" i="17"/>
  <c r="E11" i="17" s="1"/>
  <c r="F9" i="17"/>
  <c r="E9" i="17" s="1"/>
  <c r="F8" i="17"/>
  <c r="E8" i="17" s="1"/>
  <c r="F5" i="17"/>
  <c r="E5" i="17" s="1"/>
  <c r="F2" i="17"/>
  <c r="E2" i="17" s="1"/>
  <c r="F47" i="13"/>
  <c r="E47" i="13" s="1"/>
  <c r="F17" i="13"/>
  <c r="E17" i="13" s="1"/>
  <c r="E14" i="13"/>
  <c r="F13" i="13"/>
  <c r="E13" i="13" s="1"/>
  <c r="F11" i="13"/>
  <c r="E11" i="13" s="1"/>
  <c r="F12" i="13"/>
  <c r="E12" i="13" s="1"/>
  <c r="F11" i="12"/>
  <c r="E11" i="12" s="1"/>
  <c r="F10" i="12"/>
  <c r="E10" i="12" s="1"/>
  <c r="F8" i="12"/>
  <c r="E8" i="12" s="1"/>
  <c r="F2" i="12"/>
  <c r="F23" i="12"/>
  <c r="E23" i="12" s="1"/>
  <c r="F22" i="12"/>
  <c r="E22" i="12" s="1"/>
  <c r="F21" i="12"/>
  <c r="E21" i="12" s="1"/>
  <c r="F20" i="12"/>
  <c r="E20" i="12" s="1"/>
  <c r="F29" i="12"/>
  <c r="E29" i="12" s="1"/>
  <c r="F45" i="12"/>
  <c r="E45" i="12" s="1"/>
  <c r="F51" i="12"/>
  <c r="E51" i="12" s="1"/>
  <c r="G6" i="16"/>
  <c r="F6" i="16" s="1"/>
  <c r="G5" i="16"/>
  <c r="F5" i="16" s="1"/>
  <c r="G4" i="16"/>
  <c r="F4" i="16" s="1"/>
  <c r="G3" i="16"/>
  <c r="F3" i="16" s="1"/>
  <c r="G2" i="16"/>
  <c r="E2" i="16" s="1"/>
  <c r="F11" i="15"/>
  <c r="E11" i="15" s="1"/>
  <c r="F17" i="15"/>
  <c r="E17" i="15" s="1"/>
  <c r="F2" i="15"/>
  <c r="F6" i="15"/>
  <c r="E6" i="15" s="1"/>
  <c r="F10" i="15"/>
  <c r="E10" i="15" s="1"/>
  <c r="F20" i="15"/>
  <c r="E20" i="15" s="1"/>
  <c r="F19" i="15"/>
  <c r="E19" i="15" s="1"/>
  <c r="F18" i="15"/>
  <c r="E18" i="15" s="1"/>
  <c r="F16" i="15"/>
  <c r="E16" i="15" s="1"/>
  <c r="F9" i="15"/>
  <c r="E9" i="15" s="1"/>
  <c r="F5" i="15"/>
  <c r="E5" i="15" s="1"/>
  <c r="E2" i="15"/>
  <c r="F13" i="15"/>
  <c r="E13" i="15" s="1"/>
  <c r="F12" i="15"/>
  <c r="E12" i="15" s="1"/>
  <c r="F8" i="15"/>
  <c r="E8" i="15" s="1"/>
  <c r="F25" i="13"/>
  <c r="E25" i="13" s="1"/>
  <c r="F18" i="14"/>
  <c r="E18" i="14" s="1"/>
  <c r="F16" i="14"/>
  <c r="E16" i="14" s="1"/>
  <c r="E9" i="14"/>
  <c r="F8" i="14"/>
  <c r="E8" i="14" s="1"/>
  <c r="F7" i="14"/>
  <c r="E7" i="14" s="1"/>
  <c r="E6" i="14"/>
  <c r="F4" i="14"/>
  <c r="E4" i="14" s="1"/>
  <c r="F3" i="14"/>
  <c r="E3" i="14" s="1"/>
  <c r="F2" i="14"/>
  <c r="E2" i="14" s="1"/>
  <c r="F19" i="12"/>
  <c r="E19" i="12" s="1"/>
  <c r="F18" i="12"/>
  <c r="E18" i="12" s="1"/>
  <c r="F50" i="12"/>
  <c r="E50" i="12" s="1"/>
  <c r="F49" i="12"/>
  <c r="E49" i="12" s="1"/>
  <c r="F56" i="13"/>
  <c r="E56" i="13" s="1"/>
  <c r="F49" i="13"/>
  <c r="E49" i="13" s="1"/>
  <c r="F48" i="13"/>
  <c r="E48" i="13" s="1"/>
  <c r="F26" i="13"/>
  <c r="E26" i="13" s="1"/>
  <c r="F8" i="13"/>
  <c r="E8" i="13" s="1"/>
  <c r="F48" i="12"/>
  <c r="E48" i="12" s="1"/>
  <c r="F36" i="12"/>
  <c r="E36" i="12" s="1"/>
  <c r="F34" i="12"/>
  <c r="E34" i="12" s="1"/>
  <c r="F32" i="12"/>
  <c r="E32" i="12" s="1"/>
  <c r="F30" i="12"/>
  <c r="E30" i="12" s="1"/>
  <c r="F17" i="12"/>
  <c r="E17" i="12" s="1"/>
  <c r="F16" i="12"/>
  <c r="E16" i="12" s="1"/>
  <c r="F14" i="12"/>
  <c r="E14" i="12" s="1"/>
  <c r="E5" i="12"/>
  <c r="F4" i="12"/>
  <c r="E4" i="12" s="1"/>
  <c r="F28" i="12"/>
  <c r="E28" i="12" s="1"/>
  <c r="F46" i="12"/>
  <c r="E46" i="12" s="1"/>
  <c r="F44" i="12"/>
  <c r="E44" i="12" s="1"/>
  <c r="E124" i="12"/>
  <c r="F52" i="12"/>
  <c r="E52" i="12" s="1"/>
  <c r="E42" i="13"/>
  <c r="F24" i="12"/>
  <c r="E24" i="12" s="1"/>
  <c r="E26" i="12"/>
  <c r="F43" i="12"/>
  <c r="E43" i="12" s="1"/>
  <c r="F111" i="12"/>
  <c r="E111" i="12" s="1"/>
  <c r="F117" i="12"/>
  <c r="E117" i="12" s="1"/>
  <c r="F118" i="12"/>
  <c r="E118" i="12" s="1"/>
  <c r="F27" i="12"/>
  <c r="E27" i="12" s="1"/>
  <c r="F42" i="12"/>
  <c r="E42" i="12" s="1"/>
  <c r="E37" i="12"/>
  <c r="E84" i="12"/>
  <c r="F83" i="12"/>
  <c r="E83" i="12" s="1"/>
  <c r="F82" i="12"/>
  <c r="E82" i="12" s="1"/>
  <c r="F81" i="12"/>
  <c r="E81" i="12" s="1"/>
  <c r="F80" i="12"/>
  <c r="E80" i="12" s="1"/>
  <c r="F79" i="12"/>
  <c r="F78" i="12"/>
  <c r="E78" i="12" s="1"/>
  <c r="F77" i="12"/>
  <c r="E77" i="12" s="1"/>
  <c r="F76" i="12"/>
  <c r="E76" i="12" s="1"/>
  <c r="F75" i="12"/>
  <c r="E75" i="12" s="1"/>
  <c r="F74" i="12"/>
  <c r="E74" i="12" s="1"/>
  <c r="F47" i="12"/>
  <c r="E47" i="12" s="1"/>
  <c r="F41" i="12"/>
  <c r="E41" i="12" s="1"/>
  <c r="F40" i="12"/>
  <c r="E40" i="12" s="1"/>
  <c r="F35" i="12"/>
  <c r="E35" i="12" s="1"/>
  <c r="F31" i="12"/>
  <c r="F15" i="12"/>
  <c r="E15" i="12" s="1"/>
  <c r="F13" i="12"/>
  <c r="E13" i="12" s="1"/>
  <c r="F12" i="12"/>
  <c r="E12" i="12" s="1"/>
  <c r="F7" i="12"/>
  <c r="E7" i="12" s="1"/>
  <c r="F3" i="12"/>
  <c r="E3" i="12" s="1"/>
  <c r="E3" i="16" l="1"/>
  <c r="F2" i="16"/>
  <c r="E6" i="16"/>
  <c r="E4" i="16"/>
  <c r="E5" i="16"/>
  <c r="F4381" i="1"/>
  <c r="F4191" i="1"/>
  <c r="E4191" i="1" s="1"/>
  <c r="E4162" i="1"/>
  <c r="E704" i="1"/>
  <c r="F4415" i="1"/>
  <c r="E4415" i="1" s="1"/>
  <c r="F4414" i="1"/>
  <c r="E4414" i="1" s="1"/>
  <c r="I170" i="6"/>
  <c r="I167" i="6"/>
  <c r="F3268" i="1" l="1"/>
  <c r="E3268" i="1" s="1"/>
  <c r="F3310" i="1"/>
  <c r="E3310" i="1" s="1"/>
  <c r="F3309" i="1"/>
  <c r="E3309" i="1" s="1"/>
  <c r="F3308" i="1"/>
  <c r="E3308" i="1" s="1"/>
  <c r="F3307" i="1"/>
  <c r="E3307" i="1" s="1"/>
  <c r="F3306" i="1"/>
  <c r="E3306" i="1" s="1"/>
  <c r="F3292" i="1" l="1"/>
  <c r="E3292" i="1" s="1"/>
  <c r="F2569" i="1"/>
  <c r="E2569" i="1" s="1"/>
  <c r="F2568" i="1"/>
  <c r="F2566" i="1"/>
  <c r="E2566" i="1" s="1"/>
  <c r="F2565" i="1"/>
  <c r="F2534" i="1"/>
  <c r="E2534" i="1" s="1"/>
  <c r="F2535" i="1"/>
  <c r="E2535" i="1" s="1"/>
  <c r="F2537" i="1"/>
  <c r="E2537" i="1" s="1"/>
  <c r="F2544" i="1"/>
  <c r="F2533" i="1"/>
  <c r="E2533" i="1" s="1"/>
  <c r="F2539" i="1"/>
  <c r="F2543" i="1"/>
  <c r="E2543" i="1" s="1"/>
  <c r="F2542" i="1"/>
  <c r="E2542" i="1" s="1"/>
  <c r="F2541" i="1"/>
  <c r="E2541" i="1" s="1"/>
  <c r="F2540" i="1"/>
  <c r="U116" i="6"/>
  <c r="U117" i="6"/>
  <c r="F19" i="9"/>
  <c r="E19" i="9" s="1"/>
  <c r="F18" i="9"/>
  <c r="E18" i="9" s="1"/>
  <c r="F89" i="20" s="1"/>
  <c r="E89" i="20" s="1"/>
  <c r="E1852" i="1"/>
  <c r="E1843" i="1"/>
  <c r="E1849" i="1"/>
  <c r="E1829" i="1"/>
  <c r="E1821" i="1"/>
  <c r="E1801" i="1"/>
  <c r="E1827" i="1"/>
  <c r="E1814" i="1"/>
  <c r="E1803" i="1"/>
  <c r="E1797" i="1"/>
  <c r="E1840" i="1"/>
  <c r="F15" i="8"/>
  <c r="U73" i="6" l="1"/>
  <c r="U72" i="6"/>
  <c r="F960" i="1"/>
  <c r="E960" i="1" s="1"/>
  <c r="F692" i="1"/>
  <c r="E692" i="1" s="1"/>
  <c r="F652" i="1"/>
  <c r="E652" i="1" s="1"/>
  <c r="U188" i="6"/>
  <c r="U187" i="6"/>
  <c r="I188" i="6"/>
  <c r="I187" i="6"/>
  <c r="E188" i="6"/>
  <c r="D188" i="6" s="1"/>
  <c r="E187" i="6"/>
  <c r="Q188" i="6"/>
  <c r="P188" i="6" s="1"/>
  <c r="F550" i="1" s="1"/>
  <c r="E550" i="1" s="1"/>
  <c r="Q187" i="6"/>
  <c r="Q40" i="6"/>
  <c r="P40" i="6" s="1"/>
  <c r="U40" i="6"/>
  <c r="T40" i="6" s="1"/>
  <c r="U39" i="6"/>
  <c r="Q38" i="6"/>
  <c r="P38" i="6" s="1"/>
  <c r="F489" i="1" s="1"/>
  <c r="E489" i="1" s="1"/>
  <c r="U38" i="6"/>
  <c r="T38" i="6" s="1"/>
  <c r="F488" i="1" s="1"/>
  <c r="E488" i="1" s="1"/>
  <c r="U37" i="6"/>
  <c r="F537" i="1" l="1"/>
  <c r="F534" i="1"/>
  <c r="F531" i="1"/>
  <c r="F527" i="1"/>
  <c r="F524" i="1"/>
  <c r="F521" i="1"/>
  <c r="H188" i="6"/>
  <c r="F549" i="1" s="1"/>
  <c r="E549" i="1" s="1"/>
  <c r="F548" i="1"/>
  <c r="E548" i="1" s="1"/>
  <c r="T188" i="6"/>
  <c r="F551" i="1" s="1"/>
  <c r="E551" i="1" s="1"/>
  <c r="F519" i="1"/>
  <c r="F518" i="1"/>
  <c r="F514" i="1"/>
  <c r="F513" i="1"/>
  <c r="F517" i="1"/>
  <c r="F515" i="1"/>
  <c r="I38" i="6"/>
  <c r="I37" i="6"/>
  <c r="E192" i="6"/>
  <c r="Q191" i="6"/>
  <c r="U190" i="6"/>
  <c r="I190" i="6"/>
  <c r="U189" i="6"/>
  <c r="Q189" i="6"/>
  <c r="P189" i="6" s="1"/>
  <c r="M189" i="6"/>
  <c r="I189" i="6"/>
  <c r="E189" i="6"/>
  <c r="D189" i="6" s="1"/>
  <c r="M188" i="6"/>
  <c r="M186" i="6"/>
  <c r="U185" i="6"/>
  <c r="Q185" i="6"/>
  <c r="P185" i="6" s="1"/>
  <c r="E185" i="6"/>
  <c r="D185" i="6" s="1"/>
  <c r="U184" i="6"/>
  <c r="Q184" i="6"/>
  <c r="P184" i="6" s="1"/>
  <c r="M184" i="6"/>
  <c r="I184" i="6"/>
  <c r="E184" i="6"/>
  <c r="U183" i="6"/>
  <c r="Q183" i="6"/>
  <c r="M183" i="6"/>
  <c r="L183" i="6" s="1"/>
  <c r="I183" i="6"/>
  <c r="E183" i="6"/>
  <c r="D183" i="6" s="1"/>
  <c r="T183" i="6" s="1"/>
  <c r="F4687" i="1" s="1"/>
  <c r="E4687" i="1" s="1"/>
  <c r="U182" i="6"/>
  <c r="Q182" i="6"/>
  <c r="M182" i="6"/>
  <c r="I182" i="6"/>
  <c r="E182" i="6"/>
  <c r="D182" i="6" s="1"/>
  <c r="H182" i="6" s="1"/>
  <c r="F4604" i="1" s="1"/>
  <c r="E4604" i="1" s="1"/>
  <c r="M181" i="6"/>
  <c r="L181" i="6" s="1"/>
  <c r="M180" i="6"/>
  <c r="U179" i="6"/>
  <c r="T179" i="6" s="1"/>
  <c r="F4130" i="1" s="1"/>
  <c r="E4130" i="1" s="1"/>
  <c r="Q179" i="6"/>
  <c r="M179" i="6"/>
  <c r="L179" i="6" s="1"/>
  <c r="I179" i="6"/>
  <c r="E179" i="6"/>
  <c r="D179" i="6" s="1"/>
  <c r="Q178" i="6"/>
  <c r="P178" i="6" s="1"/>
  <c r="U177" i="6"/>
  <c r="Q177" i="6"/>
  <c r="M177" i="6"/>
  <c r="L177" i="6" s="1"/>
  <c r="I177" i="6"/>
  <c r="E177" i="6"/>
  <c r="E176" i="6"/>
  <c r="E175" i="6"/>
  <c r="U174" i="6"/>
  <c r="Q174" i="6"/>
  <c r="M174" i="6"/>
  <c r="I174" i="6"/>
  <c r="E174" i="6"/>
  <c r="Q173" i="6"/>
  <c r="Q172" i="6"/>
  <c r="U171" i="6"/>
  <c r="Q171" i="6"/>
  <c r="P171" i="6" s="1"/>
  <c r="M171" i="6"/>
  <c r="L171" i="6" s="1"/>
  <c r="I171" i="6"/>
  <c r="E171" i="6"/>
  <c r="D171" i="6" s="1"/>
  <c r="T171" i="6" s="1"/>
  <c r="F4014" i="1" s="1"/>
  <c r="E4014" i="1" s="1"/>
  <c r="U170" i="6"/>
  <c r="Q170" i="6"/>
  <c r="M170" i="6"/>
  <c r="E170" i="6"/>
  <c r="M169" i="6"/>
  <c r="L169" i="6" s="1"/>
  <c r="E169" i="6"/>
  <c r="D169" i="6" s="1"/>
  <c r="U168" i="6"/>
  <c r="Q168" i="6"/>
  <c r="P168" i="6" s="1"/>
  <c r="M168" i="6"/>
  <c r="I168" i="6"/>
  <c r="E168" i="6"/>
  <c r="U167" i="6"/>
  <c r="Q167" i="6"/>
  <c r="M167" i="6"/>
  <c r="L167" i="6" s="1"/>
  <c r="E167" i="6"/>
  <c r="Q166" i="6"/>
  <c r="P166" i="6" s="1"/>
  <c r="Q165" i="6"/>
  <c r="U164" i="6"/>
  <c r="Q164" i="6"/>
  <c r="M164" i="6"/>
  <c r="L164" i="6" s="1"/>
  <c r="I164" i="6"/>
  <c r="E164" i="6"/>
  <c r="D164" i="6" s="1"/>
  <c r="F3612" i="1" s="1"/>
  <c r="E3612" i="1" s="1"/>
  <c r="U163" i="6"/>
  <c r="Q163" i="6"/>
  <c r="P163" i="6" s="1"/>
  <c r="M163" i="6"/>
  <c r="I163" i="6"/>
  <c r="H163" i="6" s="1"/>
  <c r="E163" i="6"/>
  <c r="U162" i="6"/>
  <c r="Q162" i="6"/>
  <c r="E162" i="6"/>
  <c r="U161" i="6"/>
  <c r="Q161" i="6"/>
  <c r="P161" i="6" s="1"/>
  <c r="M161" i="6"/>
  <c r="I161" i="6"/>
  <c r="E161" i="6"/>
  <c r="U160" i="6"/>
  <c r="T160" i="6" s="1"/>
  <c r="Q160" i="6"/>
  <c r="P160" i="6" s="1"/>
  <c r="M160" i="6"/>
  <c r="L160" i="6" s="1"/>
  <c r="I160" i="6"/>
  <c r="E160" i="6"/>
  <c r="D160" i="6" s="1"/>
  <c r="H160" i="6" s="1"/>
  <c r="F3246" i="1" s="1"/>
  <c r="E3246" i="1" s="1"/>
  <c r="Q159" i="6"/>
  <c r="Q158" i="6"/>
  <c r="U157" i="6"/>
  <c r="Q157" i="6"/>
  <c r="P157" i="6" s="1"/>
  <c r="M157" i="6"/>
  <c r="L157" i="6" s="1"/>
  <c r="I157" i="6"/>
  <c r="E157" i="6"/>
  <c r="M156" i="6"/>
  <c r="L156" i="6" s="1"/>
  <c r="U155" i="6"/>
  <c r="T155" i="6" s="1"/>
  <c r="Q155" i="6"/>
  <c r="P155" i="6" s="1"/>
  <c r="M155" i="6"/>
  <c r="E155" i="6"/>
  <c r="D155" i="6" s="1"/>
  <c r="Q154" i="6"/>
  <c r="M154" i="6"/>
  <c r="L154" i="6" s="1"/>
  <c r="I154" i="6"/>
  <c r="E154" i="6"/>
  <c r="D154" i="6" s="1"/>
  <c r="U153" i="6"/>
  <c r="Q153" i="6"/>
  <c r="M153" i="6"/>
  <c r="E153" i="6"/>
  <c r="D153" i="6" s="1"/>
  <c r="I152" i="6"/>
  <c r="H152" i="6" s="1"/>
  <c r="E152" i="6"/>
  <c r="D152" i="6" s="1"/>
  <c r="I151" i="6"/>
  <c r="E151" i="6"/>
  <c r="D151" i="6" s="1"/>
  <c r="I150" i="6"/>
  <c r="E150" i="6"/>
  <c r="U149" i="6"/>
  <c r="Q149" i="6"/>
  <c r="P149" i="6" s="1"/>
  <c r="M149" i="6"/>
  <c r="L149" i="6" s="1"/>
  <c r="I149" i="6"/>
  <c r="E149" i="6"/>
  <c r="I148" i="6"/>
  <c r="U147" i="6"/>
  <c r="T147" i="6" s="1"/>
  <c r="Q147" i="6"/>
  <c r="P147" i="6" s="1"/>
  <c r="M147" i="6"/>
  <c r="I147" i="6"/>
  <c r="E147" i="6"/>
  <c r="D147" i="6" s="1"/>
  <c r="I146" i="6"/>
  <c r="E146" i="6"/>
  <c r="I145" i="6"/>
  <c r="E145" i="6"/>
  <c r="D145" i="6" s="1"/>
  <c r="U144" i="6"/>
  <c r="Q144" i="6"/>
  <c r="M144" i="6"/>
  <c r="L144" i="6" s="1"/>
  <c r="I144" i="6"/>
  <c r="E144" i="6"/>
  <c r="D144" i="6" s="1"/>
  <c r="U143" i="6"/>
  <c r="Q143" i="6"/>
  <c r="P143" i="6" s="1"/>
  <c r="M143" i="6"/>
  <c r="L143" i="6" s="1"/>
  <c r="I143" i="6"/>
  <c r="H143" i="6" s="1"/>
  <c r="E143" i="6"/>
  <c r="I142" i="6"/>
  <c r="E142" i="6"/>
  <c r="D142" i="6" s="1"/>
  <c r="U141" i="6"/>
  <c r="Q141" i="6"/>
  <c r="M141" i="6"/>
  <c r="L141" i="6" s="1"/>
  <c r="I141" i="6"/>
  <c r="E141" i="6"/>
  <c r="Q140" i="6"/>
  <c r="M140" i="6"/>
  <c r="L140" i="6" s="1"/>
  <c r="E140" i="6"/>
  <c r="U139" i="6"/>
  <c r="T139" i="6" s="1"/>
  <c r="Q139" i="6"/>
  <c r="M139" i="6"/>
  <c r="L139" i="6" s="1"/>
  <c r="I139" i="6"/>
  <c r="E139" i="6"/>
  <c r="M138" i="6"/>
  <c r="I138" i="6"/>
  <c r="E138" i="6"/>
  <c r="D138" i="6" s="1"/>
  <c r="H138" i="6" s="1"/>
  <c r="U137" i="6"/>
  <c r="Q137" i="6"/>
  <c r="M137" i="6"/>
  <c r="L137" i="6" s="1"/>
  <c r="I137" i="6"/>
  <c r="E137" i="6"/>
  <c r="U136" i="6"/>
  <c r="Q136" i="6"/>
  <c r="P136" i="6" s="1"/>
  <c r="M136" i="6"/>
  <c r="L136" i="6" s="1"/>
  <c r="I136" i="6"/>
  <c r="E136" i="6"/>
  <c r="Q135" i="6"/>
  <c r="P135" i="6" s="1"/>
  <c r="Q134" i="6"/>
  <c r="U133" i="6"/>
  <c r="Q133" i="6"/>
  <c r="M133" i="6"/>
  <c r="L133" i="6" s="1"/>
  <c r="I133" i="6"/>
  <c r="E133" i="6"/>
  <c r="D133" i="6" s="1"/>
  <c r="U132" i="6"/>
  <c r="Q132" i="6"/>
  <c r="P132" i="6" s="1"/>
  <c r="M132" i="6"/>
  <c r="I132" i="6"/>
  <c r="E132" i="6"/>
  <c r="U131" i="6"/>
  <c r="Q131" i="6"/>
  <c r="M131" i="6"/>
  <c r="L131" i="6" s="1"/>
  <c r="I131" i="6"/>
  <c r="E131" i="6"/>
  <c r="D131" i="6" s="1"/>
  <c r="Q130" i="6"/>
  <c r="P130" i="6" s="1"/>
  <c r="U129" i="6"/>
  <c r="T129" i="6" s="1"/>
  <c r="Q129" i="6"/>
  <c r="M129" i="6"/>
  <c r="L129" i="6" s="1"/>
  <c r="I129" i="6"/>
  <c r="H129" i="6" s="1"/>
  <c r="E129" i="6"/>
  <c r="D129" i="6" s="1"/>
  <c r="Q128" i="6"/>
  <c r="Q127" i="6"/>
  <c r="P127" i="6" s="1"/>
  <c r="Q126" i="6"/>
  <c r="P126" i="6" s="1"/>
  <c r="U125" i="6"/>
  <c r="Q125" i="6"/>
  <c r="M125" i="6"/>
  <c r="L125" i="6" s="1"/>
  <c r="I125" i="6"/>
  <c r="E125" i="6"/>
  <c r="D125" i="6" s="1"/>
  <c r="U124" i="6"/>
  <c r="Q124" i="6"/>
  <c r="P124" i="6" s="1"/>
  <c r="M124" i="6"/>
  <c r="I124" i="6"/>
  <c r="E124" i="6"/>
  <c r="Q123" i="6"/>
  <c r="P123" i="6" s="1"/>
  <c r="U122" i="6"/>
  <c r="T122" i="6" s="1"/>
  <c r="Q122" i="6"/>
  <c r="P122" i="6" s="1"/>
  <c r="M122" i="6"/>
  <c r="I122" i="6"/>
  <c r="H122" i="6" s="1"/>
  <c r="E122" i="6"/>
  <c r="D122" i="6" s="1"/>
  <c r="M121" i="6"/>
  <c r="U120" i="6"/>
  <c r="Q120" i="6"/>
  <c r="P120" i="6" s="1"/>
  <c r="M120" i="6"/>
  <c r="L120" i="6" s="1"/>
  <c r="I120" i="6"/>
  <c r="H120" i="6" s="1"/>
  <c r="E120" i="6"/>
  <c r="Q119" i="6"/>
  <c r="P119" i="6" s="1"/>
  <c r="U118" i="6"/>
  <c r="Q118" i="6"/>
  <c r="P118" i="6" s="1"/>
  <c r="M118" i="6"/>
  <c r="I118" i="6"/>
  <c r="H118" i="6" s="1"/>
  <c r="E118" i="6"/>
  <c r="D118" i="6" s="1"/>
  <c r="Q117" i="6"/>
  <c r="P117" i="6" s="1"/>
  <c r="M117" i="6"/>
  <c r="I117" i="6"/>
  <c r="E117" i="6"/>
  <c r="Q116" i="6"/>
  <c r="E116" i="6"/>
  <c r="D116" i="6" s="1"/>
  <c r="T116" i="6" s="1"/>
  <c r="F2206" i="1" s="1"/>
  <c r="E2206" i="1" s="1"/>
  <c r="M115" i="6"/>
  <c r="M114" i="6"/>
  <c r="L114" i="6" s="1"/>
  <c r="U113" i="6"/>
  <c r="Q113" i="6"/>
  <c r="M113" i="6"/>
  <c r="L113" i="6" s="1"/>
  <c r="I113" i="6"/>
  <c r="H113" i="6" s="1"/>
  <c r="E113" i="6"/>
  <c r="I112" i="6"/>
  <c r="H112" i="6" s="1"/>
  <c r="I111" i="6"/>
  <c r="I110" i="6"/>
  <c r="H110" i="6" s="1"/>
  <c r="M109" i="6"/>
  <c r="I109" i="6"/>
  <c r="E109" i="6"/>
  <c r="D109" i="6" s="1"/>
  <c r="F1971" i="1" s="1"/>
  <c r="E1971" i="1" s="1"/>
  <c r="U108" i="6"/>
  <c r="Q108" i="6"/>
  <c r="M108" i="6"/>
  <c r="L108" i="6" s="1"/>
  <c r="I108" i="6"/>
  <c r="E108" i="6"/>
  <c r="D108" i="6" s="1"/>
  <c r="U107" i="6"/>
  <c r="T107" i="6" s="1"/>
  <c r="M107" i="6"/>
  <c r="I107" i="6"/>
  <c r="H107" i="6" s="1"/>
  <c r="E107" i="6"/>
  <c r="D107" i="6" s="1"/>
  <c r="U106" i="6"/>
  <c r="Q106" i="6"/>
  <c r="M106" i="6"/>
  <c r="I106" i="6"/>
  <c r="E106" i="6"/>
  <c r="D106" i="6" s="1"/>
  <c r="U105" i="6"/>
  <c r="Q105" i="6"/>
  <c r="P105" i="6" s="1"/>
  <c r="M105" i="6"/>
  <c r="I105" i="6"/>
  <c r="E105" i="6"/>
  <c r="D105" i="6" s="1"/>
  <c r="Q104" i="6"/>
  <c r="U102" i="6"/>
  <c r="M102" i="6"/>
  <c r="L102" i="6" s="1"/>
  <c r="I102" i="6"/>
  <c r="E102" i="6"/>
  <c r="D102" i="6" s="1"/>
  <c r="U101" i="6"/>
  <c r="Q101" i="6"/>
  <c r="M101" i="6"/>
  <c r="E101" i="6"/>
  <c r="U100" i="6"/>
  <c r="T100" i="6" s="1"/>
  <c r="Q100" i="6"/>
  <c r="P100" i="6" s="1"/>
  <c r="M100" i="6"/>
  <c r="I100" i="6"/>
  <c r="H100" i="6" s="1"/>
  <c r="F1674" i="1" s="1"/>
  <c r="E1674" i="1" s="1"/>
  <c r="E100" i="6"/>
  <c r="U99" i="6"/>
  <c r="Q99" i="6"/>
  <c r="P99" i="6" s="1"/>
  <c r="M99" i="6"/>
  <c r="I99" i="6"/>
  <c r="H99" i="6" s="1"/>
  <c r="E99" i="6"/>
  <c r="D99" i="6" s="1"/>
  <c r="T99" i="6" s="1"/>
  <c r="F1645" i="1" s="1"/>
  <c r="E1645" i="1" s="1"/>
  <c r="U98" i="6"/>
  <c r="Q98" i="6"/>
  <c r="M98" i="6"/>
  <c r="L98" i="6" s="1"/>
  <c r="I98" i="6"/>
  <c r="E98" i="6"/>
  <c r="D98" i="6" s="1"/>
  <c r="Q97" i="6"/>
  <c r="Q96" i="6"/>
  <c r="P96" i="6" s="1"/>
  <c r="U95" i="6"/>
  <c r="Q95" i="6"/>
  <c r="M95" i="6"/>
  <c r="L95" i="6" s="1"/>
  <c r="I95" i="6"/>
  <c r="H95" i="6" s="1"/>
  <c r="E95" i="6"/>
  <c r="E94" i="6"/>
  <c r="D94" i="6" s="1"/>
  <c r="E93" i="6"/>
  <c r="Q92" i="6"/>
  <c r="P92" i="6" s="1"/>
  <c r="E92" i="6"/>
  <c r="U91" i="6"/>
  <c r="T91" i="6" s="1"/>
  <c r="F1596" i="1" s="1"/>
  <c r="E1596" i="1" s="1"/>
  <c r="Q91" i="6"/>
  <c r="P91" i="6" s="1"/>
  <c r="M91" i="6"/>
  <c r="L91" i="6" s="1"/>
  <c r="I91" i="6"/>
  <c r="E91" i="6"/>
  <c r="D91" i="6" s="1"/>
  <c r="U90" i="6"/>
  <c r="M90" i="6"/>
  <c r="L90" i="6" s="1"/>
  <c r="U89" i="6"/>
  <c r="T89" i="6" s="1"/>
  <c r="Q89" i="6"/>
  <c r="M89" i="6"/>
  <c r="L89" i="6" s="1"/>
  <c r="I89" i="6"/>
  <c r="E89" i="6"/>
  <c r="I88" i="6"/>
  <c r="H88" i="6" s="1"/>
  <c r="E88" i="6"/>
  <c r="I87" i="6"/>
  <c r="H87" i="6" s="1"/>
  <c r="E87" i="6"/>
  <c r="I86" i="6"/>
  <c r="E86" i="6"/>
  <c r="D86" i="6" s="1"/>
  <c r="I85" i="6"/>
  <c r="H85" i="6" s="1"/>
  <c r="E85" i="6"/>
  <c r="I84" i="6"/>
  <c r="H84" i="6" s="1"/>
  <c r="E84" i="6"/>
  <c r="I83" i="6"/>
  <c r="E83" i="6"/>
  <c r="D83" i="6" s="1"/>
  <c r="M82" i="6"/>
  <c r="I82" i="6"/>
  <c r="H82" i="6" s="1"/>
  <c r="E82" i="6"/>
  <c r="D82" i="6" s="1"/>
  <c r="T81" i="6"/>
  <c r="P81" i="6"/>
  <c r="M81" i="6"/>
  <c r="I81" i="6"/>
  <c r="H81" i="6" s="1"/>
  <c r="E81" i="6"/>
  <c r="U80" i="6"/>
  <c r="Q80" i="6"/>
  <c r="P80" i="6" s="1"/>
  <c r="M80" i="6"/>
  <c r="L80" i="6" s="1"/>
  <c r="I80" i="6"/>
  <c r="E80" i="6"/>
  <c r="U79" i="6"/>
  <c r="Q79" i="6"/>
  <c r="U78" i="6"/>
  <c r="T78" i="6" s="1"/>
  <c r="Q78" i="6"/>
  <c r="M78" i="6"/>
  <c r="L78" i="6" s="1"/>
  <c r="I78" i="6"/>
  <c r="E78" i="6"/>
  <c r="M77" i="6"/>
  <c r="L77" i="6" s="1"/>
  <c r="F1232" i="1" s="1"/>
  <c r="E1232" i="1" s="1"/>
  <c r="M76" i="6"/>
  <c r="U75" i="6"/>
  <c r="T75" i="6" s="1"/>
  <c r="F1230" i="1" s="1"/>
  <c r="E1230" i="1" s="1"/>
  <c r="Q75" i="6"/>
  <c r="P75" i="6" s="1"/>
  <c r="F1231" i="1" s="1"/>
  <c r="E1231" i="1" s="1"/>
  <c r="M75" i="6"/>
  <c r="I75" i="6"/>
  <c r="E75" i="6"/>
  <c r="Q74" i="6"/>
  <c r="P74" i="6" s="1"/>
  <c r="I74" i="6"/>
  <c r="H74" i="6" s="1"/>
  <c r="Q73" i="6"/>
  <c r="M73" i="6"/>
  <c r="L73" i="6" s="1"/>
  <c r="I73" i="6"/>
  <c r="H73" i="6" s="1"/>
  <c r="E73" i="6"/>
  <c r="Q72" i="6"/>
  <c r="P72" i="6" s="1"/>
  <c r="M72" i="6"/>
  <c r="L72" i="6" s="1"/>
  <c r="I72" i="6"/>
  <c r="E72" i="6"/>
  <c r="E71" i="6"/>
  <c r="E70" i="6"/>
  <c r="Q69" i="6"/>
  <c r="M69" i="6"/>
  <c r="I69" i="6"/>
  <c r="H69" i="6" s="1"/>
  <c r="E69" i="6"/>
  <c r="U68" i="6"/>
  <c r="T68" i="6" s="1"/>
  <c r="M68" i="6"/>
  <c r="I68" i="6"/>
  <c r="E68" i="6"/>
  <c r="D68" i="6" s="1"/>
  <c r="H68" i="6" s="1"/>
  <c r="M67" i="6"/>
  <c r="L67" i="6" s="1"/>
  <c r="M66" i="6"/>
  <c r="U65" i="6"/>
  <c r="T65" i="6" s="1"/>
  <c r="Q65" i="6"/>
  <c r="P65" i="6" s="1"/>
  <c r="M65" i="6"/>
  <c r="L65" i="6" s="1"/>
  <c r="I65" i="6"/>
  <c r="E65" i="6"/>
  <c r="I64" i="6"/>
  <c r="H64" i="6" s="1"/>
  <c r="E64" i="6"/>
  <c r="U63" i="6"/>
  <c r="Q63" i="6"/>
  <c r="M63" i="6"/>
  <c r="L63" i="6" s="1"/>
  <c r="I63" i="6"/>
  <c r="E63" i="6"/>
  <c r="U62" i="6"/>
  <c r="E62" i="6"/>
  <c r="D62" i="6" s="1"/>
  <c r="T62" i="6" s="1"/>
  <c r="F956" i="1" s="1"/>
  <c r="E956" i="1" s="1"/>
  <c r="U61" i="6"/>
  <c r="E61" i="6"/>
  <c r="U60" i="6"/>
  <c r="E60" i="6"/>
  <c r="D60" i="6" s="1"/>
  <c r="U59" i="6"/>
  <c r="Q59" i="6"/>
  <c r="M59" i="6"/>
  <c r="I59" i="6"/>
  <c r="H59" i="6" s="1"/>
  <c r="E59" i="6"/>
  <c r="D59" i="6" s="1"/>
  <c r="U58" i="6"/>
  <c r="Q58" i="6"/>
  <c r="P58" i="6" s="1"/>
  <c r="M58" i="6"/>
  <c r="I58" i="6"/>
  <c r="E58" i="6"/>
  <c r="U57" i="6"/>
  <c r="Q57" i="6"/>
  <c r="P57" i="6" s="1"/>
  <c r="M57" i="6"/>
  <c r="I57" i="6"/>
  <c r="E57" i="6"/>
  <c r="D57" i="6" s="1"/>
  <c r="Q56" i="6"/>
  <c r="Q55" i="6"/>
  <c r="P55" i="6" s="1"/>
  <c r="U54" i="6"/>
  <c r="Q54" i="6"/>
  <c r="M54" i="6"/>
  <c r="L54" i="6" s="1"/>
  <c r="I54" i="6"/>
  <c r="H54" i="6" s="1"/>
  <c r="E54" i="6"/>
  <c r="U53" i="6"/>
  <c r="Q53" i="6"/>
  <c r="M53" i="6"/>
  <c r="L53" i="6" s="1"/>
  <c r="I53" i="6"/>
  <c r="E53" i="6"/>
  <c r="I52" i="6"/>
  <c r="H52" i="6" s="1"/>
  <c r="Q51" i="6"/>
  <c r="P51" i="6" s="1"/>
  <c r="I51" i="6"/>
  <c r="E51" i="6"/>
  <c r="D51" i="6" s="1"/>
  <c r="U50" i="6"/>
  <c r="Q50" i="6"/>
  <c r="P50" i="6" s="1"/>
  <c r="M50" i="6"/>
  <c r="I50" i="6"/>
  <c r="E50" i="6"/>
  <c r="D50" i="6" s="1"/>
  <c r="U49" i="6"/>
  <c r="Q49" i="6"/>
  <c r="M49" i="6"/>
  <c r="L49" i="6" s="1"/>
  <c r="I49" i="6"/>
  <c r="E49" i="6"/>
  <c r="D49" i="6" s="1"/>
  <c r="Q48" i="6"/>
  <c r="I48" i="6"/>
  <c r="E48" i="6"/>
  <c r="D48" i="6" s="1"/>
  <c r="U47" i="6"/>
  <c r="Q47" i="6"/>
  <c r="M47" i="6"/>
  <c r="L47" i="6" s="1"/>
  <c r="I47" i="6"/>
  <c r="E47" i="6"/>
  <c r="D47" i="6" s="1"/>
  <c r="U46" i="6"/>
  <c r="Q46" i="6"/>
  <c r="M46" i="6"/>
  <c r="I46" i="6"/>
  <c r="E46" i="6"/>
  <c r="U45" i="6"/>
  <c r="Q45" i="6"/>
  <c r="M45" i="6"/>
  <c r="L45" i="6" s="1"/>
  <c r="I45" i="6"/>
  <c r="E45" i="6"/>
  <c r="I44" i="6"/>
  <c r="H44" i="6" s="1"/>
  <c r="I43" i="6"/>
  <c r="I42" i="6"/>
  <c r="Q41" i="6"/>
  <c r="P41" i="6" s="1"/>
  <c r="I41" i="6"/>
  <c r="H41" i="6" s="1"/>
  <c r="I40" i="6"/>
  <c r="H40" i="6" s="1"/>
  <c r="Q39" i="6"/>
  <c r="M39" i="6"/>
  <c r="I39" i="6"/>
  <c r="E39" i="6"/>
  <c r="D39" i="6" s="1"/>
  <c r="T39" i="6" s="1"/>
  <c r="F516" i="1" s="1"/>
  <c r="E516" i="1" s="1"/>
  <c r="M38" i="6"/>
  <c r="E38" i="6"/>
  <c r="D38" i="6" s="1"/>
  <c r="H38" i="6" s="1"/>
  <c r="F487" i="1" s="1"/>
  <c r="Q37" i="6"/>
  <c r="P37" i="6" s="1"/>
  <c r="M37" i="6"/>
  <c r="L37" i="6" s="1"/>
  <c r="E37" i="6"/>
  <c r="M36" i="6"/>
  <c r="E36" i="6"/>
  <c r="D36" i="6" s="1"/>
  <c r="U35" i="6"/>
  <c r="Q35" i="6"/>
  <c r="M35" i="6"/>
  <c r="L35" i="6" s="1"/>
  <c r="I35" i="6"/>
  <c r="E35" i="6"/>
  <c r="U34" i="6"/>
  <c r="U33" i="6"/>
  <c r="T33" i="6" s="1"/>
  <c r="Q33" i="6"/>
  <c r="P33" i="6" s="1"/>
  <c r="M33" i="6"/>
  <c r="L33" i="6" s="1"/>
  <c r="I33" i="6"/>
  <c r="E33" i="6"/>
  <c r="D33" i="6" s="1"/>
  <c r="H33" i="6" s="1"/>
  <c r="U32" i="6"/>
  <c r="T32" i="6" s="1"/>
  <c r="Q32" i="6"/>
  <c r="P32" i="6" s="1"/>
  <c r="M32" i="6"/>
  <c r="I32" i="6"/>
  <c r="E32" i="6"/>
  <c r="D32" i="6" s="1"/>
  <c r="H32" i="6" s="1"/>
  <c r="F287" i="1" s="1"/>
  <c r="E287" i="1" s="1"/>
  <c r="U31" i="6"/>
  <c r="Q31" i="6"/>
  <c r="M31" i="6"/>
  <c r="L31" i="6" s="1"/>
  <c r="I31" i="6"/>
  <c r="E31" i="6"/>
  <c r="D31" i="6" s="1"/>
  <c r="E30" i="6"/>
  <c r="Q29" i="6"/>
  <c r="E29" i="6"/>
  <c r="D29" i="6" s="1"/>
  <c r="Q28" i="6"/>
  <c r="P28" i="6" s="1"/>
  <c r="I28" i="6"/>
  <c r="E28" i="6"/>
  <c r="D28" i="6" s="1"/>
  <c r="U27" i="6"/>
  <c r="Q27" i="6"/>
  <c r="P27" i="6" s="1"/>
  <c r="M27" i="6"/>
  <c r="I27" i="6"/>
  <c r="E27" i="6"/>
  <c r="D27" i="6" s="1"/>
  <c r="Q26" i="6"/>
  <c r="I26" i="6"/>
  <c r="E26" i="6"/>
  <c r="D26" i="6" s="1"/>
  <c r="H26" i="6" s="1"/>
  <c r="F89" i="1" s="1"/>
  <c r="E89" i="1" s="1"/>
  <c r="U25" i="6"/>
  <c r="T25" i="6" s="1"/>
  <c r="Q25" i="6"/>
  <c r="M25" i="6"/>
  <c r="I25" i="6"/>
  <c r="E25" i="6"/>
  <c r="D25" i="6" s="1"/>
  <c r="H25" i="6" s="1"/>
  <c r="F88" i="1" s="1"/>
  <c r="E88" i="1" s="1"/>
  <c r="U24" i="6"/>
  <c r="Q24" i="6"/>
  <c r="M24" i="6"/>
  <c r="L24" i="6" s="1"/>
  <c r="I24" i="6"/>
  <c r="E24" i="6"/>
  <c r="D24" i="6" s="1"/>
  <c r="M21" i="6"/>
  <c r="U19" i="6"/>
  <c r="Q19" i="6"/>
  <c r="P19" i="6" s="1"/>
  <c r="F3455" i="1" s="1"/>
  <c r="E3455" i="1" s="1"/>
  <c r="M19" i="6"/>
  <c r="L19" i="6" s="1"/>
  <c r="I19" i="6"/>
  <c r="E19" i="6"/>
  <c r="D19" i="6" s="1"/>
  <c r="P18" i="6"/>
  <c r="E18" i="6"/>
  <c r="D18" i="6" s="1"/>
  <c r="U17" i="6"/>
  <c r="T17" i="6" s="1"/>
  <c r="F2528" i="1" s="1"/>
  <c r="E2528" i="1" s="1"/>
  <c r="Q17" i="6"/>
  <c r="M17" i="6"/>
  <c r="L17" i="6" s="1"/>
  <c r="I17" i="6"/>
  <c r="E17" i="6"/>
  <c r="U15" i="6"/>
  <c r="Q15" i="6"/>
  <c r="M15" i="6"/>
  <c r="L15" i="6" s="1"/>
  <c r="I15" i="6"/>
  <c r="E15" i="6"/>
  <c r="U14" i="6"/>
  <c r="T14" i="6" s="1"/>
  <c r="F714" i="1" s="1"/>
  <c r="E714" i="1" s="1"/>
  <c r="Q14" i="6"/>
  <c r="M14" i="6"/>
  <c r="I14" i="6"/>
  <c r="E14" i="6"/>
  <c r="U12" i="6"/>
  <c r="T12" i="6" s="1"/>
  <c r="Q12" i="6"/>
  <c r="P12" i="6" s="1"/>
  <c r="M12" i="6"/>
  <c r="I12" i="6"/>
  <c r="E12" i="6"/>
  <c r="Q8" i="6"/>
  <c r="E8" i="6"/>
  <c r="Q7" i="6"/>
  <c r="E7" i="6"/>
  <c r="U6" i="6"/>
  <c r="Q6" i="6"/>
  <c r="M6" i="6"/>
  <c r="I6" i="6"/>
  <c r="E6" i="6"/>
  <c r="U4" i="6"/>
  <c r="Q4" i="6"/>
  <c r="M4" i="6"/>
  <c r="I4" i="6"/>
  <c r="E4" i="6"/>
  <c r="U3" i="6"/>
  <c r="Q3" i="6"/>
  <c r="M3" i="6"/>
  <c r="I3" i="6"/>
  <c r="E3" i="6"/>
  <c r="D3" i="6" s="1"/>
  <c r="Q103" i="6"/>
  <c r="Q102" i="6"/>
  <c r="T192" i="6"/>
  <c r="P192" i="6"/>
  <c r="F3682" i="1" s="1"/>
  <c r="E3682" i="1" s="1"/>
  <c r="L192" i="6"/>
  <c r="D192" i="6"/>
  <c r="F3665" i="1" s="1"/>
  <c r="E3665" i="1" s="1"/>
  <c r="P191" i="6"/>
  <c r="L190" i="6"/>
  <c r="F4672" i="1" s="1"/>
  <c r="E4672" i="1" s="1"/>
  <c r="D190" i="6"/>
  <c r="L189" i="6"/>
  <c r="L188" i="6"/>
  <c r="D187" i="6"/>
  <c r="T187" i="6" s="1"/>
  <c r="L186" i="6"/>
  <c r="T185" i="6"/>
  <c r="T184" i="6"/>
  <c r="L184" i="6"/>
  <c r="H184" i="6"/>
  <c r="D184" i="6"/>
  <c r="P182" i="6"/>
  <c r="L182" i="6"/>
  <c r="L180" i="6"/>
  <c r="P177" i="6"/>
  <c r="D177" i="6"/>
  <c r="D176" i="6"/>
  <c r="D175" i="6"/>
  <c r="P174" i="6"/>
  <c r="L174" i="6"/>
  <c r="D174" i="6"/>
  <c r="P173" i="6"/>
  <c r="P172" i="6"/>
  <c r="P170" i="6"/>
  <c r="L170" i="6"/>
  <c r="D170" i="6"/>
  <c r="H170" i="6" s="1"/>
  <c r="F3843" i="1" s="1"/>
  <c r="E3843" i="1" s="1"/>
  <c r="T168" i="6"/>
  <c r="L168" i="6"/>
  <c r="D168" i="6"/>
  <c r="D167" i="6"/>
  <c r="P165" i="6"/>
  <c r="T164" i="6"/>
  <c r="P164" i="6"/>
  <c r="L163" i="6"/>
  <c r="D163" i="6"/>
  <c r="T163" i="6" s="1"/>
  <c r="F3548" i="1" s="1"/>
  <c r="E3548" i="1" s="1"/>
  <c r="P162" i="6"/>
  <c r="D162" i="6"/>
  <c r="L161" i="6"/>
  <c r="D161" i="6"/>
  <c r="P159" i="6"/>
  <c r="P158" i="6"/>
  <c r="D157" i="6"/>
  <c r="L155" i="6"/>
  <c r="P154" i="6"/>
  <c r="H154" i="6"/>
  <c r="T153" i="6"/>
  <c r="P153" i="6"/>
  <c r="L153" i="6"/>
  <c r="H151" i="6"/>
  <c r="D150" i="6"/>
  <c r="H150" i="6" s="1"/>
  <c r="T149" i="6"/>
  <c r="D149" i="6"/>
  <c r="L147" i="6"/>
  <c r="D146" i="6"/>
  <c r="P144" i="6"/>
  <c r="D143" i="6"/>
  <c r="D141" i="6"/>
  <c r="P140" i="6"/>
  <c r="D140" i="6"/>
  <c r="P139" i="6"/>
  <c r="D139" i="6"/>
  <c r="H139" i="6" s="1"/>
  <c r="L138" i="6"/>
  <c r="P137" i="6"/>
  <c r="D137" i="6"/>
  <c r="H137" i="6" s="1"/>
  <c r="T136" i="6"/>
  <c r="D136" i="6"/>
  <c r="H136" i="6" s="1"/>
  <c r="P134" i="6"/>
  <c r="P133" i="6"/>
  <c r="H133" i="6"/>
  <c r="L132" i="6"/>
  <c r="D132" i="6"/>
  <c r="P129" i="6"/>
  <c r="P128" i="6"/>
  <c r="T125" i="6"/>
  <c r="P125" i="6"/>
  <c r="T124" i="6"/>
  <c r="L124" i="6"/>
  <c r="D124" i="6"/>
  <c r="L122" i="6"/>
  <c r="L121" i="6"/>
  <c r="D120" i="6"/>
  <c r="T120" i="6" s="1"/>
  <c r="F2289" i="1" s="1"/>
  <c r="E2289" i="1" s="1"/>
  <c r="L118" i="6"/>
  <c r="L117" i="6"/>
  <c r="D117" i="6"/>
  <c r="T117" i="6" s="1"/>
  <c r="F2207" i="1" s="1"/>
  <c r="E2207" i="1" s="1"/>
  <c r="L115" i="6"/>
  <c r="P113" i="6"/>
  <c r="D113" i="6"/>
  <c r="H111" i="6"/>
  <c r="L109" i="6"/>
  <c r="T108" i="6"/>
  <c r="P108" i="6"/>
  <c r="L107" i="6"/>
  <c r="L106" i="6"/>
  <c r="L105" i="6"/>
  <c r="F1763" i="1" s="1"/>
  <c r="E1763" i="1" s="1"/>
  <c r="P104" i="6"/>
  <c r="P103" i="6"/>
  <c r="P102" i="6"/>
  <c r="H102" i="6"/>
  <c r="T101" i="6"/>
  <c r="P101" i="6"/>
  <c r="L101" i="6"/>
  <c r="D101" i="6"/>
  <c r="L100" i="6"/>
  <c r="D100" i="6"/>
  <c r="L99" i="6"/>
  <c r="F1649" i="1" s="1"/>
  <c r="E1649" i="1" s="1"/>
  <c r="P97" i="6"/>
  <c r="P95" i="6"/>
  <c r="D95" i="6"/>
  <c r="T95" i="6" s="1"/>
  <c r="F1614" i="1" s="1"/>
  <c r="E1614" i="1" s="1"/>
  <c r="D93" i="6"/>
  <c r="D92" i="6"/>
  <c r="H91" i="6"/>
  <c r="T90" i="6"/>
  <c r="H89" i="6"/>
  <c r="D89" i="6"/>
  <c r="P89" i="6" s="1"/>
  <c r="D88" i="6"/>
  <c r="D87" i="6"/>
  <c r="H86" i="6"/>
  <c r="D85" i="6"/>
  <c r="D84" i="6"/>
  <c r="H83" i="6"/>
  <c r="L82" i="6"/>
  <c r="L81" i="6"/>
  <c r="D81" i="6"/>
  <c r="T80" i="6"/>
  <c r="D80" i="6"/>
  <c r="P78" i="6"/>
  <c r="D78" i="6"/>
  <c r="P79" i="6" s="1"/>
  <c r="L76" i="6"/>
  <c r="L75" i="6"/>
  <c r="D75" i="6"/>
  <c r="P73" i="6"/>
  <c r="D73" i="6"/>
  <c r="T73" i="6" s="1"/>
  <c r="F1210" i="1" s="1"/>
  <c r="E1210" i="1" s="1"/>
  <c r="D72" i="6"/>
  <c r="D71" i="6"/>
  <c r="D70" i="6"/>
  <c r="P69" i="6"/>
  <c r="L69" i="6"/>
  <c r="D69" i="6"/>
  <c r="L68" i="6"/>
  <c r="L66" i="6"/>
  <c r="H65" i="6"/>
  <c r="D65" i="6"/>
  <c r="D64" i="6"/>
  <c r="D63" i="6"/>
  <c r="T63" i="6" s="1"/>
  <c r="D61" i="6"/>
  <c r="P59" i="6"/>
  <c r="L58" i="6"/>
  <c r="D58" i="6"/>
  <c r="T57" i="6"/>
  <c r="L57" i="6"/>
  <c r="F901" i="1" s="1"/>
  <c r="E901" i="1" s="1"/>
  <c r="H57" i="6"/>
  <c r="P56" i="6"/>
  <c r="P54" i="6"/>
  <c r="D54" i="6"/>
  <c r="T54" i="6" s="1"/>
  <c r="F883" i="1" s="1"/>
  <c r="E883" i="1" s="1"/>
  <c r="D53" i="6"/>
  <c r="H51" i="6"/>
  <c r="L50" i="6"/>
  <c r="P49" i="6"/>
  <c r="P46" i="6"/>
  <c r="F636" i="1" s="1"/>
  <c r="E636" i="1" s="1"/>
  <c r="L46" i="6"/>
  <c r="D46" i="6"/>
  <c r="T46" i="6" s="1"/>
  <c r="F633" i="1" s="1"/>
  <c r="E633" i="1" s="1"/>
  <c r="P45" i="6"/>
  <c r="D45" i="6"/>
  <c r="H45" i="6" s="1"/>
  <c r="F563" i="1" s="1"/>
  <c r="E563" i="1" s="1"/>
  <c r="H43" i="6"/>
  <c r="P39" i="6"/>
  <c r="L39" i="6"/>
  <c r="L38" i="6"/>
  <c r="T37" i="6"/>
  <c r="D37" i="6"/>
  <c r="H37" i="6" s="1"/>
  <c r="F467" i="1" s="1"/>
  <c r="E467" i="1" s="1"/>
  <c r="L36" i="6"/>
  <c r="T35" i="6"/>
  <c r="P35" i="6"/>
  <c r="D35" i="6"/>
  <c r="H35" i="6" s="1"/>
  <c r="T34" i="6"/>
  <c r="L32" i="6"/>
  <c r="T31" i="6"/>
  <c r="P31" i="6"/>
  <c r="F265" i="1" s="1"/>
  <c r="E265" i="1" s="1"/>
  <c r="D30" i="6"/>
  <c r="P29" i="6"/>
  <c r="H28" i="6"/>
  <c r="T27" i="6"/>
  <c r="L27" i="6"/>
  <c r="P26" i="6"/>
  <c r="P25" i="6"/>
  <c r="L25" i="6"/>
  <c r="P24" i="6"/>
  <c r="L21" i="6"/>
  <c r="T19" i="6"/>
  <c r="H19" i="6"/>
  <c r="T18" i="6"/>
  <c r="L18" i="6"/>
  <c r="H18" i="6"/>
  <c r="P17" i="6"/>
  <c r="F2529" i="1" s="1"/>
  <c r="E2529" i="1" s="1"/>
  <c r="H17" i="6"/>
  <c r="F2527" i="1" s="1"/>
  <c r="E2527" i="1" s="1"/>
  <c r="D17" i="6"/>
  <c r="F2526" i="1" s="1"/>
  <c r="E2526" i="1" s="1"/>
  <c r="D15" i="6"/>
  <c r="L14" i="6"/>
  <c r="D14" i="6"/>
  <c r="H14" i="6" s="1"/>
  <c r="F705" i="1" s="1"/>
  <c r="E705" i="1" s="1"/>
  <c r="L12" i="6"/>
  <c r="F668" i="1" s="1"/>
  <c r="E668" i="1" s="1"/>
  <c r="D12" i="6"/>
  <c r="D9" i="6"/>
  <c r="H6" i="6"/>
  <c r="L3" i="6"/>
  <c r="F1666" i="1"/>
  <c r="E1666" i="1" s="1"/>
  <c r="F30" i="8"/>
  <c r="E30" i="8" s="1"/>
  <c r="F25" i="17" s="1"/>
  <c r="E25" i="17" s="1"/>
  <c r="F20" i="8"/>
  <c r="E20" i="8" s="1"/>
  <c r="F12" i="8"/>
  <c r="E12" i="8" s="1"/>
  <c r="F11" i="8"/>
  <c r="E11" i="8" s="1"/>
  <c r="F21" i="3"/>
  <c r="E21" i="3" s="1"/>
  <c r="F13" i="3"/>
  <c r="E13" i="3" s="1"/>
  <c r="F20" i="3"/>
  <c r="E20" i="3" s="1"/>
  <c r="F8" i="3"/>
  <c r="E8" i="3" s="1"/>
  <c r="F19" i="3"/>
  <c r="E19" i="3" s="1"/>
  <c r="F18" i="3"/>
  <c r="E18" i="3" s="1"/>
  <c r="F16" i="3"/>
  <c r="E16" i="3" s="1"/>
  <c r="F15" i="3"/>
  <c r="E15" i="3" s="1"/>
  <c r="F14" i="3"/>
  <c r="E14" i="3" s="1"/>
  <c r="F17" i="3"/>
  <c r="E17" i="3" s="1"/>
  <c r="F5" i="3"/>
  <c r="E5" i="3" s="1"/>
  <c r="F12" i="3"/>
  <c r="E12" i="3" s="1"/>
  <c r="F11" i="3"/>
  <c r="E11" i="3" s="1"/>
  <c r="F10" i="3"/>
  <c r="E10" i="3" s="1"/>
  <c r="F9" i="3"/>
  <c r="E9" i="3" s="1"/>
  <c r="F7" i="3"/>
  <c r="E7" i="3" s="1"/>
  <c r="F6" i="3"/>
  <c r="E6" i="3" s="1"/>
  <c r="F4" i="3"/>
  <c r="E4" i="3" s="1"/>
  <c r="F3" i="3"/>
  <c r="E3" i="3" s="1"/>
  <c r="F2" i="3"/>
  <c r="E2" i="3" s="1"/>
  <c r="F3" i="15" s="1"/>
  <c r="E3" i="15" s="1"/>
  <c r="F17" i="9"/>
  <c r="E17" i="9" s="1"/>
  <c r="E16" i="9"/>
  <c r="F9" i="9"/>
  <c r="E9" i="9" s="1"/>
  <c r="F15" i="9"/>
  <c r="E15" i="9" s="1"/>
  <c r="F14" i="9"/>
  <c r="E14" i="9" s="1"/>
  <c r="F13" i="9"/>
  <c r="E13" i="9" s="1"/>
  <c r="F12" i="9"/>
  <c r="E12" i="9" s="1"/>
  <c r="F11" i="9"/>
  <c r="E11" i="9" s="1"/>
  <c r="F10" i="9"/>
  <c r="E10" i="9" s="1"/>
  <c r="F8" i="9"/>
  <c r="E8" i="9" s="1"/>
  <c r="F7" i="9"/>
  <c r="E7" i="9" s="1"/>
  <c r="F6" i="9"/>
  <c r="E6" i="9" s="1"/>
  <c r="F33" i="19" s="1"/>
  <c r="E33" i="19" s="1"/>
  <c r="F5" i="9"/>
  <c r="E5" i="9" s="1"/>
  <c r="F4" i="9"/>
  <c r="E4" i="9" s="1"/>
  <c r="F3" i="9"/>
  <c r="E3" i="9" s="1"/>
  <c r="F2" i="9"/>
  <c r="E2" i="9" s="1"/>
  <c r="F32" i="8"/>
  <c r="E32" i="8" s="1"/>
  <c r="F31" i="8"/>
  <c r="E31" i="8" s="1"/>
  <c r="F29" i="8"/>
  <c r="E29" i="8" s="1"/>
  <c r="F2165" i="1" s="1"/>
  <c r="F28" i="8"/>
  <c r="E28" i="8" s="1"/>
  <c r="F27" i="8"/>
  <c r="E27" i="8" s="1"/>
  <c r="F26" i="8"/>
  <c r="E26" i="8" s="1"/>
  <c r="F25" i="8"/>
  <c r="E25" i="8" s="1"/>
  <c r="F24" i="8"/>
  <c r="E24" i="8" s="1"/>
  <c r="F18" i="8"/>
  <c r="E18" i="8" s="1"/>
  <c r="F23" i="8"/>
  <c r="E23" i="8" s="1"/>
  <c r="F19" i="8"/>
  <c r="E19" i="8" s="1"/>
  <c r="E15" i="8"/>
  <c r="F17" i="8"/>
  <c r="E17" i="8" s="1"/>
  <c r="F16" i="8"/>
  <c r="E16" i="8" s="1"/>
  <c r="F2" i="8"/>
  <c r="E2" i="8" s="1"/>
  <c r="F14" i="8"/>
  <c r="E14" i="8" s="1"/>
  <c r="F13" i="8"/>
  <c r="E13" i="8" s="1"/>
  <c r="F10" i="8"/>
  <c r="E10" i="8" s="1"/>
  <c r="F9" i="8"/>
  <c r="E9" i="8" s="1"/>
  <c r="F8" i="8"/>
  <c r="E8" i="8" s="1"/>
  <c r="F7" i="8"/>
  <c r="E7" i="8" s="1"/>
  <c r="F6" i="8"/>
  <c r="E6" i="8" s="1"/>
  <c r="F5" i="8"/>
  <c r="E5" i="8" s="1"/>
  <c r="F4" i="8"/>
  <c r="E4" i="8" s="1"/>
  <c r="F3" i="8"/>
  <c r="E3" i="8" s="1"/>
  <c r="F4" i="26" s="1"/>
  <c r="E4" i="26" s="1"/>
  <c r="F6" i="7"/>
  <c r="E6" i="7" s="1"/>
  <c r="F5" i="7"/>
  <c r="E5" i="7" s="1"/>
  <c r="F2" i="7"/>
  <c r="E2" i="7" s="1"/>
  <c r="F4" i="7"/>
  <c r="E4" i="7" s="1"/>
  <c r="F3" i="7"/>
  <c r="E3" i="7" s="1"/>
  <c r="F3681" i="1"/>
  <c r="E3681" i="1" s="1"/>
  <c r="F3685" i="1"/>
  <c r="E3685" i="1" s="1"/>
  <c r="F1681" i="1"/>
  <c r="F2429" i="1" l="1"/>
  <c r="E2429" i="1" s="1"/>
  <c r="F3952" i="1"/>
  <c r="E3952" i="1" s="1"/>
  <c r="T177" i="6"/>
  <c r="F4104" i="1" s="1"/>
  <c r="E4104" i="1" s="1"/>
  <c r="T113" i="6"/>
  <c r="F2106" i="1" s="1"/>
  <c r="E2106" i="1" s="1"/>
  <c r="T61" i="6"/>
  <c r="F955" i="1" s="1"/>
  <c r="E955" i="1" s="1"/>
  <c r="H146" i="6"/>
  <c r="H177" i="6"/>
  <c r="H174" i="6"/>
  <c r="F4056" i="1" s="1"/>
  <c r="E4056" i="1" s="1"/>
  <c r="T24" i="6"/>
  <c r="F29" i="1" s="1"/>
  <c r="E29" i="1" s="1"/>
  <c r="T60" i="6"/>
  <c r="F954" i="1" s="1"/>
  <c r="E954" i="1" s="1"/>
  <c r="H145" i="6"/>
  <c r="T45" i="6"/>
  <c r="F564" i="1" s="1"/>
  <c r="E564" i="1" s="1"/>
  <c r="H141" i="6"/>
  <c r="H42" i="6"/>
  <c r="H75" i="6"/>
  <c r="F1229" i="1" s="1"/>
  <c r="E1229" i="1" s="1"/>
  <c r="H161" i="6"/>
  <c r="H124" i="6"/>
  <c r="H191" i="6"/>
  <c r="F4653" i="1" s="1"/>
  <c r="H98" i="6"/>
  <c r="F1626" i="1" s="1"/>
  <c r="E1626" i="1" s="1"/>
  <c r="H108" i="6"/>
  <c r="F1945" i="1"/>
  <c r="E1945" i="1" s="1"/>
  <c r="T118" i="6"/>
  <c r="F2254" i="1" s="1"/>
  <c r="E2254" i="1" s="1"/>
  <c r="F2239" i="1"/>
  <c r="E2239" i="1" s="1"/>
  <c r="F2297" i="1"/>
  <c r="E2297" i="1" s="1"/>
  <c r="F2296" i="1"/>
  <c r="F3065" i="1"/>
  <c r="E3065" i="1" s="1"/>
  <c r="F3061" i="1"/>
  <c r="E1876" i="1"/>
  <c r="E1869" i="1"/>
  <c r="F17" i="32"/>
  <c r="E17" i="32" s="1"/>
  <c r="F4274" i="1"/>
  <c r="E4274" i="1" s="1"/>
  <c r="F4264" i="1"/>
  <c r="E4264" i="1" s="1"/>
  <c r="F16" i="29"/>
  <c r="E16" i="29" s="1"/>
  <c r="F23" i="29"/>
  <c r="E23" i="29" s="1"/>
  <c r="F4295" i="1"/>
  <c r="E4295" i="1" s="1"/>
  <c r="F1493" i="1"/>
  <c r="F1473" i="1"/>
  <c r="F1494" i="1"/>
  <c r="E1494" i="1" s="1"/>
  <c r="F4294" i="1"/>
  <c r="F4297" i="1"/>
  <c r="F1474" i="1"/>
  <c r="E1474" i="1" s="1"/>
  <c r="F4315" i="1"/>
  <c r="E4315" i="1" s="1"/>
  <c r="F4314" i="1"/>
  <c r="F1477" i="1"/>
  <c r="E1477" i="1" s="1"/>
  <c r="F4298" i="1"/>
  <c r="E4298" i="1" s="1"/>
  <c r="F1476" i="1"/>
  <c r="E1875" i="1"/>
  <c r="E1874" i="1"/>
  <c r="E1871" i="1"/>
  <c r="E1870" i="1"/>
  <c r="E1873" i="1"/>
  <c r="E1877" i="1"/>
  <c r="E1872" i="1"/>
  <c r="F232" i="1"/>
  <c r="F240" i="1"/>
  <c r="E240" i="1" s="1"/>
  <c r="F239" i="1"/>
  <c r="F241" i="1"/>
  <c r="E241" i="1" s="1"/>
  <c r="F221" i="1"/>
  <c r="F1488" i="1"/>
  <c r="E1488" i="1" s="1"/>
  <c r="F1489" i="1"/>
  <c r="F1462" i="1"/>
  <c r="E1462" i="1" s="1"/>
  <c r="F1483" i="1"/>
  <c r="F2557" i="1"/>
  <c r="E2557" i="1" s="1"/>
  <c r="F2558" i="1"/>
  <c r="E4478" i="1"/>
  <c r="H15" i="6"/>
  <c r="F1292" i="1" s="1"/>
  <c r="F1290" i="1"/>
  <c r="E1290" i="1" s="1"/>
  <c r="F1291" i="1"/>
  <c r="E1291" i="1" s="1"/>
  <c r="F163" i="20"/>
  <c r="E163" i="20" s="1"/>
  <c r="F1297" i="1"/>
  <c r="E1297" i="1" s="1"/>
  <c r="F162" i="20"/>
  <c r="E162" i="20" s="1"/>
  <c r="F1299" i="1"/>
  <c r="E1299" i="1" s="1"/>
  <c r="F1288" i="1"/>
  <c r="F1298" i="1"/>
  <c r="E1298" i="1" s="1"/>
  <c r="F1295" i="1"/>
  <c r="E1295" i="1" s="1"/>
  <c r="F1294" i="1"/>
  <c r="E1294" i="1" s="1"/>
  <c r="F1289" i="1"/>
  <c r="E1289" i="1" s="1"/>
  <c r="F53" i="20"/>
  <c r="E53" i="20" s="1"/>
  <c r="F18" i="29"/>
  <c r="E18" i="29" s="1"/>
  <c r="F47" i="20"/>
  <c r="E47" i="20" s="1"/>
  <c r="F6" i="32"/>
  <c r="E6" i="32" s="1"/>
  <c r="F21" i="20"/>
  <c r="E21" i="20" s="1"/>
  <c r="F88" i="20"/>
  <c r="E88" i="20" s="1"/>
  <c r="F46" i="20"/>
  <c r="E46" i="20" s="1"/>
  <c r="F159" i="20"/>
  <c r="E159" i="20" s="1"/>
  <c r="F1293" i="1"/>
  <c r="H31" i="6"/>
  <c r="F1687" i="1"/>
  <c r="E1687" i="1" s="1"/>
  <c r="F1689" i="1"/>
  <c r="H125" i="6"/>
  <c r="F2445" i="1" s="1"/>
  <c r="E2445" i="1" s="1"/>
  <c r="T133" i="6"/>
  <c r="F2640" i="1" s="1"/>
  <c r="E2640" i="1" s="1"/>
  <c r="F2637" i="1"/>
  <c r="E2637" i="1" s="1"/>
  <c r="E4585" i="1"/>
  <c r="F4364" i="1"/>
  <c r="E4364" i="1" s="1"/>
  <c r="F23" i="19"/>
  <c r="E24" i="19" s="1"/>
  <c r="F19" i="29"/>
  <c r="E19" i="29" s="1"/>
  <c r="F8" i="29"/>
  <c r="E8" i="29" s="1"/>
  <c r="F66" i="28"/>
  <c r="E66" i="28" s="1"/>
  <c r="F28" i="19"/>
  <c r="E28" i="19" s="1"/>
  <c r="F9" i="29"/>
  <c r="E9" i="29" s="1"/>
  <c r="E56" i="19"/>
  <c r="F7" i="29"/>
  <c r="E7" i="29" s="1"/>
  <c r="F65" i="26"/>
  <c r="E65" i="26" s="1"/>
  <c r="F14" i="19"/>
  <c r="E14" i="19" s="1"/>
  <c r="F46" i="31"/>
  <c r="E46" i="31" s="1"/>
  <c r="F14" i="29"/>
  <c r="E14" i="29" s="1"/>
  <c r="F6" i="29"/>
  <c r="E6" i="29" s="1"/>
  <c r="F16" i="19"/>
  <c r="E16" i="19" s="1"/>
  <c r="F17" i="31"/>
  <c r="E17" i="31" s="1"/>
  <c r="F5" i="29"/>
  <c r="E5" i="29" s="1"/>
  <c r="E69" i="19"/>
  <c r="F21" i="19"/>
  <c r="F12" i="29"/>
  <c r="E12" i="29" s="1"/>
  <c r="F4" i="29"/>
  <c r="E4" i="29" s="1"/>
  <c r="F10" i="24"/>
  <c r="E10" i="24" s="1"/>
  <c r="F20" i="19"/>
  <c r="E20" i="19" s="1"/>
  <c r="F21" i="29"/>
  <c r="E21" i="29" s="1"/>
  <c r="F29" i="19"/>
  <c r="E29" i="19" s="1"/>
  <c r="F20" i="29"/>
  <c r="E20" i="29" s="1"/>
  <c r="F11" i="29"/>
  <c r="E11" i="29" s="1"/>
  <c r="F3" i="29"/>
  <c r="E3" i="29" s="1"/>
  <c r="F36" i="27"/>
  <c r="E36" i="27" s="1"/>
  <c r="F8" i="24"/>
  <c r="E8" i="24" s="1"/>
  <c r="F35" i="21"/>
  <c r="E35" i="21" s="1"/>
  <c r="F53" i="19"/>
  <c r="E53" i="19" s="1"/>
  <c r="F19" i="19"/>
  <c r="E19" i="19" s="1"/>
  <c r="F5" i="19"/>
  <c r="E5" i="19" s="1"/>
  <c r="F24" i="19"/>
  <c r="F70" i="19"/>
  <c r="E70" i="19" s="1"/>
  <c r="F22" i="19"/>
  <c r="E23" i="19" s="1"/>
  <c r="F2" i="29"/>
  <c r="E2" i="29" s="1"/>
  <c r="F17" i="19"/>
  <c r="E17" i="19" s="1"/>
  <c r="F4" i="19"/>
  <c r="E4" i="19" s="1"/>
  <c r="E46" i="19"/>
  <c r="E49" i="19"/>
  <c r="E43" i="19"/>
  <c r="E79" i="19"/>
  <c r="E59" i="19"/>
  <c r="E74" i="19"/>
  <c r="E6" i="19"/>
  <c r="E45" i="19"/>
  <c r="E47" i="19"/>
  <c r="E50" i="19"/>
  <c r="E57" i="19"/>
  <c r="E44" i="19"/>
  <c r="E48" i="19"/>
  <c r="E80" i="19"/>
  <c r="E78" i="19"/>
  <c r="E51" i="19"/>
  <c r="E72" i="19"/>
  <c r="F667" i="1"/>
  <c r="E667" i="1" s="1"/>
  <c r="E4581" i="1"/>
  <c r="F665" i="1"/>
  <c r="E665" i="1" s="1"/>
  <c r="F664" i="1"/>
  <c r="F4355" i="1"/>
  <c r="E4355" i="1" s="1"/>
  <c r="F1921" i="1"/>
  <c r="E1921" i="1" s="1"/>
  <c r="F1917" i="1"/>
  <c r="F1923" i="1"/>
  <c r="F1925" i="1"/>
  <c r="E1925" i="1" s="1"/>
  <c r="F1922" i="1"/>
  <c r="E1922" i="1" s="1"/>
  <c r="F1905" i="1"/>
  <c r="E1905" i="1" s="1"/>
  <c r="P183" i="6"/>
  <c r="F4241" i="1"/>
  <c r="E4241" i="1" s="1"/>
  <c r="F4201" i="1"/>
  <c r="E4201" i="1" s="1"/>
  <c r="F4243" i="1"/>
  <c r="E4243" i="1" s="1"/>
  <c r="E41" i="31"/>
  <c r="E23" i="31"/>
  <c r="E24" i="31"/>
  <c r="E39" i="31"/>
  <c r="E25" i="31"/>
  <c r="E40" i="31"/>
  <c r="F651" i="1"/>
  <c r="E651" i="1" s="1"/>
  <c r="F105" i="1"/>
  <c r="E105" i="1" s="1"/>
  <c r="F104" i="1"/>
  <c r="H27" i="6"/>
  <c r="F125" i="1"/>
  <c r="E125" i="1" s="1"/>
  <c r="H144" i="6"/>
  <c r="F2960" i="1"/>
  <c r="F2961" i="1"/>
  <c r="E2961" i="1" s="1"/>
  <c r="H183" i="6"/>
  <c r="H190" i="6"/>
  <c r="F381" i="1"/>
  <c r="E381" i="1" s="1"/>
  <c r="F373" i="1"/>
  <c r="F3148" i="1"/>
  <c r="E3148" i="1" s="1"/>
  <c r="F3143" i="1"/>
  <c r="F258" i="1"/>
  <c r="E258" i="1" s="1"/>
  <c r="F254" i="1"/>
  <c r="H149" i="6"/>
  <c r="T167" i="6"/>
  <c r="F3718" i="1"/>
  <c r="F3720" i="1"/>
  <c r="E3720" i="1" s="1"/>
  <c r="F3722" i="1"/>
  <c r="E3722" i="1" s="1"/>
  <c r="F3723" i="1"/>
  <c r="F1581" i="1"/>
  <c r="E1581" i="1" s="1"/>
  <c r="F1587" i="1"/>
  <c r="P47" i="6"/>
  <c r="F693" i="1" s="1"/>
  <c r="E693" i="1" s="1"/>
  <c r="F1031" i="1"/>
  <c r="E1031" i="1" s="1"/>
  <c r="F1029" i="1"/>
  <c r="E1029" i="1" s="1"/>
  <c r="F2084" i="1"/>
  <c r="E2084" i="1" s="1"/>
  <c r="F2082" i="1"/>
  <c r="F3025" i="1"/>
  <c r="F3027" i="1"/>
  <c r="E3027" i="1" s="1"/>
  <c r="H168" i="6"/>
  <c r="F3807" i="1"/>
  <c r="E3807" i="1" s="1"/>
  <c r="F3809" i="1"/>
  <c r="T170" i="6"/>
  <c r="F3844" i="1" s="1"/>
  <c r="E3844" i="1" s="1"/>
  <c r="P187" i="6"/>
  <c r="E41" i="19"/>
  <c r="E42" i="19"/>
  <c r="E40" i="19"/>
  <c r="F1306" i="1"/>
  <c r="E1306" i="1" s="1"/>
  <c r="F35" i="27"/>
  <c r="E35" i="27" s="1"/>
  <c r="F8" i="28"/>
  <c r="E8" i="28" s="1"/>
  <c r="F29" i="21"/>
  <c r="E29" i="21" s="1"/>
  <c r="F28" i="21"/>
  <c r="E28" i="21" s="1"/>
  <c r="F6" i="24"/>
  <c r="E6" i="24" s="1"/>
  <c r="F71" i="19"/>
  <c r="E71" i="19" s="1"/>
  <c r="F1307" i="1"/>
  <c r="E1307" i="1" s="1"/>
  <c r="F1305" i="1"/>
  <c r="E1305" i="1" s="1"/>
  <c r="F1308" i="1"/>
  <c r="F4246" i="1"/>
  <c r="E4246" i="1" s="1"/>
  <c r="E1887" i="1"/>
  <c r="E1880" i="1"/>
  <c r="E1889" i="1"/>
  <c r="F1416" i="1"/>
  <c r="E1416" i="1" s="1"/>
  <c r="F1415" i="1"/>
  <c r="E1415" i="1" s="1"/>
  <c r="F1411" i="1"/>
  <c r="F1703" i="1"/>
  <c r="E1703" i="1" s="1"/>
  <c r="F1700" i="1"/>
  <c r="F3091" i="1"/>
  <c r="E3091" i="1" s="1"/>
  <c r="F3089" i="1"/>
  <c r="E3089" i="1" s="1"/>
  <c r="T157" i="6"/>
  <c r="F3231" i="1" s="1"/>
  <c r="E3231" i="1" s="1"/>
  <c r="F3229" i="1"/>
  <c r="E3229" i="1" s="1"/>
  <c r="H164" i="6"/>
  <c r="F3595" i="1"/>
  <c r="E3595" i="1" s="1"/>
  <c r="F3593" i="1"/>
  <c r="L4" i="6"/>
  <c r="F69" i="28"/>
  <c r="E69" i="28" s="1"/>
  <c r="F61" i="28"/>
  <c r="E61" i="28" s="1"/>
  <c r="F5" i="28"/>
  <c r="E5" i="28" s="1"/>
  <c r="F68" i="26"/>
  <c r="E68" i="26" s="1"/>
  <c r="F43" i="26"/>
  <c r="E43" i="26" s="1"/>
  <c r="F30" i="26"/>
  <c r="E30" i="26" s="1"/>
  <c r="F22" i="24"/>
  <c r="E22" i="24" s="1"/>
  <c r="F26" i="21"/>
  <c r="E26" i="21" s="1"/>
  <c r="F7" i="28"/>
  <c r="E7" i="28" s="1"/>
  <c r="F47" i="26"/>
  <c r="E47" i="26" s="1"/>
  <c r="F50" i="27"/>
  <c r="E50" i="27" s="1"/>
  <c r="F24" i="26"/>
  <c r="E24" i="26" s="1"/>
  <c r="F23" i="24"/>
  <c r="E23" i="24" s="1"/>
  <c r="F68" i="28"/>
  <c r="E68" i="28" s="1"/>
  <c r="F60" i="28"/>
  <c r="E60" i="28" s="1"/>
  <c r="F37" i="27"/>
  <c r="E37" i="27" s="1"/>
  <c r="F52" i="26"/>
  <c r="E52" i="26" s="1"/>
  <c r="F42" i="26"/>
  <c r="E42" i="26" s="1"/>
  <c r="F72" i="26"/>
  <c r="E72" i="26" s="1"/>
  <c r="F36" i="26"/>
  <c r="E36" i="26" s="1"/>
  <c r="F23" i="26"/>
  <c r="E23" i="26" s="1"/>
  <c r="F14" i="26"/>
  <c r="E14" i="26" s="1"/>
  <c r="F21" i="24"/>
  <c r="E21" i="24" s="1"/>
  <c r="F5" i="24"/>
  <c r="E5" i="24" s="1"/>
  <c r="F21" i="21"/>
  <c r="E21" i="21" s="1"/>
  <c r="F61" i="26"/>
  <c r="E61" i="26" s="1"/>
  <c r="F27" i="21"/>
  <c r="E27" i="21" s="1"/>
  <c r="F43" i="28"/>
  <c r="E43" i="28" s="1"/>
  <c r="F41" i="26"/>
  <c r="E41" i="26" s="1"/>
  <c r="F35" i="26"/>
  <c r="E35" i="26" s="1"/>
  <c r="F29" i="26"/>
  <c r="E29" i="26" s="1"/>
  <c r="F20" i="24"/>
  <c r="E20" i="24" s="1"/>
  <c r="F12" i="24"/>
  <c r="F20" i="21"/>
  <c r="E20" i="21" s="1"/>
  <c r="F69" i="26"/>
  <c r="E69" i="26" s="1"/>
  <c r="F22" i="26"/>
  <c r="E22" i="26" s="1"/>
  <c r="F30" i="27"/>
  <c r="E30" i="27" s="1"/>
  <c r="F40" i="26"/>
  <c r="E40" i="26" s="1"/>
  <c r="F64" i="26"/>
  <c r="E64" i="26" s="1"/>
  <c r="F34" i="26"/>
  <c r="E34" i="26" s="1"/>
  <c r="F28" i="26"/>
  <c r="E28" i="26" s="1"/>
  <c r="F11" i="24"/>
  <c r="F3" i="24"/>
  <c r="E3" i="24" s="1"/>
  <c r="F44" i="26"/>
  <c r="E44" i="26" s="1"/>
  <c r="F31" i="26"/>
  <c r="E31" i="26" s="1"/>
  <c r="F6" i="28"/>
  <c r="E6" i="28" s="1"/>
  <c r="F45" i="26"/>
  <c r="E45" i="26" s="1"/>
  <c r="F74" i="28"/>
  <c r="E74" i="28" s="1"/>
  <c r="F65" i="28"/>
  <c r="E65" i="28" s="1"/>
  <c r="F41" i="28"/>
  <c r="E41" i="28" s="1"/>
  <c r="F33" i="28"/>
  <c r="E33" i="28" s="1"/>
  <c r="F9" i="28"/>
  <c r="E9" i="28" s="1"/>
  <c r="F34" i="27"/>
  <c r="E34" i="27" s="1"/>
  <c r="F49" i="26"/>
  <c r="E49" i="26" s="1"/>
  <c r="F39" i="26"/>
  <c r="E39" i="26" s="1"/>
  <c r="F62" i="26"/>
  <c r="E62" i="26" s="1"/>
  <c r="F33" i="26"/>
  <c r="E33" i="26" s="1"/>
  <c r="F27" i="26"/>
  <c r="E27" i="26" s="1"/>
  <c r="F18" i="24"/>
  <c r="E18" i="24" s="1"/>
  <c r="F31" i="28"/>
  <c r="E31" i="28" s="1"/>
  <c r="F62" i="28"/>
  <c r="E62" i="28" s="1"/>
  <c r="F72" i="28"/>
  <c r="E72" i="28" s="1"/>
  <c r="F40" i="28"/>
  <c r="E40" i="28" s="1"/>
  <c r="F32" i="28"/>
  <c r="E32" i="28" s="1"/>
  <c r="F29" i="27"/>
  <c r="E29" i="27" s="1"/>
  <c r="F46" i="26"/>
  <c r="E46" i="26" s="1"/>
  <c r="F58" i="26"/>
  <c r="E58" i="26" s="1"/>
  <c r="F32" i="26"/>
  <c r="E32" i="26" s="1"/>
  <c r="F26" i="26"/>
  <c r="E26" i="26" s="1"/>
  <c r="F63" i="26"/>
  <c r="E63" i="26" s="1"/>
  <c r="F9" i="24"/>
  <c r="E9" i="24" s="1"/>
  <c r="F31" i="21"/>
  <c r="E31" i="21" s="1"/>
  <c r="F185" i="20"/>
  <c r="E185" i="20" s="1"/>
  <c r="F25" i="26"/>
  <c r="E25" i="26" s="1"/>
  <c r="F16" i="24"/>
  <c r="E16" i="24" s="1"/>
  <c r="F169" i="20"/>
  <c r="E169" i="20" s="1"/>
  <c r="F30" i="28"/>
  <c r="E30" i="28" s="1"/>
  <c r="F7" i="24"/>
  <c r="E7" i="24" s="1"/>
  <c r="E4578" i="1"/>
  <c r="F54" i="26"/>
  <c r="E54" i="26" s="1"/>
  <c r="F56" i="26"/>
  <c r="E56" i="26" s="1"/>
  <c r="F55" i="26"/>
  <c r="E55" i="26" s="1"/>
  <c r="F53" i="26"/>
  <c r="E53" i="26" s="1"/>
  <c r="F116" i="20"/>
  <c r="E116" i="20" s="1"/>
  <c r="F9" i="32"/>
  <c r="E9" i="32" s="1"/>
  <c r="F126" i="12"/>
  <c r="E126" i="12" s="1"/>
  <c r="F52" i="31"/>
  <c r="E52" i="31" s="1"/>
  <c r="F123" i="12"/>
  <c r="E123" i="12" s="1"/>
  <c r="F52" i="20"/>
  <c r="E52" i="20" s="1"/>
  <c r="F20" i="20"/>
  <c r="E20" i="20" s="1"/>
  <c r="F15" i="32"/>
  <c r="E15" i="32" s="1"/>
  <c r="F87" i="20"/>
  <c r="E87" i="20" s="1"/>
  <c r="F5" i="32"/>
  <c r="E5" i="32" s="1"/>
  <c r="F132" i="12"/>
  <c r="E132" i="12" s="1"/>
  <c r="F45" i="20"/>
  <c r="E45" i="20" s="1"/>
  <c r="E67" i="20"/>
  <c r="E76" i="20"/>
  <c r="E139" i="20"/>
  <c r="E103" i="20"/>
  <c r="E64" i="20"/>
  <c r="E19" i="28"/>
  <c r="E54" i="28"/>
  <c r="E55" i="20"/>
  <c r="E125" i="18"/>
  <c r="E6" i="20"/>
  <c r="E16" i="28"/>
  <c r="E91" i="20"/>
  <c r="E51" i="28"/>
  <c r="E13" i="28"/>
  <c r="E22" i="28"/>
  <c r="E152" i="20"/>
  <c r="E123" i="20"/>
  <c r="E145" i="20"/>
  <c r="E117" i="18"/>
  <c r="E33" i="20"/>
  <c r="E109" i="20"/>
  <c r="E27" i="20"/>
  <c r="E57" i="28"/>
  <c r="E131" i="20"/>
  <c r="E97" i="20"/>
  <c r="F94" i="27"/>
  <c r="E94" i="27" s="1"/>
  <c r="F96" i="27"/>
  <c r="E96" i="27" s="1"/>
  <c r="F14" i="20"/>
  <c r="E14" i="20" s="1"/>
  <c r="F31" i="27"/>
  <c r="E31" i="27" s="1"/>
  <c r="F21" i="26"/>
  <c r="E21" i="26" s="1"/>
  <c r="F6" i="26"/>
  <c r="E6" i="26" s="1"/>
  <c r="F7" i="26"/>
  <c r="E7" i="26" s="1"/>
  <c r="F4" i="24"/>
  <c r="E4" i="24" s="1"/>
  <c r="F19" i="21"/>
  <c r="E19" i="21" s="1"/>
  <c r="F48" i="26"/>
  <c r="E48" i="26" s="1"/>
  <c r="F5" i="26"/>
  <c r="E5" i="26" s="1"/>
  <c r="F17" i="21"/>
  <c r="E17" i="21" s="1"/>
  <c r="F124" i="27"/>
  <c r="E124" i="27" s="1"/>
  <c r="F145" i="27"/>
  <c r="E145" i="27" s="1"/>
  <c r="F8" i="21"/>
  <c r="E8" i="21" s="1"/>
  <c r="F19" i="20"/>
  <c r="E19" i="20" s="1"/>
  <c r="F44" i="20"/>
  <c r="E44" i="20" s="1"/>
  <c r="F42" i="27"/>
  <c r="E42" i="27" s="1"/>
  <c r="F127" i="12"/>
  <c r="E127" i="12" s="1"/>
  <c r="F117" i="20"/>
  <c r="E117" i="20" s="1"/>
  <c r="F6" i="27"/>
  <c r="E6" i="27" s="1"/>
  <c r="F14" i="21"/>
  <c r="E14" i="21" s="1"/>
  <c r="F6" i="21"/>
  <c r="E6" i="21" s="1"/>
  <c r="F8" i="32"/>
  <c r="E8" i="32" s="1"/>
  <c r="F146" i="27"/>
  <c r="E146" i="27" s="1"/>
  <c r="F141" i="27"/>
  <c r="E141" i="27" s="1"/>
  <c r="F122" i="12"/>
  <c r="E122" i="12" s="1"/>
  <c r="F4" i="32"/>
  <c r="E4" i="32" s="1"/>
  <c r="F12" i="21"/>
  <c r="E12" i="21" s="1"/>
  <c r="F133" i="12"/>
  <c r="E133" i="12" s="1"/>
  <c r="F51" i="20"/>
  <c r="E51" i="20" s="1"/>
  <c r="F129" i="20"/>
  <c r="E129" i="20" s="1"/>
  <c r="F86" i="20"/>
  <c r="E86" i="20" s="1"/>
  <c r="F13" i="32"/>
  <c r="E13" i="32" s="1"/>
  <c r="F52" i="27"/>
  <c r="E52" i="27" s="1"/>
  <c r="F128" i="20"/>
  <c r="E128" i="20" s="1"/>
  <c r="F10" i="21"/>
  <c r="E10" i="21" s="1"/>
  <c r="E140" i="20"/>
  <c r="E81" i="20"/>
  <c r="E38" i="20"/>
  <c r="E118" i="18"/>
  <c r="E26" i="20"/>
  <c r="E75" i="20"/>
  <c r="E110" i="20"/>
  <c r="E39" i="20"/>
  <c r="E53" i="28"/>
  <c r="E32" i="20"/>
  <c r="E79" i="20"/>
  <c r="E80" i="20"/>
  <c r="E18" i="28"/>
  <c r="E56" i="20"/>
  <c r="E126" i="18"/>
  <c r="E5" i="20"/>
  <c r="E56" i="28"/>
  <c r="E68" i="20"/>
  <c r="E146" i="20"/>
  <c r="E50" i="28"/>
  <c r="E132" i="20"/>
  <c r="E21" i="28"/>
  <c r="E153" i="20"/>
  <c r="E63" i="20"/>
  <c r="E92" i="20"/>
  <c r="E12" i="28"/>
  <c r="E104" i="20"/>
  <c r="E124" i="20"/>
  <c r="E15" i="28"/>
  <c r="F13" i="20"/>
  <c r="E13" i="20" s="1"/>
  <c r="E98" i="20"/>
  <c r="F2" i="26"/>
  <c r="E2" i="26" s="1"/>
  <c r="F66" i="26"/>
  <c r="E66" i="26" s="1"/>
  <c r="F36" i="28"/>
  <c r="E36" i="28" s="1"/>
  <c r="F59" i="28"/>
  <c r="E59" i="28" s="1"/>
  <c r="F35" i="28"/>
  <c r="E35" i="28" s="1"/>
  <c r="F11" i="28"/>
  <c r="E11" i="28" s="1"/>
  <c r="F12" i="26"/>
  <c r="E12" i="26" s="1"/>
  <c r="F15" i="26"/>
  <c r="E15" i="26" s="1"/>
  <c r="F34" i="28"/>
  <c r="E34" i="28" s="1"/>
  <c r="F10" i="28"/>
  <c r="E10" i="28" s="1"/>
  <c r="F51" i="26"/>
  <c r="E51" i="26" s="1"/>
  <c r="F13" i="26"/>
  <c r="E13" i="26" s="1"/>
  <c r="F53" i="27"/>
  <c r="E53" i="27" s="1"/>
  <c r="F20" i="26"/>
  <c r="E20" i="26" s="1"/>
  <c r="F70" i="26"/>
  <c r="E70" i="26" s="1"/>
  <c r="F92" i="27"/>
  <c r="E92" i="27" s="1"/>
  <c r="F7" i="31"/>
  <c r="E7" i="31" s="1"/>
  <c r="F37" i="28"/>
  <c r="E37" i="28" s="1"/>
  <c r="F59" i="25"/>
  <c r="E59" i="25" s="1"/>
  <c r="F38" i="28"/>
  <c r="E38" i="28" s="1"/>
  <c r="F39" i="28"/>
  <c r="E39" i="28" s="1"/>
  <c r="F121" i="20"/>
  <c r="E121" i="20" s="1"/>
  <c r="F8" i="30"/>
  <c r="E8" i="30" s="1"/>
  <c r="F66" i="19"/>
  <c r="E66" i="19" s="1"/>
  <c r="F17" i="24"/>
  <c r="E17" i="24" s="1"/>
  <c r="E85" i="18"/>
  <c r="E76" i="19"/>
  <c r="E79" i="18"/>
  <c r="E73" i="18"/>
  <c r="F128" i="12"/>
  <c r="E128" i="12" s="1"/>
  <c r="F114" i="12"/>
  <c r="E114" i="12" s="1"/>
  <c r="F29" i="32"/>
  <c r="E29" i="32" s="1"/>
  <c r="F107" i="12"/>
  <c r="E107" i="12" s="1"/>
  <c r="F49" i="20"/>
  <c r="E49" i="20" s="1"/>
  <c r="F28" i="32"/>
  <c r="E28" i="32" s="1"/>
  <c r="F134" i="12"/>
  <c r="E134" i="12" s="1"/>
  <c r="F108" i="12"/>
  <c r="E108" i="12" s="1"/>
  <c r="F17" i="20"/>
  <c r="E17" i="20" s="1"/>
  <c r="F129" i="12"/>
  <c r="E129" i="12" s="1"/>
  <c r="F135" i="12"/>
  <c r="E135" i="12" s="1"/>
  <c r="F84" i="20"/>
  <c r="E84" i="20" s="1"/>
  <c r="F50" i="20"/>
  <c r="E50" i="20" s="1"/>
  <c r="F120" i="12"/>
  <c r="E120" i="12" s="1"/>
  <c r="F119" i="20"/>
  <c r="E119" i="20" s="1"/>
  <c r="F85" i="20"/>
  <c r="E85" i="20" s="1"/>
  <c r="F18" i="20"/>
  <c r="E18" i="20" s="1"/>
  <c r="F43" i="20"/>
  <c r="E43" i="20" s="1"/>
  <c r="F113" i="12"/>
  <c r="E113" i="12" s="1"/>
  <c r="F121" i="12"/>
  <c r="E121" i="12" s="1"/>
  <c r="F118" i="20"/>
  <c r="E118" i="20" s="1"/>
  <c r="F42" i="20"/>
  <c r="E42" i="20" s="1"/>
  <c r="E30" i="20"/>
  <c r="E127" i="18"/>
  <c r="E105" i="20"/>
  <c r="E74" i="20"/>
  <c r="E61" i="20"/>
  <c r="E112" i="20"/>
  <c r="E155" i="20"/>
  <c r="E24" i="20"/>
  <c r="E142" i="20"/>
  <c r="E70" i="20"/>
  <c r="E3" i="20"/>
  <c r="E148" i="20"/>
  <c r="E106" i="20"/>
  <c r="E94" i="20"/>
  <c r="E120" i="18"/>
  <c r="E93" i="20"/>
  <c r="E133" i="20"/>
  <c r="E57" i="20"/>
  <c r="E73" i="20"/>
  <c r="E125" i="20"/>
  <c r="E111" i="20"/>
  <c r="E141" i="20"/>
  <c r="E36" i="20"/>
  <c r="E154" i="20"/>
  <c r="E31" i="20"/>
  <c r="E4" i="20"/>
  <c r="E126" i="20"/>
  <c r="E134" i="20"/>
  <c r="E62" i="20"/>
  <c r="E58" i="20"/>
  <c r="E69" i="20"/>
  <c r="E119" i="18"/>
  <c r="E25" i="20"/>
  <c r="E37" i="20"/>
  <c r="E147" i="20"/>
  <c r="E128" i="18"/>
  <c r="E100" i="20"/>
  <c r="F12" i="20"/>
  <c r="E12" i="20" s="1"/>
  <c r="E99" i="20"/>
  <c r="F11" i="20"/>
  <c r="E11" i="20" s="1"/>
  <c r="F153" i="27"/>
  <c r="E153" i="27" s="1"/>
  <c r="F29" i="28"/>
  <c r="E29" i="28" s="1"/>
  <c r="F67" i="27"/>
  <c r="E67" i="27" s="1"/>
  <c r="F159" i="27"/>
  <c r="E159" i="27" s="1"/>
  <c r="F103" i="27"/>
  <c r="E103" i="27" s="1"/>
  <c r="F154" i="27"/>
  <c r="E154" i="27" s="1"/>
  <c r="F116" i="27"/>
  <c r="E116" i="27" s="1"/>
  <c r="F28" i="28"/>
  <c r="E28" i="28" s="1"/>
  <c r="F66" i="27"/>
  <c r="E66" i="27" s="1"/>
  <c r="F163" i="27"/>
  <c r="E163" i="27" s="1"/>
  <c r="F111" i="27"/>
  <c r="E111" i="27" s="1"/>
  <c r="F47" i="28"/>
  <c r="E47" i="28" s="1"/>
  <c r="F90" i="27"/>
  <c r="E90" i="27" s="1"/>
  <c r="F27" i="28"/>
  <c r="E27" i="28" s="1"/>
  <c r="F151" i="27"/>
  <c r="E151" i="27" s="1"/>
  <c r="F19" i="27"/>
  <c r="E19" i="27" s="1"/>
  <c r="F114" i="27"/>
  <c r="E114" i="27" s="1"/>
  <c r="F54" i="27"/>
  <c r="E54" i="27" s="1"/>
  <c r="F49" i="27"/>
  <c r="E49" i="27" s="1"/>
  <c r="F113" i="27"/>
  <c r="E113" i="27" s="1"/>
  <c r="F49" i="28"/>
  <c r="E49" i="28" s="1"/>
  <c r="F48" i="27"/>
  <c r="E48" i="27" s="1"/>
  <c r="F18" i="27"/>
  <c r="E18" i="27" s="1"/>
  <c r="F6" i="25"/>
  <c r="E6" i="25" s="1"/>
  <c r="F137" i="27"/>
  <c r="E137" i="27" s="1"/>
  <c r="F138" i="27"/>
  <c r="E138" i="27" s="1"/>
  <c r="F112" i="27"/>
  <c r="E112" i="27" s="1"/>
  <c r="F48" i="28"/>
  <c r="E48" i="28" s="1"/>
  <c r="F25" i="27"/>
  <c r="E25" i="27" s="1"/>
  <c r="F51" i="27"/>
  <c r="E51" i="27" s="1"/>
  <c r="F54" i="19"/>
  <c r="E54" i="19" s="1"/>
  <c r="F18" i="19"/>
  <c r="E18" i="19" s="1"/>
  <c r="F64" i="19"/>
  <c r="E64" i="19" s="1"/>
  <c r="F13" i="24"/>
  <c r="E13" i="24" s="1"/>
  <c r="F46" i="24"/>
  <c r="E46" i="24" s="1"/>
  <c r="F3" i="19"/>
  <c r="E3" i="19" s="1"/>
  <c r="F2" i="19"/>
  <c r="E2" i="19" s="1"/>
  <c r="E164" i="27"/>
  <c r="E165" i="27"/>
  <c r="E166" i="27"/>
  <c r="E157" i="27"/>
  <c r="F33" i="17"/>
  <c r="E33" i="17" s="1"/>
  <c r="F34" i="17"/>
  <c r="E34" i="17" s="1"/>
  <c r="F45" i="28"/>
  <c r="E45" i="28" s="1"/>
  <c r="F155" i="27"/>
  <c r="E155" i="27" s="1"/>
  <c r="F133" i="27"/>
  <c r="E133" i="27" s="1"/>
  <c r="F44" i="28"/>
  <c r="E44" i="28" s="1"/>
  <c r="F26" i="27"/>
  <c r="E26" i="27" s="1"/>
  <c r="F115" i="27"/>
  <c r="E115" i="27" s="1"/>
  <c r="F46" i="27"/>
  <c r="E46" i="27" s="1"/>
  <c r="F7" i="25"/>
  <c r="E7" i="25" s="1"/>
  <c r="F46" i="28"/>
  <c r="E46" i="28" s="1"/>
  <c r="F23" i="27"/>
  <c r="E23" i="27" s="1"/>
  <c r="F156" i="27"/>
  <c r="E156" i="27" s="1"/>
  <c r="F61" i="13"/>
  <c r="E61" i="13" s="1"/>
  <c r="F62" i="13"/>
  <c r="E62" i="13" s="1"/>
  <c r="F114" i="20"/>
  <c r="E114" i="20" s="1"/>
  <c r="F136" i="12"/>
  <c r="E136" i="12" s="1"/>
  <c r="F130" i="12"/>
  <c r="E130" i="12" s="1"/>
  <c r="F83" i="20"/>
  <c r="E83" i="20" s="1"/>
  <c r="F48" i="20"/>
  <c r="E48" i="20" s="1"/>
  <c r="F119" i="12"/>
  <c r="E119" i="12" s="1"/>
  <c r="F120" i="20"/>
  <c r="E120" i="20" s="1"/>
  <c r="F16" i="20"/>
  <c r="E16" i="20" s="1"/>
  <c r="F41" i="20"/>
  <c r="E41" i="20" s="1"/>
  <c r="E135" i="20"/>
  <c r="E72" i="20"/>
  <c r="E143" i="20"/>
  <c r="E35" i="20"/>
  <c r="E127" i="20"/>
  <c r="E129" i="18"/>
  <c r="E60" i="20"/>
  <c r="E95" i="20"/>
  <c r="E23" i="20"/>
  <c r="E2" i="20"/>
  <c r="E107" i="20"/>
  <c r="E59" i="20"/>
  <c r="E71" i="20"/>
  <c r="E149" i="20"/>
  <c r="E113" i="20"/>
  <c r="E29" i="20"/>
  <c r="E156" i="20"/>
  <c r="E121" i="18"/>
  <c r="F10" i="20"/>
  <c r="E10" i="20" s="1"/>
  <c r="E101" i="20"/>
  <c r="F9" i="20"/>
  <c r="E9" i="20" s="1"/>
  <c r="F39" i="13"/>
  <c r="E39" i="13" s="1"/>
  <c r="F52" i="13"/>
  <c r="E52" i="13" s="1"/>
  <c r="F109" i="27"/>
  <c r="E109" i="27" s="1"/>
  <c r="F102" i="27"/>
  <c r="E102" i="27" s="1"/>
  <c r="F10" i="26"/>
  <c r="E10" i="26" s="1"/>
  <c r="F108" i="27"/>
  <c r="E108" i="27" s="1"/>
  <c r="F61" i="27"/>
  <c r="E61" i="27" s="1"/>
  <c r="F107" i="27"/>
  <c r="E107" i="27" s="1"/>
  <c r="F67" i="28"/>
  <c r="E67" i="28" s="1"/>
  <c r="F60" i="27"/>
  <c r="E60" i="27" s="1"/>
  <c r="F131" i="27"/>
  <c r="E131" i="27" s="1"/>
  <c r="F89" i="27"/>
  <c r="E89" i="27" s="1"/>
  <c r="F75" i="28"/>
  <c r="E75" i="28" s="1"/>
  <c r="F26" i="28"/>
  <c r="E26" i="28" s="1"/>
  <c r="F59" i="27"/>
  <c r="E59" i="27" s="1"/>
  <c r="F15" i="27"/>
  <c r="E15" i="27" s="1"/>
  <c r="F25" i="28"/>
  <c r="E25" i="28" s="1"/>
  <c r="F9" i="26"/>
  <c r="E9" i="26" s="1"/>
  <c r="F150" i="27"/>
  <c r="E150" i="27" s="1"/>
  <c r="F105" i="27"/>
  <c r="E105" i="27" s="1"/>
  <c r="F24" i="28"/>
  <c r="E24" i="28" s="1"/>
  <c r="F63" i="27"/>
  <c r="E63" i="27" s="1"/>
  <c r="F5" i="25"/>
  <c r="E5" i="25" s="1"/>
  <c r="F110" i="27"/>
  <c r="E110" i="27" s="1"/>
  <c r="F70" i="28"/>
  <c r="E70" i="28" s="1"/>
  <c r="F19" i="32"/>
  <c r="E19" i="32" s="1"/>
  <c r="F21" i="32"/>
  <c r="E21" i="32" s="1"/>
  <c r="F24" i="29"/>
  <c r="E24" i="29" s="1"/>
  <c r="F20" i="32"/>
  <c r="E20" i="32" s="1"/>
  <c r="F58" i="25"/>
  <c r="E58" i="25" s="1"/>
  <c r="F62" i="25"/>
  <c r="E62" i="25" s="1"/>
  <c r="F69" i="25"/>
  <c r="E69" i="25" s="1"/>
  <c r="F74" i="25"/>
  <c r="E74" i="25" s="1"/>
  <c r="F72" i="25"/>
  <c r="E72" i="25" s="1"/>
  <c r="F71" i="25"/>
  <c r="E71" i="25" s="1"/>
  <c r="F64" i="25"/>
  <c r="E64" i="25" s="1"/>
  <c r="F73" i="25"/>
  <c r="E73" i="25" s="1"/>
  <c r="F63" i="25"/>
  <c r="E63" i="25" s="1"/>
  <c r="D4" i="6"/>
  <c r="H4" i="6" s="1"/>
  <c r="F136" i="20"/>
  <c r="E136" i="20" s="1"/>
  <c r="F150" i="20"/>
  <c r="E150" i="20" s="1"/>
  <c r="F24" i="18"/>
  <c r="E24" i="18" s="1"/>
  <c r="E293" i="18"/>
  <c r="E231" i="18"/>
  <c r="E262" i="18"/>
  <c r="E230" i="18"/>
  <c r="E294" i="18"/>
  <c r="F165" i="18"/>
  <c r="E165" i="18" s="1"/>
  <c r="E162" i="18"/>
  <c r="E261" i="18"/>
  <c r="E135" i="18"/>
  <c r="E134" i="18"/>
  <c r="F166" i="18"/>
  <c r="E166" i="18" s="1"/>
  <c r="F25" i="18"/>
  <c r="E25" i="18" s="1"/>
  <c r="E26" i="18"/>
  <c r="E163" i="18"/>
  <c r="F27" i="13"/>
  <c r="E27" i="13" s="1"/>
  <c r="F50" i="13"/>
  <c r="E50" i="13" s="1"/>
  <c r="E16" i="18"/>
  <c r="F32" i="27"/>
  <c r="E32" i="27" s="1"/>
  <c r="F43" i="31"/>
  <c r="E43" i="31" s="1"/>
  <c r="F62" i="27"/>
  <c r="E62" i="27" s="1"/>
  <c r="F5" i="27"/>
  <c r="E5" i="27" s="1"/>
  <c r="F39" i="27"/>
  <c r="E39" i="27" s="1"/>
  <c r="F2" i="24"/>
  <c r="E2" i="24" s="1"/>
  <c r="F2" i="27"/>
  <c r="E2" i="27" s="1"/>
  <c r="F61" i="18"/>
  <c r="E61" i="18" s="1"/>
  <c r="F60" i="18"/>
  <c r="E60" i="18" s="1"/>
  <c r="F59" i="18"/>
  <c r="E59" i="18" s="1"/>
  <c r="F58" i="18"/>
  <c r="E58" i="18" s="1"/>
  <c r="F10" i="18"/>
  <c r="E10" i="18" s="1"/>
  <c r="F394" i="18"/>
  <c r="E394" i="18" s="1"/>
  <c r="F341" i="18"/>
  <c r="E341" i="18" s="1"/>
  <c r="F57" i="18"/>
  <c r="E57" i="18" s="1"/>
  <c r="F102" i="18"/>
  <c r="E102" i="18" s="1"/>
  <c r="F20" i="18"/>
  <c r="E20" i="18" s="1"/>
  <c r="F340" i="18"/>
  <c r="E340" i="18" s="1"/>
  <c r="F51" i="24"/>
  <c r="E51" i="24" s="1"/>
  <c r="F45" i="24"/>
  <c r="E45" i="24" s="1"/>
  <c r="F50" i="24"/>
  <c r="E50" i="24" s="1"/>
  <c r="F18" i="1"/>
  <c r="E18" i="1" s="1"/>
  <c r="E17" i="1"/>
  <c r="F369" i="18"/>
  <c r="E369" i="18" s="1"/>
  <c r="F19" i="1"/>
  <c r="F2" i="13"/>
  <c r="E2" i="13" s="1"/>
  <c r="F47" i="31"/>
  <c r="E47" i="31" s="1"/>
  <c r="F49" i="31"/>
  <c r="E49" i="31" s="1"/>
  <c r="F48" i="31"/>
  <c r="E48" i="31" s="1"/>
  <c r="F28" i="31"/>
  <c r="E28" i="31" s="1"/>
  <c r="F5" i="31"/>
  <c r="E5" i="31" s="1"/>
  <c r="F27" i="31"/>
  <c r="E27" i="31" s="1"/>
  <c r="F4" i="31"/>
  <c r="E4" i="31" s="1"/>
  <c r="F6" i="17"/>
  <c r="E6" i="17" s="1"/>
  <c r="F4" i="17"/>
  <c r="E4" i="17" s="1"/>
  <c r="F30" i="17"/>
  <c r="E30" i="17" s="1"/>
  <c r="F28" i="17"/>
  <c r="E28" i="17" s="1"/>
  <c r="F14" i="17"/>
  <c r="E14" i="17" s="1"/>
  <c r="F13" i="17"/>
  <c r="E13" i="17" s="1"/>
  <c r="F12" i="17"/>
  <c r="E12" i="17" s="1"/>
  <c r="F10" i="17"/>
  <c r="E10" i="17" s="1"/>
  <c r="F67" i="13"/>
  <c r="E67" i="13" s="1"/>
  <c r="F34" i="13"/>
  <c r="E34" i="13" s="1"/>
  <c r="F7" i="13"/>
  <c r="E7" i="13" s="1"/>
  <c r="F106" i="12"/>
  <c r="E106" i="12" s="1"/>
  <c r="F18" i="13"/>
  <c r="E18" i="13" s="1"/>
  <c r="F45" i="13"/>
  <c r="E45" i="13" s="1"/>
  <c r="F60" i="13"/>
  <c r="E60" i="13" s="1"/>
  <c r="F4" i="13"/>
  <c r="E4" i="13" s="1"/>
  <c r="F112" i="12"/>
  <c r="E112" i="12" s="1"/>
  <c r="F333" i="18"/>
  <c r="E333" i="18" s="1"/>
  <c r="F69" i="13"/>
  <c r="E69" i="13" s="1"/>
  <c r="F35" i="13"/>
  <c r="E35" i="13" s="1"/>
  <c r="F65" i="13"/>
  <c r="E65" i="13" s="1"/>
  <c r="F66" i="13"/>
  <c r="E66" i="13" s="1"/>
  <c r="F9" i="13"/>
  <c r="E9" i="13" s="1"/>
  <c r="F19" i="13"/>
  <c r="E19" i="13" s="1"/>
  <c r="F22" i="13"/>
  <c r="E22" i="13" s="1"/>
  <c r="F38" i="13"/>
  <c r="E38" i="13" s="1"/>
  <c r="F29" i="13"/>
  <c r="E29" i="13" s="1"/>
  <c r="F21" i="13"/>
  <c r="E21" i="13" s="1"/>
  <c r="F14" i="15"/>
  <c r="F51" i="13"/>
  <c r="F28" i="13"/>
  <c r="E28" i="13" s="1"/>
  <c r="F31" i="17"/>
  <c r="E31" i="17" s="1"/>
  <c r="F3" i="17"/>
  <c r="E3" i="17" s="1"/>
  <c r="F29" i="17"/>
  <c r="E29" i="17" s="1"/>
  <c r="F7" i="17"/>
  <c r="E7" i="17" s="1"/>
  <c r="F54" i="18"/>
  <c r="E54" i="18" s="1"/>
  <c r="F19" i="18"/>
  <c r="E19" i="18" s="1"/>
  <c r="F53" i="18"/>
  <c r="E53" i="18" s="1"/>
  <c r="F7" i="15"/>
  <c r="E7" i="15" s="1"/>
  <c r="F115" i="12"/>
  <c r="E115" i="12" s="1"/>
  <c r="F109" i="12"/>
  <c r="E109" i="12" s="1"/>
  <c r="F24" i="13"/>
  <c r="E24" i="13" s="1"/>
  <c r="F44" i="13"/>
  <c r="E44" i="13" s="1"/>
  <c r="F54" i="13"/>
  <c r="E54" i="13" s="1"/>
  <c r="F30" i="13"/>
  <c r="E30" i="13" s="1"/>
  <c r="F36" i="13"/>
  <c r="E36" i="13" s="1"/>
  <c r="F37" i="13"/>
  <c r="E37" i="13" s="1"/>
  <c r="F10" i="13"/>
  <c r="E10" i="13" s="1"/>
  <c r="F68" i="13"/>
  <c r="E68" i="13" s="1"/>
  <c r="F33" i="13"/>
  <c r="E33" i="13" s="1"/>
  <c r="F46" i="13"/>
  <c r="E46" i="13" s="1"/>
  <c r="F64" i="13"/>
  <c r="E64" i="13" s="1"/>
  <c r="F63" i="13"/>
  <c r="E63" i="13" s="1"/>
  <c r="F32" i="13"/>
  <c r="E32" i="13" s="1"/>
  <c r="F6" i="13"/>
  <c r="E6" i="13" s="1"/>
  <c r="F55" i="13"/>
  <c r="E55" i="13" s="1"/>
  <c r="F5" i="13"/>
  <c r="E5" i="13" s="1"/>
  <c r="F59" i="13"/>
  <c r="E59" i="13" s="1"/>
  <c r="F15" i="13"/>
  <c r="E15" i="13" s="1"/>
  <c r="F40" i="13"/>
  <c r="E40" i="13" s="1"/>
  <c r="F58" i="13"/>
  <c r="E58" i="13" s="1"/>
  <c r="F70" i="13"/>
  <c r="E70" i="13" s="1"/>
  <c r="F57" i="13"/>
  <c r="E57" i="13" s="1"/>
  <c r="F15" i="15"/>
  <c r="F20" i="13"/>
  <c r="E20" i="13" s="1"/>
  <c r="F110" i="12"/>
  <c r="E110" i="12" s="1"/>
  <c r="F31" i="13"/>
  <c r="E31" i="13" s="1"/>
  <c r="F23" i="13"/>
  <c r="E23" i="13" s="1"/>
  <c r="F53" i="13"/>
  <c r="E53" i="13" s="1"/>
  <c r="F3" i="13"/>
  <c r="E3" i="13" s="1"/>
  <c r="F116" i="12"/>
  <c r="E116" i="12" s="1"/>
  <c r="F1309" i="1"/>
  <c r="F1304" i="1"/>
  <c r="E1924" i="1"/>
  <c r="F1310" i="1"/>
  <c r="F204" i="18"/>
  <c r="E204" i="18" s="1"/>
  <c r="H187" i="6"/>
  <c r="F2083" i="1"/>
  <c r="E2083" i="1" s="1"/>
  <c r="F2076" i="1"/>
  <c r="E2076" i="1" s="1"/>
  <c r="H189" i="6"/>
  <c r="F2586" i="1" s="1"/>
  <c r="E2586" i="1" s="1"/>
  <c r="T189" i="6"/>
  <c r="F2587" i="1" s="1"/>
  <c r="E2587" i="1" s="1"/>
  <c r="H24" i="6"/>
  <c r="F28" i="1" s="1"/>
  <c r="E28" i="1" s="1"/>
  <c r="H46" i="6"/>
  <c r="F632" i="1" s="1"/>
  <c r="E632" i="1" s="1"/>
  <c r="T59" i="6"/>
  <c r="F953" i="1" s="1"/>
  <c r="E953" i="1" s="1"/>
  <c r="H157" i="6"/>
  <c r="F3230" i="1" s="1"/>
  <c r="E3230" i="1" s="1"/>
  <c r="H171" i="6"/>
  <c r="H179" i="6"/>
  <c r="F4129" i="1" s="1"/>
  <c r="E4129" i="1" s="1"/>
  <c r="T190" i="6"/>
  <c r="F4670" i="1" s="1"/>
  <c r="E4670" i="1" s="1"/>
  <c r="H167" i="6"/>
  <c r="P179" i="6"/>
  <c r="F4131" i="1" s="1"/>
  <c r="E4131" i="1" s="1"/>
  <c r="H39" i="6"/>
  <c r="H72" i="6"/>
  <c r="F1190" i="1" s="1"/>
  <c r="E1190" i="1" s="1"/>
  <c r="H147" i="6"/>
  <c r="P167" i="6"/>
  <c r="H58" i="6"/>
  <c r="P3" i="6"/>
  <c r="F12" i="1" s="1"/>
  <c r="E12" i="1" s="1"/>
  <c r="H50" i="6"/>
  <c r="T50" i="6"/>
  <c r="F802" i="1" s="1"/>
  <c r="E802" i="1" s="1"/>
  <c r="H105" i="6"/>
  <c r="T105" i="6"/>
  <c r="F1756" i="1" s="1"/>
  <c r="E1756" i="1" s="1"/>
  <c r="H12" i="6"/>
  <c r="F657" i="1" s="1"/>
  <c r="E657" i="1" s="1"/>
  <c r="T49" i="6"/>
  <c r="F734" i="1" s="1"/>
  <c r="E734" i="1" s="1"/>
  <c r="H49" i="6"/>
  <c r="F733" i="1" s="1"/>
  <c r="E733" i="1" s="1"/>
  <c r="H132" i="6"/>
  <c r="F2550" i="1" s="1"/>
  <c r="E2550" i="1" s="1"/>
  <c r="T132" i="6"/>
  <c r="F2551" i="1" s="1"/>
  <c r="E2551" i="1" s="1"/>
  <c r="H53" i="6"/>
  <c r="F864" i="1" s="1"/>
  <c r="E864" i="1" s="1"/>
  <c r="T53" i="6"/>
  <c r="F865" i="1" s="1"/>
  <c r="E865" i="1" s="1"/>
  <c r="P53" i="6"/>
  <c r="F866" i="1" s="1"/>
  <c r="E866" i="1" s="1"/>
  <c r="H63" i="6"/>
  <c r="P63" i="6"/>
  <c r="H80" i="6"/>
  <c r="F1426" i="1" s="1"/>
  <c r="E1426" i="1" s="1"/>
  <c r="F1351" i="1"/>
  <c r="E1351" i="1" s="1"/>
  <c r="F2039" i="1"/>
  <c r="E2039" i="1" s="1"/>
  <c r="F2050" i="1"/>
  <c r="E2050" i="1" s="1"/>
  <c r="F2056" i="1"/>
  <c r="E2056" i="1" s="1"/>
  <c r="H117" i="6"/>
  <c r="F2202" i="1" s="1"/>
  <c r="E2202" i="1" s="1"/>
  <c r="T161" i="6"/>
  <c r="P15" i="6"/>
  <c r="T162" i="6"/>
  <c r="P131" i="6"/>
  <c r="F308" i="1" s="1"/>
  <c r="E308" i="1" s="1"/>
  <c r="H131" i="6"/>
  <c r="F307" i="1" s="1"/>
  <c r="E307" i="1" s="1"/>
  <c r="T131" i="6"/>
  <c r="T15" i="6"/>
  <c r="F1296" i="1" s="1"/>
  <c r="H106" i="6"/>
  <c r="T106" i="6"/>
  <c r="P106" i="6"/>
  <c r="F1787" i="1" s="1"/>
  <c r="E1787" i="1" s="1"/>
  <c r="T3" i="6"/>
  <c r="H3" i="6"/>
  <c r="F11" i="1" s="1"/>
  <c r="E11" i="1" s="1"/>
  <c r="F830" i="1"/>
  <c r="E830" i="1" s="1"/>
  <c r="F835" i="1"/>
  <c r="E835" i="1" s="1"/>
  <c r="P48" i="6"/>
  <c r="F694" i="1" s="1"/>
  <c r="E694" i="1" s="1"/>
  <c r="H48" i="6"/>
  <c r="F673" i="1" s="1"/>
  <c r="T72" i="6"/>
  <c r="F1191" i="1" s="1"/>
  <c r="E1191" i="1" s="1"/>
  <c r="T102" i="6"/>
  <c r="F1723" i="1" s="1"/>
  <c r="E1723" i="1" s="1"/>
  <c r="F1961" i="1"/>
  <c r="E1961" i="1" s="1"/>
  <c r="F1930" i="1"/>
  <c r="E1930" i="1" s="1"/>
  <c r="H109" i="6"/>
  <c r="P116" i="6"/>
  <c r="T143" i="6"/>
  <c r="F2838" i="1" s="1"/>
  <c r="E2838" i="1" s="1"/>
  <c r="T174" i="6"/>
  <c r="F4057" i="1" s="1"/>
  <c r="E4057" i="1" s="1"/>
  <c r="T182" i="6"/>
  <c r="F4605" i="1" s="1"/>
  <c r="E4605" i="1" s="1"/>
  <c r="H142" i="6"/>
  <c r="H47" i="6"/>
  <c r="F672" i="1" s="1"/>
  <c r="E672" i="1" s="1"/>
  <c r="H78" i="6"/>
  <c r="F1254" i="1" s="1"/>
  <c r="E1254" i="1" s="1"/>
  <c r="F1962" i="1"/>
  <c r="E1962" i="1" s="1"/>
  <c r="P98" i="6"/>
  <c r="F1628" i="1" s="1"/>
  <c r="E1628" i="1" s="1"/>
  <c r="P141" i="6"/>
  <c r="F2822" i="1" s="1"/>
  <c r="E2822" i="1" s="1"/>
  <c r="T58" i="6"/>
  <c r="F908" i="1" s="1"/>
  <c r="E908" i="1" s="1"/>
  <c r="T98" i="6"/>
  <c r="F1627" i="1" s="1"/>
  <c r="E1627" i="1" s="1"/>
  <c r="T137" i="6"/>
  <c r="F2725" i="1" s="1"/>
  <c r="E2725" i="1" s="1"/>
  <c r="T141" i="6"/>
  <c r="F2821" i="1" s="1"/>
  <c r="E2821" i="1" s="1"/>
  <c r="T144" i="6"/>
  <c r="F2889" i="1" s="1"/>
  <c r="E2889" i="1" s="1"/>
  <c r="F689" i="1"/>
  <c r="E689" i="1" s="1"/>
  <c r="F687" i="1"/>
  <c r="E687" i="1" s="1"/>
  <c r="F675" i="1"/>
  <c r="E675" i="1" s="1"/>
  <c r="F684" i="1"/>
  <c r="E684" i="1" s="1"/>
  <c r="F681" i="1"/>
  <c r="E681" i="1" s="1"/>
  <c r="F677" i="1"/>
  <c r="E677" i="1" s="1"/>
  <c r="F691" i="1"/>
  <c r="E691" i="1" s="1"/>
  <c r="F679" i="1"/>
  <c r="E679" i="1" s="1"/>
  <c r="F683" i="1"/>
  <c r="E683" i="1" s="1"/>
  <c r="F3594" i="1"/>
  <c r="E3594" i="1" s="1"/>
  <c r="F1698" i="1"/>
  <c r="E1698" i="1" s="1"/>
  <c r="F1696" i="1"/>
  <c r="E1696" i="1" s="1"/>
  <c r="F2008" i="1"/>
  <c r="E2008" i="1" s="1"/>
  <c r="F2013" i="1"/>
  <c r="E2013" i="1" s="1"/>
  <c r="F3627" i="1"/>
  <c r="E3627" i="1" s="1"/>
  <c r="F3623" i="1"/>
  <c r="E3623" i="1" s="1"/>
  <c r="F3688" i="1"/>
  <c r="E3688" i="1" s="1"/>
  <c r="F3684" i="1"/>
  <c r="E3684" i="1" s="1"/>
  <c r="F3686" i="1"/>
  <c r="E3686" i="1" s="1"/>
  <c r="F3689" i="1"/>
  <c r="E3689" i="1" s="1"/>
  <c r="F3683" i="1"/>
  <c r="E3683" i="1" s="1"/>
  <c r="F3687" i="1"/>
  <c r="E3687" i="1" s="1"/>
  <c r="F847" i="1"/>
  <c r="E847" i="1" s="1"/>
  <c r="F841" i="1"/>
  <c r="E841" i="1" s="1"/>
  <c r="F1317" i="1"/>
  <c r="E1317" i="1" s="1"/>
  <c r="F1352" i="1"/>
  <c r="E1352" i="1" s="1"/>
  <c r="F1314" i="1"/>
  <c r="E1314" i="1" s="1"/>
  <c r="F3670" i="1"/>
  <c r="E3670" i="1" s="1"/>
  <c r="F3663" i="1"/>
  <c r="E3663" i="1" s="1"/>
  <c r="F3664" i="1"/>
  <c r="E3664" i="1" s="1"/>
  <c r="F3437" i="1"/>
  <c r="E3437" i="1" s="1"/>
  <c r="F3440" i="1"/>
  <c r="E3440" i="1" s="1"/>
  <c r="F1697" i="1"/>
  <c r="E1697" i="1" s="1"/>
  <c r="F1699" i="1"/>
  <c r="E1699" i="1" s="1"/>
  <c r="F1347" i="1"/>
  <c r="E1347" i="1" s="1"/>
  <c r="F1342" i="1"/>
  <c r="E1342" i="1" s="1"/>
  <c r="F1336" i="1"/>
  <c r="E1336" i="1" s="1"/>
  <c r="F1341" i="1"/>
  <c r="E1341" i="1" s="1"/>
  <c r="F2033" i="1"/>
  <c r="E2033" i="1" s="1"/>
  <c r="F2029" i="1"/>
  <c r="E2029" i="1" s="1"/>
  <c r="F3677" i="1"/>
  <c r="E3677" i="1" s="1"/>
  <c r="F3678" i="1"/>
  <c r="E3678" i="1" s="1"/>
  <c r="F840" i="1"/>
  <c r="E840" i="1" s="1"/>
  <c r="F854" i="1"/>
  <c r="E854" i="1" s="1"/>
  <c r="F827" i="1"/>
  <c r="E827" i="1" s="1"/>
  <c r="F825" i="1"/>
  <c r="E825" i="1" s="1"/>
  <c r="F837" i="1"/>
  <c r="E837" i="1" s="1"/>
  <c r="F851" i="1"/>
  <c r="E851" i="1" s="1"/>
  <c r="F1685" i="1"/>
  <c r="F1682" i="1"/>
  <c r="E1682" i="1" s="1"/>
  <c r="F1688" i="1"/>
  <c r="F1683" i="1"/>
  <c r="F1675" i="1"/>
  <c r="F1684" i="1"/>
  <c r="E1684" i="1" s="1"/>
  <c r="F1690" i="1"/>
  <c r="F2023" i="1"/>
  <c r="E2023" i="1" s="1"/>
  <c r="F1663" i="1"/>
  <c r="E1663" i="1" s="1"/>
  <c r="F1662" i="1"/>
  <c r="E1662" i="1" s="1"/>
  <c r="F1664" i="1"/>
  <c r="E1664" i="1" s="1"/>
  <c r="F1660" i="1"/>
  <c r="E1660" i="1" s="1"/>
  <c r="F1672" i="1"/>
  <c r="E1672" i="1" s="1"/>
  <c r="F1656" i="1"/>
  <c r="E1656" i="1" s="1"/>
  <c r="F1669" i="1"/>
  <c r="E1669" i="1" s="1"/>
  <c r="F1665" i="1"/>
  <c r="E1665" i="1" s="1"/>
  <c r="F1654" i="1"/>
  <c r="E1654" i="1" s="1"/>
  <c r="F1651" i="1"/>
  <c r="E1651" i="1" s="1"/>
  <c r="F1659" i="1"/>
  <c r="E1659" i="1" s="1"/>
  <c r="F1655" i="1"/>
  <c r="E1655" i="1" s="1"/>
  <c r="F1958" i="1"/>
  <c r="E1958" i="1" s="1"/>
  <c r="F1931" i="1"/>
  <c r="E1931" i="1" s="1"/>
  <c r="F1947" i="1"/>
  <c r="E1947" i="1" s="1"/>
  <c r="F1960" i="1"/>
  <c r="E1960" i="1" s="1"/>
  <c r="F1970" i="1"/>
  <c r="E1970" i="1" s="1"/>
  <c r="F1929" i="1"/>
  <c r="E1929" i="1" s="1"/>
  <c r="F1932" i="1"/>
  <c r="E1932" i="1" s="1"/>
  <c r="F1952" i="1"/>
  <c r="E1952" i="1" s="1"/>
  <c r="F826" i="1"/>
  <c r="E826" i="1" s="1"/>
  <c r="F3671" i="1"/>
  <c r="E3671" i="1" s="1"/>
  <c r="F3674" i="1"/>
  <c r="E3674" i="1" s="1"/>
  <c r="F3676" i="1"/>
  <c r="E3676" i="1" s="1"/>
  <c r="F3675" i="1"/>
  <c r="E3675" i="1" s="1"/>
  <c r="F3672" i="1"/>
  <c r="E3672" i="1" s="1"/>
  <c r="F3673" i="1"/>
  <c r="E3673" i="1" s="1"/>
  <c r="F1478" i="1"/>
  <c r="E1478" i="1" s="1"/>
  <c r="F1465" i="1"/>
  <c r="E1465" i="1" s="1"/>
  <c r="F1486" i="1"/>
  <c r="E1486" i="1" s="1"/>
  <c r="F1959" i="1"/>
  <c r="E1959" i="1" s="1"/>
  <c r="F1927" i="1"/>
  <c r="E1927" i="1" s="1"/>
  <c r="F1948" i="1"/>
  <c r="E1948" i="1" s="1"/>
  <c r="F1946" i="1"/>
  <c r="E1946" i="1" s="1"/>
  <c r="F1963" i="1"/>
  <c r="E1963" i="1" s="1"/>
  <c r="F1953" i="1"/>
  <c r="E1953" i="1" s="1"/>
  <c r="F1933" i="1"/>
  <c r="E1933" i="1" s="1"/>
  <c r="F1348" i="1"/>
  <c r="E1348" i="1" s="1"/>
  <c r="F2074" i="1"/>
  <c r="E2074" i="1" s="1"/>
  <c r="F2090" i="1"/>
  <c r="E2090" i="1" s="1"/>
  <c r="F2049" i="1"/>
  <c r="E2049" i="1" s="1"/>
  <c r="F2055" i="1"/>
  <c r="E2055" i="1" s="1"/>
  <c r="F2077" i="1"/>
  <c r="E2077" i="1" s="1"/>
  <c r="F2058" i="1"/>
  <c r="E2058" i="1" s="1"/>
  <c r="F2060" i="1"/>
  <c r="E2060" i="1" s="1"/>
  <c r="F2041" i="1"/>
  <c r="E2041" i="1" s="1"/>
  <c r="F2094" i="1"/>
  <c r="E2094" i="1" s="1"/>
  <c r="F2057" i="1"/>
  <c r="E2057" i="1" s="1"/>
  <c r="F2042" i="1"/>
  <c r="E2042" i="1" s="1"/>
  <c r="F2047" i="1"/>
  <c r="E2047" i="1" s="1"/>
  <c r="F2086" i="1"/>
  <c r="E2086" i="1" s="1"/>
  <c r="F2065" i="1"/>
  <c r="E2065" i="1" s="1"/>
  <c r="F2087" i="1"/>
  <c r="E2087" i="1" s="1"/>
  <c r="F2093" i="1"/>
  <c r="E2093" i="1" s="1"/>
  <c r="E4441" i="1"/>
  <c r="F3679" i="1"/>
  <c r="E3679" i="1" s="1"/>
  <c r="F3680" i="1"/>
  <c r="E3680" i="1" s="1"/>
  <c r="F2017" i="1"/>
  <c r="E2017" i="1" s="1"/>
  <c r="F2028" i="1"/>
  <c r="E2028" i="1" s="1"/>
  <c r="F2012" i="1"/>
  <c r="E2012" i="1" s="1"/>
  <c r="F3667" i="1"/>
  <c r="E3667" i="1" s="1"/>
  <c r="F3669" i="1"/>
  <c r="E3669" i="1" s="1"/>
  <c r="F3668" i="1"/>
  <c r="E3668" i="1" s="1"/>
  <c r="F3666" i="1"/>
  <c r="E3666" i="1" s="1"/>
  <c r="F3606" i="1"/>
  <c r="E3606" i="1" s="1"/>
  <c r="F3603" i="1"/>
  <c r="E3603" i="1" s="1"/>
  <c r="F3605" i="1"/>
  <c r="E3605" i="1" s="1"/>
  <c r="F1671" i="1"/>
  <c r="E1671" i="1" s="1"/>
  <c r="F1670" i="1"/>
  <c r="E1670" i="1" s="1"/>
  <c r="F1673" i="1"/>
  <c r="E1673" i="1" s="1"/>
  <c r="F1668" i="1"/>
  <c r="E1668" i="1" s="1"/>
  <c r="F843" i="1"/>
  <c r="E843" i="1" s="1"/>
  <c r="F812" i="1"/>
  <c r="E812" i="1" s="1"/>
  <c r="F809" i="1"/>
  <c r="E809" i="1" s="1"/>
  <c r="F820" i="1"/>
  <c r="E820" i="1" s="1"/>
  <c r="F821" i="1"/>
  <c r="E821" i="1" s="1"/>
  <c r="F815" i="1"/>
  <c r="E815" i="1" s="1"/>
  <c r="F813" i="1"/>
  <c r="E813" i="1" s="1"/>
  <c r="F811" i="1"/>
  <c r="E811" i="1" s="1"/>
  <c r="F810" i="1"/>
  <c r="E810" i="1" s="1"/>
  <c r="F783" i="1"/>
  <c r="E783" i="1" s="1"/>
  <c r="F785" i="1"/>
  <c r="E785" i="1" s="1"/>
  <c r="F801" i="1"/>
  <c r="E801" i="1" s="1"/>
  <c r="F799" i="1"/>
  <c r="E799" i="1" s="1"/>
  <c r="F796" i="1"/>
  <c r="E796" i="1" s="1"/>
  <c r="F788" i="1"/>
  <c r="E788" i="1" s="1"/>
  <c r="F787" i="1"/>
  <c r="E787" i="1" s="1"/>
  <c r="F786" i="1"/>
  <c r="E786" i="1" s="1"/>
  <c r="F777" i="1"/>
  <c r="E777" i="1" s="1"/>
  <c r="F754" i="1"/>
  <c r="E754" i="1" s="1"/>
  <c r="F749" i="1"/>
  <c r="E749" i="1" s="1"/>
  <c r="F753" i="1"/>
  <c r="E753" i="1" s="1"/>
  <c r="F751" i="1"/>
  <c r="E751" i="1" s="1"/>
  <c r="F766" i="1"/>
  <c r="E766" i="1" s="1"/>
  <c r="F765" i="1"/>
  <c r="E765" i="1" s="1"/>
  <c r="F757" i="1"/>
  <c r="E757" i="1" s="1"/>
  <c r="F771" i="1"/>
  <c r="E771" i="1" s="1"/>
  <c r="F763" i="1"/>
  <c r="E763" i="1" s="1"/>
  <c r="F761" i="1"/>
  <c r="E761" i="1" s="1"/>
  <c r="F767" i="1"/>
  <c r="E767" i="1" s="1"/>
  <c r="F748" i="1"/>
  <c r="E748" i="1" s="1"/>
  <c r="F1099" i="1"/>
  <c r="E1099" i="1" s="1"/>
  <c r="F1094" i="1"/>
  <c r="E1094" i="1" s="1"/>
  <c r="F1090" i="1"/>
  <c r="E1090" i="1" s="1"/>
  <c r="F1084" i="1"/>
  <c r="E1084" i="1" s="1"/>
  <c r="F1086" i="1"/>
  <c r="E1086" i="1" s="1"/>
  <c r="F1056" i="1"/>
  <c r="E1056" i="1" s="1"/>
  <c r="F1058" i="1"/>
  <c r="E1058" i="1" s="1"/>
  <c r="F1060" i="1"/>
  <c r="E1060" i="1" s="1"/>
  <c r="F1062" i="1"/>
  <c r="E1062" i="1" s="1"/>
  <c r="F1065" i="1"/>
  <c r="E1065" i="1" s="1"/>
  <c r="F1064" i="1"/>
  <c r="E1064" i="1" s="1"/>
  <c r="F1053" i="1"/>
  <c r="E1053" i="1" s="1"/>
  <c r="F1049" i="1"/>
  <c r="E1049" i="1" s="1"/>
  <c r="F1026" i="1"/>
  <c r="E1026" i="1" s="1"/>
  <c r="F1036" i="1"/>
  <c r="E1036" i="1" s="1"/>
  <c r="F1033" i="1"/>
  <c r="E1033" i="1" s="1"/>
  <c r="F1045" i="1"/>
  <c r="E1045" i="1" s="1"/>
  <c r="F1040" i="1"/>
  <c r="E1040" i="1" s="1"/>
  <c r="F1028" i="1"/>
  <c r="E1028" i="1" s="1"/>
  <c r="F1030" i="1"/>
  <c r="E1030" i="1" s="1"/>
  <c r="F1044" i="1"/>
  <c r="E1044" i="1" s="1"/>
  <c r="F1042" i="1"/>
  <c r="E1042" i="1" s="1"/>
  <c r="F1038" i="1"/>
  <c r="E1038" i="1" s="1"/>
  <c r="F1069" i="1"/>
  <c r="E1069" i="1" s="1"/>
  <c r="F1072" i="1"/>
  <c r="E1072" i="1" s="1"/>
  <c r="F1050" i="1"/>
  <c r="E1050" i="1" s="1"/>
  <c r="F1054" i="1"/>
  <c r="E1054" i="1" s="1"/>
  <c r="F1052" i="1"/>
  <c r="E1052" i="1" s="1"/>
  <c r="F1085" i="1"/>
  <c r="E1085" i="1" s="1"/>
  <c r="F1095" i="1"/>
  <c r="E1095" i="1" s="1"/>
  <c r="F1088" i="1"/>
  <c r="E1088" i="1" s="1"/>
  <c r="F4671" i="1"/>
  <c r="E4671" i="1" s="1"/>
  <c r="F2204" i="1"/>
  <c r="E2204" i="1" s="1"/>
  <c r="F4646" i="1"/>
  <c r="E4646" i="1" s="1"/>
  <c r="F4627" i="1"/>
  <c r="E4627" i="1" s="1"/>
  <c r="F4630" i="1"/>
  <c r="E4630" i="1" s="1"/>
  <c r="F4636" i="1"/>
  <c r="E4636" i="1" s="1"/>
  <c r="F4639" i="1"/>
  <c r="E4639" i="1" s="1"/>
  <c r="F4622" i="1"/>
  <c r="E4622" i="1" s="1"/>
  <c r="F4623" i="1"/>
  <c r="E4623" i="1" s="1"/>
  <c r="F4624" i="1"/>
  <c r="E4624" i="1" s="1"/>
  <c r="F4625" i="1"/>
  <c r="E4625" i="1" s="1"/>
  <c r="F4632" i="1"/>
  <c r="E4632" i="1" s="1"/>
  <c r="F4631" i="1"/>
  <c r="E4631" i="1" s="1"/>
  <c r="F4618" i="1"/>
  <c r="E4618" i="1" s="1"/>
  <c r="F4620" i="1"/>
  <c r="E4620" i="1" s="1"/>
  <c r="F4642" i="1"/>
  <c r="E4642" i="1" s="1"/>
  <c r="F4619" i="1"/>
  <c r="E4619" i="1" s="1"/>
  <c r="F4617" i="1"/>
  <c r="E4617" i="1" s="1"/>
  <c r="F4616" i="1"/>
  <c r="E4616" i="1" s="1"/>
  <c r="F4641" i="1"/>
  <c r="E4641" i="1" s="1"/>
  <c r="F4640" i="1"/>
  <c r="E4640" i="1" s="1"/>
  <c r="F4638" i="1"/>
  <c r="E4638" i="1" s="1"/>
  <c r="F4637" i="1"/>
  <c r="E4637" i="1" s="1"/>
  <c r="F4634" i="1"/>
  <c r="E4634" i="1" s="1"/>
  <c r="F4633" i="1"/>
  <c r="E4633" i="1" s="1"/>
  <c r="F4629" i="1"/>
  <c r="E4629" i="1" s="1"/>
  <c r="F4628" i="1"/>
  <c r="E4628" i="1" s="1"/>
  <c r="F4621" i="1"/>
  <c r="E4621" i="1" s="1"/>
  <c r="F3574" i="1"/>
  <c r="E3574" i="1" s="1"/>
  <c r="F3579" i="1"/>
  <c r="E3579" i="1" s="1"/>
  <c r="F3580" i="1"/>
  <c r="E3580" i="1" s="1"/>
  <c r="F3585" i="1"/>
  <c r="E3585" i="1" s="1"/>
  <c r="F3584" i="1"/>
  <c r="E3584" i="1" s="1"/>
  <c r="F3578" i="1"/>
  <c r="E3578" i="1" s="1"/>
  <c r="F3571" i="1"/>
  <c r="E3571" i="1" s="1"/>
  <c r="F3569" i="1"/>
  <c r="E3569" i="1" s="1"/>
  <c r="F3570" i="1"/>
  <c r="E3570" i="1" s="1"/>
  <c r="F3577" i="1"/>
  <c r="E3577" i="1" s="1"/>
  <c r="F3576" i="1"/>
  <c r="E3576" i="1" s="1"/>
  <c r="F3582" i="1"/>
  <c r="E3582" i="1" s="1"/>
  <c r="F3581" i="1"/>
  <c r="E3581" i="1" s="1"/>
  <c r="F3573" i="1"/>
  <c r="E3573" i="1" s="1"/>
  <c r="F3572" i="1"/>
  <c r="E3572" i="1" s="1"/>
  <c r="F3583" i="1"/>
  <c r="E3583" i="1" s="1"/>
  <c r="F3575" i="1"/>
  <c r="E3575" i="1" s="1"/>
  <c r="F3564" i="1"/>
  <c r="E3564" i="1" s="1"/>
  <c r="F3565" i="1"/>
  <c r="E3565" i="1" s="1"/>
  <c r="F3566" i="1"/>
  <c r="E3566" i="1" s="1"/>
  <c r="F3567" i="1"/>
  <c r="E3567" i="1" s="1"/>
  <c r="F3568" i="1"/>
  <c r="E3568" i="1" s="1"/>
  <c r="F3563" i="1"/>
  <c r="E3563" i="1" s="1"/>
  <c r="F3586" i="1"/>
  <c r="E3586" i="1" s="1"/>
  <c r="F3588" i="1"/>
  <c r="E3588" i="1" s="1"/>
  <c r="F3587" i="1"/>
  <c r="E3587" i="1" s="1"/>
  <c r="F3589" i="1"/>
  <c r="E3589" i="1" s="1"/>
  <c r="F3590" i="1"/>
  <c r="E3590" i="1" s="1"/>
  <c r="F3591" i="1"/>
  <c r="E3591" i="1" s="1"/>
  <c r="F3558" i="1"/>
  <c r="E3558" i="1" s="1"/>
  <c r="F3559" i="1"/>
  <c r="E3559" i="1" s="1"/>
  <c r="F3561" i="1"/>
  <c r="E3561" i="1" s="1"/>
  <c r="F3560" i="1"/>
  <c r="E3560" i="1" s="1"/>
  <c r="F3562" i="1"/>
  <c r="E3562" i="1" s="1"/>
  <c r="F4690" i="1"/>
  <c r="E4690" i="1" s="1"/>
  <c r="F4600" i="1"/>
  <c r="E4600" i="1" s="1"/>
  <c r="F4606" i="1"/>
  <c r="E4606" i="1" s="1"/>
  <c r="F4608" i="1"/>
  <c r="E4608" i="1" s="1"/>
  <c r="F4111" i="1"/>
  <c r="E4111" i="1" s="1"/>
  <c r="F4122" i="1"/>
  <c r="E4122" i="1" s="1"/>
  <c r="F4119" i="1"/>
  <c r="E4119" i="1" s="1"/>
  <c r="F4115" i="1"/>
  <c r="E4115" i="1" s="1"/>
  <c r="F4109" i="1"/>
  <c r="E4109" i="1" s="1"/>
  <c r="F4105" i="1"/>
  <c r="F4076" i="1"/>
  <c r="E4076" i="1" s="1"/>
  <c r="F4102" i="1"/>
  <c r="E4102" i="1" s="1"/>
  <c r="F4077" i="1"/>
  <c r="E4077" i="1" s="1"/>
  <c r="F4073" i="1"/>
  <c r="E4073" i="1" s="1"/>
  <c r="F4094" i="1"/>
  <c r="F2774" i="1"/>
  <c r="F4084" i="1"/>
  <c r="E4084" i="1" s="1"/>
  <c r="F4083" i="1"/>
  <c r="E4083" i="1" s="1"/>
  <c r="F4093" i="1"/>
  <c r="E4093" i="1" s="1"/>
  <c r="F4095" i="1"/>
  <c r="E4095" i="1" s="1"/>
  <c r="F4085" i="1"/>
  <c r="E4085" i="1" s="1"/>
  <c r="F4079" i="1"/>
  <c r="E4079" i="1" s="1"/>
  <c r="F4078" i="1"/>
  <c r="E4078" i="1" s="1"/>
  <c r="F4087" i="1"/>
  <c r="E4087" i="1" s="1"/>
  <c r="F4086" i="1"/>
  <c r="E4086" i="1" s="1"/>
  <c r="F4075" i="1"/>
  <c r="E4075" i="1" s="1"/>
  <c r="F4096" i="1"/>
  <c r="E4096" i="1" s="1"/>
  <c r="F4082" i="1"/>
  <c r="E4082" i="1" s="1"/>
  <c r="F4074" i="1"/>
  <c r="E4074" i="1" s="1"/>
  <c r="F4089" i="1"/>
  <c r="E4089" i="1" s="1"/>
  <c r="F4080" i="1"/>
  <c r="E4080" i="1" s="1"/>
  <c r="F4038" i="1"/>
  <c r="E4038" i="1" s="1"/>
  <c r="F4049" i="1"/>
  <c r="E4049" i="1" s="1"/>
  <c r="F4046" i="1"/>
  <c r="E4046" i="1" s="1"/>
  <c r="F4019" i="1"/>
  <c r="E4019" i="1" s="1"/>
  <c r="F4035" i="1"/>
  <c r="E4035" i="1" s="1"/>
  <c r="F4034" i="1"/>
  <c r="E4034" i="1" s="1"/>
  <c r="F4033" i="1"/>
  <c r="E4033" i="1" s="1"/>
  <c r="F4021" i="1"/>
  <c r="E4021" i="1" s="1"/>
  <c r="F4024" i="1"/>
  <c r="E4024" i="1" s="1"/>
  <c r="F4005" i="1"/>
  <c r="E4005" i="1" s="1"/>
  <c r="F4008" i="1"/>
  <c r="E4008" i="1" s="1"/>
  <c r="F4006" i="1"/>
  <c r="E4006" i="1" s="1"/>
  <c r="F4000" i="1"/>
  <c r="E4000" i="1" s="1"/>
  <c r="F3998" i="1"/>
  <c r="E3998" i="1" s="1"/>
  <c r="F3999" i="1"/>
  <c r="E3999" i="1" s="1"/>
  <c r="F4061" i="1"/>
  <c r="E4061" i="1" s="1"/>
  <c r="F4059" i="1"/>
  <c r="E4059" i="1" s="1"/>
  <c r="F4064" i="1"/>
  <c r="E4064" i="1" s="1"/>
  <c r="F4053" i="1"/>
  <c r="E4053" i="1" s="1"/>
  <c r="F3826" i="1"/>
  <c r="E3826" i="1" s="1"/>
  <c r="F3828" i="1"/>
  <c r="E3828" i="1" s="1"/>
  <c r="F3824" i="1"/>
  <c r="E3824" i="1" s="1"/>
  <c r="F3823" i="1"/>
  <c r="E3823" i="1" s="1"/>
  <c r="F3821" i="1"/>
  <c r="E3821" i="1" s="1"/>
  <c r="F3822" i="1"/>
  <c r="E3822" i="1" s="1"/>
  <c r="F3838" i="1"/>
  <c r="E3838" i="1" s="1"/>
  <c r="F3820" i="1"/>
  <c r="E3820" i="1" s="1"/>
  <c r="F3804" i="1"/>
  <c r="E3804" i="1" s="1"/>
  <c r="F3786" i="1"/>
  <c r="E3786" i="1" s="1"/>
  <c r="F3792" i="1"/>
  <c r="E3792" i="1" s="1"/>
  <c r="F3790" i="1"/>
  <c r="E3790" i="1" s="1"/>
  <c r="F3762" i="1"/>
  <c r="E3762" i="1" s="1"/>
  <c r="F3742" i="1"/>
  <c r="E3742" i="1" s="1"/>
  <c r="F3745" i="1"/>
  <c r="E3745" i="1" s="1"/>
  <c r="F3743" i="1"/>
  <c r="E3743" i="1" s="1"/>
  <c r="F3738" i="1"/>
  <c r="E3738" i="1" s="1"/>
  <c r="F3735" i="1"/>
  <c r="E3735" i="1" s="1"/>
  <c r="F3729" i="1"/>
  <c r="E3729" i="1" s="1"/>
  <c r="F3732" i="1"/>
  <c r="E3732" i="1" s="1"/>
  <c r="F3734" i="1"/>
  <c r="E3734" i="1" s="1"/>
  <c r="F3335" i="1"/>
  <c r="E3335" i="1" s="1"/>
  <c r="F3339" i="1"/>
  <c r="E3339" i="1" s="1"/>
  <c r="F3340" i="1"/>
  <c r="E3340" i="1" s="1"/>
  <c r="F3342" i="1"/>
  <c r="E3342" i="1" s="1"/>
  <c r="F3341" i="1"/>
  <c r="E3341" i="1" s="1"/>
  <c r="F3360" i="1"/>
  <c r="E3360" i="1" s="1"/>
  <c r="F3361" i="1"/>
  <c r="E3361" i="1" s="1"/>
  <c r="F3345" i="1"/>
  <c r="E3345" i="1" s="1"/>
  <c r="F3334" i="1"/>
  <c r="E3334" i="1" s="1"/>
  <c r="F3351" i="1"/>
  <c r="E3351" i="1" s="1"/>
  <c r="F3347" i="1"/>
  <c r="E3347" i="1" s="1"/>
  <c r="F3348" i="1"/>
  <c r="E3348" i="1" s="1"/>
  <c r="F3354" i="1"/>
  <c r="E3354" i="1" s="1"/>
  <c r="F3353" i="1"/>
  <c r="E3353" i="1" s="1"/>
  <c r="F3338" i="1"/>
  <c r="E3338" i="1" s="1"/>
  <c r="F3337" i="1"/>
  <c r="E3337" i="1" s="1"/>
  <c r="F3336" i="1"/>
  <c r="E3336" i="1" s="1"/>
  <c r="F3349" i="1"/>
  <c r="E3349" i="1" s="1"/>
  <c r="F3350" i="1"/>
  <c r="E3350" i="1" s="1"/>
  <c r="F3346" i="1"/>
  <c r="E3346" i="1" s="1"/>
  <c r="F3357" i="1"/>
  <c r="E3357" i="1" s="1"/>
  <c r="F3355" i="1"/>
  <c r="E3355" i="1" s="1"/>
  <c r="F3359" i="1"/>
  <c r="E3359" i="1" s="1"/>
  <c r="F4236" i="1"/>
  <c r="E4236" i="1" s="1"/>
  <c r="F4234" i="1"/>
  <c r="E4234" i="1" s="1"/>
  <c r="F4235" i="1"/>
  <c r="F3330" i="1"/>
  <c r="E3330" i="1" s="1"/>
  <c r="F3324" i="1"/>
  <c r="E3324" i="1" s="1"/>
  <c r="F3323" i="1"/>
  <c r="E3323" i="1" s="1"/>
  <c r="F3436" i="1"/>
  <c r="E3436" i="1" s="1"/>
  <c r="F3439" i="1"/>
  <c r="E3439" i="1" s="1"/>
  <c r="F3441" i="1"/>
  <c r="E3441" i="1" s="1"/>
  <c r="F3438" i="1"/>
  <c r="E3438" i="1" s="1"/>
  <c r="F3442" i="1"/>
  <c r="E3442" i="1" s="1"/>
  <c r="F3450" i="1"/>
  <c r="E3450" i="1" s="1"/>
  <c r="E3447" i="1"/>
  <c r="F3448" i="1"/>
  <c r="E3448" i="1" s="1"/>
  <c r="F3331" i="1"/>
  <c r="E3331" i="1" s="1"/>
  <c r="F3547" i="1"/>
  <c r="E3547" i="1" s="1"/>
  <c r="F3117" i="1"/>
  <c r="E3117" i="1" s="1"/>
  <c r="F3116" i="1"/>
  <c r="E3116" i="1" s="1"/>
  <c r="F3118" i="1"/>
  <c r="E3118" i="1" s="1"/>
  <c r="F3123" i="1"/>
  <c r="E3123" i="1" s="1"/>
  <c r="F3122" i="1"/>
  <c r="E3122" i="1" s="1"/>
  <c r="F3119" i="1"/>
  <c r="E3119" i="1" s="1"/>
  <c r="F3120" i="1"/>
  <c r="E3120" i="1" s="1"/>
  <c r="F3129" i="1"/>
  <c r="E3129" i="1" s="1"/>
  <c r="F3127" i="1"/>
  <c r="E3127" i="1" s="1"/>
  <c r="F3125" i="1"/>
  <c r="E3125" i="1" s="1"/>
  <c r="F3132" i="1"/>
  <c r="E3132" i="1" s="1"/>
  <c r="F3134" i="1"/>
  <c r="E3134" i="1" s="1"/>
  <c r="F3133" i="1"/>
  <c r="E3133" i="1" s="1"/>
  <c r="F3131" i="1"/>
  <c r="E3131" i="1" s="1"/>
  <c r="F3126" i="1"/>
  <c r="E3126" i="1" s="1"/>
  <c r="F3124" i="1"/>
  <c r="E3124" i="1" s="1"/>
  <c r="F3128" i="1"/>
  <c r="E3128" i="1" s="1"/>
  <c r="F3121" i="1"/>
  <c r="E3121" i="1" s="1"/>
  <c r="F3111" i="1"/>
  <c r="E3111" i="1" s="1"/>
  <c r="F3110" i="1"/>
  <c r="E3110" i="1" s="1"/>
  <c r="F3109" i="1"/>
  <c r="E3109" i="1" s="1"/>
  <c r="F3108" i="1"/>
  <c r="E3108" i="1" s="1"/>
  <c r="F3106" i="1"/>
  <c r="E3106" i="1" s="1"/>
  <c r="F3107" i="1"/>
  <c r="E3107" i="1" s="1"/>
  <c r="F3137" i="1"/>
  <c r="E3137" i="1" s="1"/>
  <c r="F3138" i="1"/>
  <c r="E3138" i="1" s="1"/>
  <c r="F3088" i="1"/>
  <c r="E3088" i="1" s="1"/>
  <c r="F3087" i="1"/>
  <c r="E3087" i="1" s="1"/>
  <c r="F3092" i="1"/>
  <c r="E3092" i="1" s="1"/>
  <c r="F3095" i="1"/>
  <c r="E3095" i="1" s="1"/>
  <c r="F3094" i="1"/>
  <c r="E3094" i="1" s="1"/>
  <c r="F3098" i="1"/>
  <c r="E3098" i="1" s="1"/>
  <c r="F3099" i="1"/>
  <c r="E3099" i="1" s="1"/>
  <c r="F3097" i="1"/>
  <c r="E3097" i="1" s="1"/>
  <c r="F3096" i="1"/>
  <c r="E3096" i="1" s="1"/>
  <c r="F3101" i="1"/>
  <c r="E3101" i="1" s="1"/>
  <c r="F3102" i="1"/>
  <c r="E3102" i="1" s="1"/>
  <c r="F3100" i="1"/>
  <c r="E3100" i="1" s="1"/>
  <c r="F3105" i="1"/>
  <c r="E3105" i="1" s="1"/>
  <c r="F3103" i="1"/>
  <c r="E3103" i="1" s="1"/>
  <c r="F3226" i="1"/>
  <c r="E3226" i="1" s="1"/>
  <c r="F3223" i="1"/>
  <c r="E3223" i="1" s="1"/>
  <c r="F3213" i="1"/>
  <c r="E3213" i="1" s="1"/>
  <c r="F3211" i="1"/>
  <c r="E3211" i="1" s="1"/>
  <c r="F3209" i="1"/>
  <c r="E3209" i="1" s="1"/>
  <c r="F3199" i="1"/>
  <c r="E3199" i="1" s="1"/>
  <c r="F3197" i="1"/>
  <c r="E3197" i="1" s="1"/>
  <c r="F3195" i="1"/>
  <c r="E3195" i="1" s="1"/>
  <c r="F3192" i="1"/>
  <c r="E3192" i="1" s="1"/>
  <c r="F3191" i="1"/>
  <c r="E3191" i="1" s="1"/>
  <c r="F3190" i="1"/>
  <c r="E3190" i="1" s="1"/>
  <c r="F3189" i="1"/>
  <c r="E3189" i="1" s="1"/>
  <c r="F3185" i="1"/>
  <c r="E3185" i="1" s="1"/>
  <c r="F3167" i="1"/>
  <c r="E3167" i="1" s="1"/>
  <c r="F3158" i="1"/>
  <c r="E3158" i="1" s="1"/>
  <c r="F3157" i="1"/>
  <c r="E3157" i="1" s="1"/>
  <c r="F3153" i="1"/>
  <c r="E3153" i="1" s="1"/>
  <c r="F3152" i="1"/>
  <c r="E3152" i="1" s="1"/>
  <c r="F3155" i="1"/>
  <c r="E3155" i="1" s="1"/>
  <c r="F3142" i="1"/>
  <c r="E3142" i="1" s="1"/>
  <c r="F3149" i="1"/>
  <c r="E3149" i="1" s="1"/>
  <c r="F3164" i="1"/>
  <c r="E3164" i="1" s="1"/>
  <c r="F3151" i="1"/>
  <c r="E3151" i="1" s="1"/>
  <c r="F3147" i="1"/>
  <c r="E3147" i="1" s="1"/>
  <c r="F3144" i="1"/>
  <c r="E3144" i="1" s="1"/>
  <c r="F3026" i="1"/>
  <c r="E3026" i="1" s="1"/>
  <c r="F3030" i="1"/>
  <c r="E3030" i="1" s="1"/>
  <c r="F3040" i="1"/>
  <c r="E3040" i="1" s="1"/>
  <c r="F3035" i="1"/>
  <c r="E3035" i="1" s="1"/>
  <c r="F3029" i="1"/>
  <c r="E3029" i="1" s="1"/>
  <c r="F3046" i="1"/>
  <c r="E3046" i="1" s="1"/>
  <c r="F3024" i="1"/>
  <c r="E3024" i="1" s="1"/>
  <c r="F3033" i="1"/>
  <c r="E3033" i="1" s="1"/>
  <c r="F3022" i="1"/>
  <c r="E3022" i="1" s="1"/>
  <c r="F3021" i="1"/>
  <c r="E3021" i="1" s="1"/>
  <c r="F3039" i="1"/>
  <c r="E3039" i="1" s="1"/>
  <c r="F3023" i="1"/>
  <c r="E3023" i="1" s="1"/>
  <c r="F3031" i="1"/>
  <c r="E3031" i="1" s="1"/>
  <c r="F3020" i="1"/>
  <c r="E3020" i="1" s="1"/>
  <c r="F3054" i="1"/>
  <c r="E3054" i="1" s="1"/>
  <c r="F3071" i="1"/>
  <c r="E3071" i="1" s="1"/>
  <c r="F3079" i="1"/>
  <c r="E3079" i="1" s="1"/>
  <c r="F3081" i="1"/>
  <c r="E3081" i="1" s="1"/>
  <c r="F3082" i="1"/>
  <c r="E3082" i="1" s="1"/>
  <c r="F3064" i="1"/>
  <c r="E3064" i="1" s="1"/>
  <c r="F3067" i="1"/>
  <c r="E3067" i="1" s="1"/>
  <c r="F3076" i="1"/>
  <c r="E3076" i="1" s="1"/>
  <c r="F3052" i="1"/>
  <c r="E3052" i="1" s="1"/>
  <c r="F3072" i="1"/>
  <c r="E3072" i="1" s="1"/>
  <c r="F2983" i="1"/>
  <c r="E2983" i="1" s="1"/>
  <c r="F2977" i="1"/>
  <c r="E2977" i="1" s="1"/>
  <c r="F2973" i="1"/>
  <c r="E2973" i="1" s="1"/>
  <c r="F2972" i="1"/>
  <c r="E2972" i="1" s="1"/>
  <c r="F2970" i="1"/>
  <c r="E2970" i="1" s="1"/>
  <c r="F2971" i="1"/>
  <c r="E2971" i="1" s="1"/>
  <c r="F2968" i="1"/>
  <c r="E2968" i="1" s="1"/>
  <c r="F2963" i="1"/>
  <c r="E2963" i="1" s="1"/>
  <c r="F2959" i="1"/>
  <c r="E2959" i="1" s="1"/>
  <c r="F2955" i="1"/>
  <c r="E2955" i="1" s="1"/>
  <c r="F2938" i="1"/>
  <c r="E2938" i="1" s="1"/>
  <c r="F2935" i="1"/>
  <c r="E2935" i="1" s="1"/>
  <c r="F2936" i="1"/>
  <c r="E2936" i="1" s="1"/>
  <c r="F2906" i="1"/>
  <c r="E2906" i="1" s="1"/>
  <c r="F2915" i="1"/>
  <c r="E2915" i="1" s="1"/>
  <c r="F2946" i="1"/>
  <c r="E2946" i="1" s="1"/>
  <c r="F2953" i="1"/>
  <c r="E2953" i="1" s="1"/>
  <c r="F2951" i="1"/>
  <c r="E2951" i="1" s="1"/>
  <c r="F2943" i="1"/>
  <c r="E2943" i="1" s="1"/>
  <c r="F2948" i="1"/>
  <c r="E2948" i="1" s="1"/>
  <c r="F2913" i="1"/>
  <c r="E2913" i="1" s="1"/>
  <c r="F2917" i="1"/>
  <c r="E2917" i="1" s="1"/>
  <c r="F2918" i="1"/>
  <c r="E2918" i="1" s="1"/>
  <c r="F2904" i="1"/>
  <c r="E2904" i="1" s="1"/>
  <c r="F2845" i="1"/>
  <c r="E2845" i="1" s="1"/>
  <c r="F2844" i="1"/>
  <c r="E2844" i="1" s="1"/>
  <c r="F2843" i="1"/>
  <c r="E2843" i="1" s="1"/>
  <c r="F2850" i="1"/>
  <c r="E2850" i="1" s="1"/>
  <c r="F2852" i="1"/>
  <c r="E2852" i="1" s="1"/>
  <c r="F2853" i="1"/>
  <c r="E2853" i="1" s="1"/>
  <c r="F2854" i="1"/>
  <c r="E2854" i="1" s="1"/>
  <c r="F2851" i="1"/>
  <c r="E2851" i="1" s="1"/>
  <c r="F2849" i="1"/>
  <c r="E2849" i="1" s="1"/>
  <c r="F2831" i="1"/>
  <c r="E2831" i="1" s="1"/>
  <c r="F2830" i="1"/>
  <c r="E2830" i="1" s="1"/>
  <c r="F2829" i="1"/>
  <c r="E2829" i="1" s="1"/>
  <c r="F2832" i="1"/>
  <c r="E2832" i="1" s="1"/>
  <c r="F2833" i="1"/>
  <c r="E2833" i="1" s="1"/>
  <c r="F2834" i="1"/>
  <c r="E2834" i="1" s="1"/>
  <c r="F2743" i="1"/>
  <c r="E2743" i="1" s="1"/>
  <c r="F2773" i="1"/>
  <c r="E2773" i="1" s="1"/>
  <c r="F2754" i="1"/>
  <c r="E2754" i="1" s="1"/>
  <c r="F2745" i="1"/>
  <c r="E2745" i="1" s="1"/>
  <c r="F2746" i="1"/>
  <c r="E2746" i="1" s="1"/>
  <c r="F2767" i="1"/>
  <c r="E2767" i="1" s="1"/>
  <c r="F2766" i="1"/>
  <c r="E2766" i="1" s="1"/>
  <c r="F2769" i="1"/>
  <c r="E2769" i="1" s="1"/>
  <c r="F2772" i="1"/>
  <c r="E2772" i="1" s="1"/>
  <c r="F2771" i="1"/>
  <c r="E2771" i="1" s="1"/>
  <c r="F2761" i="1"/>
  <c r="E2761" i="1" s="1"/>
  <c r="F2752" i="1"/>
  <c r="E2752" i="1" s="1"/>
  <c r="F2751" i="1"/>
  <c r="E2751" i="1" s="1"/>
  <c r="F2747" i="1"/>
  <c r="E2747" i="1" s="1"/>
  <c r="F2744" i="1"/>
  <c r="E2744" i="1" s="1"/>
  <c r="F2724" i="1"/>
  <c r="E2724" i="1" s="1"/>
  <c r="F2723" i="1"/>
  <c r="E2723" i="1" s="1"/>
  <c r="F2729" i="1"/>
  <c r="E2729" i="1" s="1"/>
  <c r="F2737" i="1"/>
  <c r="E2737" i="1" s="1"/>
  <c r="F2719" i="1"/>
  <c r="E2719" i="1" s="1"/>
  <c r="F2716" i="1"/>
  <c r="E2716" i="1" s="1"/>
  <c r="F2715" i="1"/>
  <c r="E2715" i="1" s="1"/>
  <c r="F2680" i="1"/>
  <c r="E2680" i="1" s="1"/>
  <c r="F2681" i="1"/>
  <c r="E2681" i="1" s="1"/>
  <c r="F2691" i="1"/>
  <c r="E2691" i="1" s="1"/>
  <c r="F2690" i="1"/>
  <c r="E2690" i="1" s="1"/>
  <c r="F2688" i="1"/>
  <c r="E2688" i="1" s="1"/>
  <c r="F2689" i="1"/>
  <c r="E2689" i="1" s="1"/>
  <c r="F2684" i="1"/>
  <c r="E2684" i="1" s="1"/>
  <c r="F2683" i="1"/>
  <c r="E2683" i="1" s="1"/>
  <c r="F2682" i="1"/>
  <c r="E2682" i="1" s="1"/>
  <c r="F2685" i="1"/>
  <c r="E2685" i="1" s="1"/>
  <c r="F2687" i="1"/>
  <c r="E2687" i="1" s="1"/>
  <c r="F2673" i="1"/>
  <c r="E2673" i="1" s="1"/>
  <c r="F2678" i="1"/>
  <c r="E2678" i="1" s="1"/>
  <c r="F2672" i="1"/>
  <c r="E2672" i="1" s="1"/>
  <c r="F2671" i="1"/>
  <c r="E2671" i="1" s="1"/>
  <c r="F2654" i="1"/>
  <c r="E2654" i="1" s="1"/>
  <c r="F2664" i="1"/>
  <c r="E2664" i="1" s="1"/>
  <c r="F2657" i="1"/>
  <c r="E2657" i="1" s="1"/>
  <c r="F2655" i="1"/>
  <c r="E2655" i="1" s="1"/>
  <c r="F2656" i="1"/>
  <c r="E2656" i="1" s="1"/>
  <c r="F2667" i="1"/>
  <c r="E2667" i="1" s="1"/>
  <c r="F2663" i="1"/>
  <c r="E2663" i="1" s="1"/>
  <c r="F2662" i="1"/>
  <c r="E2662" i="1" s="1"/>
  <c r="F2661" i="1"/>
  <c r="E2661" i="1" s="1"/>
  <c r="F2650" i="1"/>
  <c r="E2650" i="1" s="1"/>
  <c r="F2651" i="1"/>
  <c r="E2651" i="1" s="1"/>
  <c r="F2668" i="1"/>
  <c r="E2668" i="1" s="1"/>
  <c r="F2666" i="1"/>
  <c r="E2666" i="1" s="1"/>
  <c r="F2665" i="1"/>
  <c r="E2665" i="1" s="1"/>
  <c r="F2660" i="1"/>
  <c r="E2660" i="1" s="1"/>
  <c r="F2659" i="1"/>
  <c r="E2659" i="1" s="1"/>
  <c r="F2658" i="1"/>
  <c r="E2658" i="1" s="1"/>
  <c r="F2649" i="1"/>
  <c r="E2649" i="1" s="1"/>
  <c r="F2648" i="1"/>
  <c r="E2648" i="1" s="1"/>
  <c r="F2653" i="1"/>
  <c r="E2653" i="1" s="1"/>
  <c r="F2638" i="1"/>
  <c r="E2638" i="1" s="1"/>
  <c r="F2518" i="1"/>
  <c r="E2518" i="1" s="1"/>
  <c r="F2507" i="1"/>
  <c r="E2507" i="1" s="1"/>
  <c r="F2556" i="1"/>
  <c r="E2556" i="1" s="1"/>
  <c r="F2523" i="1"/>
  <c r="E2523" i="1" s="1"/>
  <c r="F2481" i="1"/>
  <c r="E2481" i="1" s="1"/>
  <c r="F2479" i="1"/>
  <c r="E2479" i="1" s="1"/>
  <c r="F2478" i="1"/>
  <c r="E2478" i="1" s="1"/>
  <c r="F2484" i="1"/>
  <c r="E2484" i="1" s="1"/>
  <c r="F2489" i="1"/>
  <c r="E2489" i="1" s="1"/>
  <c r="F2490" i="1"/>
  <c r="E2490" i="1" s="1"/>
  <c r="F2485" i="1"/>
  <c r="E2485" i="1" s="1"/>
  <c r="F2486" i="1"/>
  <c r="E2486" i="1" s="1"/>
  <c r="F2487" i="1"/>
  <c r="E2487" i="1" s="1"/>
  <c r="F2453" i="1"/>
  <c r="E2453" i="1" s="1"/>
  <c r="F2470" i="1"/>
  <c r="E2470" i="1" s="1"/>
  <c r="F2471" i="1"/>
  <c r="E2471" i="1" s="1"/>
  <c r="F2463" i="1"/>
  <c r="E2463" i="1" s="1"/>
  <c r="F2469" i="1"/>
  <c r="E2469" i="1" s="1"/>
  <c r="F2465" i="1"/>
  <c r="E2465" i="1" s="1"/>
  <c r="F2464" i="1"/>
  <c r="E2464" i="1" s="1"/>
  <c r="F2468" i="1"/>
  <c r="E2468" i="1" s="1"/>
  <c r="F2467" i="1"/>
  <c r="E2467" i="1" s="1"/>
  <c r="F2466" i="1"/>
  <c r="E2466" i="1" s="1"/>
  <c r="F2472" i="1"/>
  <c r="E2472" i="1" s="1"/>
  <c r="F2461" i="1"/>
  <c r="E2461" i="1" s="1"/>
  <c r="F2476" i="1"/>
  <c r="E2476" i="1" s="1"/>
  <c r="F2475" i="1"/>
  <c r="E2475" i="1" s="1"/>
  <c r="F2473" i="1"/>
  <c r="E2473" i="1" s="1"/>
  <c r="F2456" i="1"/>
  <c r="E2456" i="1" s="1"/>
  <c r="F2455" i="1"/>
  <c r="E2455" i="1" s="1"/>
  <c r="F2459" i="1"/>
  <c r="E2459" i="1" s="1"/>
  <c r="F2450" i="1"/>
  <c r="E2450" i="1" s="1"/>
  <c r="F2437" i="1"/>
  <c r="E2437" i="1" s="1"/>
  <c r="F2439" i="1"/>
  <c r="E2439" i="1" s="1"/>
  <c r="F2435" i="1"/>
  <c r="E2435" i="1" s="1"/>
  <c r="F2440" i="1"/>
  <c r="E2440" i="1" s="1"/>
  <c r="F2419" i="1"/>
  <c r="E2419" i="1" s="1"/>
  <c r="F2398" i="1"/>
  <c r="E2398" i="1" s="1"/>
  <c r="F2401" i="1"/>
  <c r="E2401" i="1" s="1"/>
  <c r="F1101" i="1"/>
  <c r="F2187" i="1"/>
  <c r="E2187" i="1" s="1"/>
  <c r="F2185" i="1"/>
  <c r="E2185" i="1" s="1"/>
  <c r="F2183" i="1"/>
  <c r="E2183" i="1" s="1"/>
  <c r="F2182" i="1"/>
  <c r="E2182" i="1" s="1"/>
  <c r="F2181" i="1"/>
  <c r="E2181" i="1" s="1"/>
  <c r="F2178" i="1"/>
  <c r="E2178" i="1" s="1"/>
  <c r="F2177" i="1"/>
  <c r="E2177" i="1" s="1"/>
  <c r="F2189" i="1"/>
  <c r="E2189" i="1" s="1"/>
  <c r="F2193" i="1"/>
  <c r="E2193" i="1" s="1"/>
  <c r="F2198" i="1"/>
  <c r="E2198" i="1" s="1"/>
  <c r="F2228" i="1"/>
  <c r="E2228" i="1" s="1"/>
  <c r="F2236" i="1"/>
  <c r="E2236" i="1" s="1"/>
  <c r="F2235" i="1"/>
  <c r="E2235" i="1" s="1"/>
  <c r="F2234" i="1"/>
  <c r="E2234" i="1" s="1"/>
  <c r="F2233" i="1"/>
  <c r="E2233" i="1" s="1"/>
  <c r="F2232" i="1"/>
  <c r="E2232" i="1" s="1"/>
  <c r="F2231" i="1"/>
  <c r="E2231" i="1" s="1"/>
  <c r="F2230" i="1"/>
  <c r="E2230" i="1" s="1"/>
  <c r="F2229" i="1"/>
  <c r="E2229" i="1" s="1"/>
  <c r="F2227" i="1"/>
  <c r="E2227" i="1" s="1"/>
  <c r="F2224" i="1"/>
  <c r="E2224" i="1" s="1"/>
  <c r="F2226" i="1"/>
  <c r="E2226" i="1" s="1"/>
  <c r="F2225" i="1"/>
  <c r="E2225" i="1" s="1"/>
  <c r="F2215" i="1"/>
  <c r="E2215" i="1" s="1"/>
  <c r="F2214" i="1"/>
  <c r="E2214" i="1" s="1"/>
  <c r="F2213" i="1"/>
  <c r="E2213" i="1" s="1"/>
  <c r="F2212" i="1"/>
  <c r="E2212" i="1" s="1"/>
  <c r="F1409" i="1"/>
  <c r="E1409" i="1" s="1"/>
  <c r="F2119" i="1"/>
  <c r="E2119" i="1" s="1"/>
  <c r="F2129" i="1"/>
  <c r="E2129" i="1" s="1"/>
  <c r="F2137" i="1"/>
  <c r="E2137" i="1" s="1"/>
  <c r="F2138" i="1"/>
  <c r="E2138" i="1" s="1"/>
  <c r="F2132" i="1"/>
  <c r="E2132" i="1" s="1"/>
  <c r="F2134" i="1"/>
  <c r="E2134" i="1" s="1"/>
  <c r="F2135" i="1"/>
  <c r="E2135" i="1" s="1"/>
  <c r="F2105" i="1"/>
  <c r="E2105" i="1" s="1"/>
  <c r="F2113" i="1"/>
  <c r="E2113" i="1" s="1"/>
  <c r="F2111" i="1"/>
  <c r="E2111" i="1" s="1"/>
  <c r="F2124" i="1"/>
  <c r="E2124" i="1" s="1"/>
  <c r="F2120" i="1"/>
  <c r="E2120" i="1" s="1"/>
  <c r="F2133" i="1"/>
  <c r="E2133" i="1" s="1"/>
  <c r="F2126" i="1"/>
  <c r="E2126" i="1" s="1"/>
  <c r="F1770" i="1"/>
  <c r="E1770" i="1" s="1"/>
  <c r="F1736" i="1"/>
  <c r="E1736" i="1" s="1"/>
  <c r="F1759" i="1"/>
  <c r="E1759" i="1" s="1"/>
  <c r="F1735" i="1"/>
  <c r="E1735" i="1" s="1"/>
  <c r="F1738" i="1"/>
  <c r="E1738" i="1" s="1"/>
  <c r="F1749" i="1"/>
  <c r="E1749" i="1" s="1"/>
  <c r="F1751" i="1"/>
  <c r="E1751" i="1" s="1"/>
  <c r="F1750" i="1"/>
  <c r="E1750" i="1" s="1"/>
  <c r="F1747" i="1"/>
  <c r="E1747" i="1" s="1"/>
  <c r="F1741" i="1"/>
  <c r="E1741" i="1" s="1"/>
  <c r="F1740" i="1"/>
  <c r="E1740" i="1" s="1"/>
  <c r="F1739" i="1"/>
  <c r="E1739" i="1" s="1"/>
  <c r="F1746" i="1"/>
  <c r="E1746" i="1" s="1"/>
  <c r="F1748" i="1"/>
  <c r="E1748" i="1" s="1"/>
  <c r="F1744" i="1"/>
  <c r="E1744" i="1" s="1"/>
  <c r="F1720" i="1"/>
  <c r="E1720" i="1" s="1"/>
  <c r="F1713" i="1"/>
  <c r="E1713" i="1" s="1"/>
  <c r="F1719" i="1"/>
  <c r="E1719" i="1" s="1"/>
  <c r="F1728" i="1"/>
  <c r="E1728" i="1" s="1"/>
  <c r="F1733" i="1"/>
  <c r="E1733" i="1" s="1"/>
  <c r="F1729" i="1"/>
  <c r="E1729" i="1" s="1"/>
  <c r="F1724" i="1"/>
  <c r="E1724" i="1" s="1"/>
  <c r="F1632" i="1"/>
  <c r="E1632" i="1" s="1"/>
  <c r="F1622" i="1"/>
  <c r="E1622" i="1" s="1"/>
  <c r="F1625" i="1"/>
  <c r="E1625" i="1" s="1"/>
  <c r="F1541" i="1"/>
  <c r="E1541" i="1" s="1"/>
  <c r="F1531" i="1"/>
  <c r="E1531" i="1" s="1"/>
  <c r="F1266" i="1"/>
  <c r="E1266" i="1" s="1"/>
  <c r="F1263" i="1"/>
  <c r="E1263" i="1" s="1"/>
  <c r="F1262" i="1"/>
  <c r="E1262" i="1" s="1"/>
  <c r="F1261" i="1"/>
  <c r="E1261" i="1" s="1"/>
  <c r="F1259" i="1"/>
  <c r="E1259" i="1" s="1"/>
  <c r="F1258" i="1"/>
  <c r="E1258" i="1" s="1"/>
  <c r="F1260" i="1"/>
  <c r="E1260" i="1" s="1"/>
  <c r="F1257" i="1"/>
  <c r="E1257" i="1" s="1"/>
  <c r="F1265" i="1"/>
  <c r="E1265" i="1" s="1"/>
  <c r="F1286" i="1"/>
  <c r="E1286" i="1" s="1"/>
  <c r="F1285" i="1"/>
  <c r="E1285" i="1" s="1"/>
  <c r="F1279" i="1"/>
  <c r="E1279" i="1" s="1"/>
  <c r="F1280" i="1"/>
  <c r="E1280" i="1" s="1"/>
  <c r="F1281" i="1"/>
  <c r="E1281" i="1" s="1"/>
  <c r="F1282" i="1"/>
  <c r="E1282" i="1" s="1"/>
  <c r="F1283" i="1"/>
  <c r="E1283" i="1" s="1"/>
  <c r="F1284" i="1"/>
  <c r="E1284" i="1" s="1"/>
  <c r="F1268" i="1"/>
  <c r="E1268" i="1" s="1"/>
  <c r="F1245" i="1"/>
  <c r="E1245" i="1" s="1"/>
  <c r="F1246" i="1"/>
  <c r="E1246" i="1" s="1"/>
  <c r="F1244" i="1"/>
  <c r="E1244" i="1" s="1"/>
  <c r="F1247" i="1"/>
  <c r="E1247" i="1" s="1"/>
  <c r="F1248" i="1"/>
  <c r="E1248" i="1" s="1"/>
  <c r="F1252" i="1"/>
  <c r="E1252" i="1" s="1"/>
  <c r="F1251" i="1"/>
  <c r="E1251" i="1" s="1"/>
  <c r="F1250" i="1"/>
  <c r="E1250" i="1" s="1"/>
  <c r="F1249" i="1"/>
  <c r="E1249" i="1" s="1"/>
  <c r="F1242" i="1"/>
  <c r="E1242" i="1" s="1"/>
  <c r="F1243" i="1"/>
  <c r="E1243" i="1" s="1"/>
  <c r="F1241" i="1"/>
  <c r="E1241" i="1" s="1"/>
  <c r="F1035" i="1"/>
  <c r="E1035" i="1" s="1"/>
  <c r="F1032" i="1"/>
  <c r="E1032" i="1" s="1"/>
  <c r="F1025" i="1"/>
  <c r="E1025" i="1" s="1"/>
  <c r="F1047" i="1"/>
  <c r="E1047" i="1" s="1"/>
  <c r="F1037" i="1"/>
  <c r="E1037" i="1" s="1"/>
  <c r="F1041" i="1"/>
  <c r="E1041" i="1" s="1"/>
  <c r="F967" i="1"/>
  <c r="E967" i="1" s="1"/>
  <c r="F1006" i="1"/>
  <c r="E1006" i="1" s="1"/>
  <c r="F1005" i="1"/>
  <c r="F975" i="1"/>
  <c r="E975" i="1" s="1"/>
  <c r="F972" i="1"/>
  <c r="E972" i="1" s="1"/>
  <c r="F971" i="1"/>
  <c r="E971" i="1" s="1"/>
  <c r="F973" i="1"/>
  <c r="E973" i="1" s="1"/>
  <c r="F962" i="1"/>
  <c r="E962" i="1" s="1"/>
  <c r="F896" i="1"/>
  <c r="E896" i="1" s="1"/>
  <c r="F899" i="1"/>
  <c r="E899" i="1" s="1"/>
  <c r="F897" i="1"/>
  <c r="E897" i="1" s="1"/>
  <c r="F891" i="1"/>
  <c r="E891" i="1" s="1"/>
  <c r="F892" i="1"/>
  <c r="E892" i="1" s="1"/>
  <c r="F746" i="1"/>
  <c r="E746" i="1" s="1"/>
  <c r="F625" i="1"/>
  <c r="E625" i="1" s="1"/>
  <c r="F630" i="1"/>
  <c r="E630" i="1" s="1"/>
  <c r="F2593" i="1"/>
  <c r="E2593" i="1" s="1"/>
  <c r="F2596" i="1"/>
  <c r="E2596" i="1" s="1"/>
  <c r="F2594" i="1"/>
  <c r="E2594" i="1" s="1"/>
  <c r="F2595" i="1"/>
  <c r="E2595" i="1" s="1"/>
  <c r="F2591" i="1"/>
  <c r="E2591" i="1" s="1"/>
  <c r="F2592" i="1"/>
  <c r="E2592" i="1" s="1"/>
  <c r="F2590" i="1"/>
  <c r="E2590" i="1" s="1"/>
  <c r="F2588" i="1"/>
  <c r="E2588" i="1" s="1"/>
  <c r="F2608" i="1"/>
  <c r="E2608" i="1" s="1"/>
  <c r="F2607" i="1"/>
  <c r="E2607" i="1" s="1"/>
  <c r="F2606" i="1"/>
  <c r="E2606" i="1" s="1"/>
  <c r="F2605" i="1"/>
  <c r="E2605" i="1" s="1"/>
  <c r="F2604" i="1"/>
  <c r="E2604" i="1" s="1"/>
  <c r="F2603" i="1"/>
  <c r="E2603" i="1" s="1"/>
  <c r="F2602" i="1"/>
  <c r="E2602" i="1" s="1"/>
  <c r="F2601" i="1"/>
  <c r="E2601" i="1" s="1"/>
  <c r="F2600" i="1"/>
  <c r="E2600" i="1" s="1"/>
  <c r="F2597" i="1"/>
  <c r="E2597" i="1" s="1"/>
  <c r="F2599" i="1"/>
  <c r="E2599" i="1" s="1"/>
  <c r="F2598" i="1"/>
  <c r="E2598" i="1" s="1"/>
  <c r="F2589" i="1"/>
  <c r="E2589" i="1" s="1"/>
  <c r="F2574" i="1"/>
  <c r="E2574" i="1" s="1"/>
  <c r="F2575" i="1"/>
  <c r="E2575" i="1" s="1"/>
  <c r="F2576" i="1"/>
  <c r="E2576" i="1" s="1"/>
  <c r="F2577" i="1"/>
  <c r="E2577" i="1" s="1"/>
  <c r="F2578" i="1"/>
  <c r="E2578" i="1" s="1"/>
  <c r="F2580" i="1"/>
  <c r="E2580" i="1" s="1"/>
  <c r="F2579" i="1"/>
  <c r="E2579" i="1" s="1"/>
  <c r="F2583" i="1"/>
  <c r="E2583" i="1" s="1"/>
  <c r="F2581" i="1"/>
  <c r="E2581" i="1" s="1"/>
  <c r="F2585" i="1"/>
  <c r="E2585" i="1" s="1"/>
  <c r="F2582" i="1"/>
  <c r="E2582" i="1" s="1"/>
  <c r="F2584" i="1"/>
  <c r="E2584" i="1" s="1"/>
  <c r="F4654" i="1" l="1"/>
  <c r="E4654" i="1" s="1"/>
  <c r="F4665" i="1"/>
  <c r="E4665" i="1" s="1"/>
  <c r="F1440" i="1"/>
  <c r="E1440" i="1" s="1"/>
  <c r="F1392" i="1"/>
  <c r="E1392" i="1" s="1"/>
  <c r="F1424" i="1"/>
  <c r="E1424" i="1" s="1"/>
  <c r="F1390" i="1"/>
  <c r="E1390" i="1" s="1"/>
  <c r="F1391" i="1"/>
  <c r="E1391" i="1" s="1"/>
  <c r="F1428" i="1"/>
  <c r="E1428" i="1" s="1"/>
  <c r="F1441" i="1"/>
  <c r="E1441" i="1" s="1"/>
  <c r="E22" i="19"/>
  <c r="E21" i="19"/>
  <c r="F1301" i="1"/>
  <c r="E1301" i="1" s="1"/>
  <c r="F1300" i="1"/>
  <c r="E1300" i="1" s="1"/>
  <c r="F1302" i="1"/>
  <c r="E1302" i="1" s="1"/>
  <c r="F1303" i="1"/>
  <c r="E1303" i="1" s="1"/>
  <c r="F3769" i="1"/>
  <c r="F3772" i="1"/>
  <c r="E3772" i="1" s="1"/>
  <c r="T4" i="6"/>
  <c r="P4" i="6"/>
  <c r="F21" i="1" s="1"/>
  <c r="E21" i="1" s="1"/>
  <c r="E31" i="32"/>
  <c r="E11" i="26"/>
  <c r="E18" i="32"/>
  <c r="E3" i="32"/>
  <c r="E147" i="27"/>
  <c r="E16" i="32"/>
  <c r="E62" i="24"/>
  <c r="E14" i="32"/>
  <c r="E73" i="28"/>
  <c r="E12" i="32"/>
  <c r="E2" i="32"/>
  <c r="E17" i="29"/>
  <c r="F3410" i="1"/>
  <c r="E3410" i="1" s="1"/>
  <c r="F3397" i="1"/>
  <c r="E3397" i="1" s="1"/>
  <c r="F3386" i="1"/>
  <c r="E3386" i="1" s="1"/>
  <c r="F3396" i="1"/>
  <c r="E3396" i="1" s="1"/>
  <c r="F3404" i="1"/>
  <c r="E3404" i="1" s="1"/>
  <c r="F3402" i="1"/>
  <c r="E3402" i="1" s="1"/>
  <c r="F3373" i="1"/>
  <c r="E3373" i="1" s="1"/>
  <c r="F3364" i="1"/>
  <c r="E3364" i="1" s="1"/>
  <c r="F3420" i="1"/>
  <c r="E3420" i="1" s="1"/>
  <c r="F3379" i="1"/>
  <c r="E3379" i="1" s="1"/>
  <c r="F3419" i="1"/>
  <c r="E3419" i="1" s="1"/>
  <c r="F3412" i="1"/>
  <c r="E3412" i="1" s="1"/>
  <c r="F3388" i="1"/>
  <c r="E3388" i="1" s="1"/>
  <c r="F3371" i="1"/>
  <c r="E3371" i="1" s="1"/>
  <c r="F3381" i="1"/>
  <c r="E3381" i="1" s="1"/>
  <c r="F3362" i="1"/>
  <c r="E3362" i="1" s="1"/>
  <c r="F3424" i="1"/>
  <c r="E3424" i="1" s="1"/>
  <c r="F3378" i="1"/>
  <c r="E3378" i="1" s="1"/>
  <c r="F3372" i="1"/>
  <c r="E3372" i="1" s="1"/>
  <c r="F3363" i="1"/>
  <c r="E3363" i="1" s="1"/>
  <c r="F3423" i="1"/>
  <c r="E3423" i="1" s="1"/>
  <c r="F3416" i="1"/>
  <c r="E3416" i="1" s="1"/>
  <c r="F3392" i="1"/>
  <c r="E3392" i="1" s="1"/>
  <c r="F3380" i="1"/>
  <c r="E3380" i="1" s="1"/>
  <c r="F3370" i="1"/>
  <c r="E3370" i="1" s="1"/>
  <c r="F3366" i="1"/>
  <c r="E3366" i="1" s="1"/>
  <c r="F3418" i="1"/>
  <c r="E3418" i="1" s="1"/>
  <c r="F3415" i="1"/>
  <c r="E3415" i="1" s="1"/>
  <c r="F3400" i="1"/>
  <c r="E3400" i="1" s="1"/>
  <c r="F3391" i="1"/>
  <c r="E3391" i="1" s="1"/>
  <c r="F3383" i="1"/>
  <c r="E3383" i="1" s="1"/>
  <c r="F3422" i="1"/>
  <c r="E3422" i="1" s="1"/>
  <c r="F3411" i="1"/>
  <c r="E3411" i="1" s="1"/>
  <c r="F3399" i="1"/>
  <c r="E3399" i="1" s="1"/>
  <c r="F3387" i="1"/>
  <c r="E3387" i="1" s="1"/>
  <c r="F3414" i="1"/>
  <c r="E3414" i="1" s="1"/>
  <c r="F3408" i="1"/>
  <c r="E3408" i="1" s="1"/>
  <c r="F3394" i="1"/>
  <c r="E3394" i="1" s="1"/>
  <c r="F3390" i="1"/>
  <c r="E3390" i="1" s="1"/>
  <c r="F3403" i="1"/>
  <c r="E3403" i="1" s="1"/>
  <c r="F3376" i="1"/>
  <c r="E3376" i="1" s="1"/>
  <c r="F3368" i="1"/>
  <c r="E3368" i="1" s="1"/>
  <c r="F3406" i="1"/>
  <c r="E3406" i="1" s="1"/>
  <c r="F3384" i="1"/>
  <c r="E3384" i="1" s="1"/>
  <c r="F3375" i="1"/>
  <c r="E3375" i="1" s="1"/>
  <c r="F3367" i="1"/>
  <c r="E3367" i="1" s="1"/>
  <c r="F3407" i="1"/>
  <c r="E3407" i="1" s="1"/>
  <c r="F3398" i="1"/>
  <c r="E3398" i="1" s="1"/>
  <c r="F4647" i="1"/>
  <c r="E4647" i="1" s="1"/>
  <c r="F4659" i="1"/>
  <c r="E4659" i="1" s="1"/>
  <c r="F4664" i="1"/>
  <c r="E4664" i="1" s="1"/>
  <c r="E4653" i="1"/>
  <c r="F4668" i="1"/>
  <c r="E4668" i="1" s="1"/>
  <c r="F4648" i="1"/>
  <c r="E4648" i="1" s="1"/>
  <c r="F4651" i="1"/>
  <c r="E4651" i="1" s="1"/>
  <c r="F4667" i="1"/>
  <c r="E4667" i="1" s="1"/>
  <c r="F4656" i="1"/>
  <c r="E4656" i="1" s="1"/>
  <c r="F4652" i="1"/>
  <c r="E4652" i="1" s="1"/>
  <c r="F4657" i="1"/>
  <c r="E4657" i="1" s="1"/>
  <c r="F4655" i="1"/>
  <c r="E4655" i="1" s="1"/>
  <c r="F4658" i="1"/>
  <c r="E4658" i="1" s="1"/>
  <c r="F4650" i="1"/>
  <c r="E4650" i="1" s="1"/>
  <c r="F4662" i="1"/>
  <c r="E4662" i="1" s="1"/>
  <c r="F4643" i="1"/>
  <c r="E4643" i="1" s="1"/>
  <c r="F4669" i="1"/>
  <c r="E4669" i="1" s="1"/>
  <c r="F4645" i="1"/>
  <c r="E4645" i="1" s="1"/>
  <c r="F4666" i="1"/>
  <c r="E4666" i="1" s="1"/>
  <c r="F4660" i="1"/>
  <c r="E4660" i="1" s="1"/>
  <c r="F4663" i="1"/>
  <c r="E4663" i="1" s="1"/>
  <c r="F4644" i="1"/>
  <c r="E4644" i="1" s="1"/>
  <c r="F4649" i="1"/>
  <c r="E4649" i="1" s="1"/>
  <c r="F2447" i="1"/>
  <c r="E2447" i="1" s="1"/>
  <c r="F2203" i="1"/>
  <c r="E2203" i="1" s="1"/>
  <c r="F2669" i="1"/>
  <c r="E2669" i="1" s="1"/>
  <c r="F2458" i="1"/>
  <c r="E2458" i="1" s="1"/>
  <c r="F2457" i="1"/>
  <c r="E2457" i="1" s="1"/>
  <c r="F2670" i="1"/>
  <c r="E2670" i="1" s="1"/>
  <c r="F2454" i="1"/>
  <c r="E2454" i="1" s="1"/>
  <c r="F2451" i="1"/>
  <c r="E2451" i="1" s="1"/>
  <c r="F2205" i="1"/>
  <c r="E2205" i="1" s="1"/>
  <c r="F2442" i="1"/>
  <c r="E2442" i="1" s="1"/>
  <c r="F2452" i="1"/>
  <c r="E2452" i="1" s="1"/>
  <c r="F2444" i="1"/>
  <c r="E2444" i="1" s="1"/>
  <c r="F2443" i="1"/>
  <c r="E2443" i="1" s="1"/>
  <c r="F2446" i="1"/>
  <c r="E2446" i="1" s="1"/>
  <c r="F2448" i="1"/>
  <c r="E2448" i="1" s="1"/>
  <c r="F2441" i="1"/>
  <c r="E2441" i="1" s="1"/>
  <c r="F2449" i="1"/>
  <c r="E2449" i="1" s="1"/>
  <c r="F2200" i="1"/>
  <c r="E2200" i="1" s="1"/>
  <c r="F1267" i="1"/>
  <c r="E1267" i="1" s="1"/>
  <c r="F1272" i="1"/>
  <c r="E1272" i="1" s="1"/>
  <c r="F1255" i="1"/>
  <c r="E1255" i="1" s="1"/>
  <c r="F1277" i="1"/>
  <c r="E1277" i="1" s="1"/>
  <c r="F1278" i="1"/>
  <c r="E1278" i="1" s="1"/>
  <c r="F1256" i="1"/>
  <c r="E1256" i="1" s="1"/>
  <c r="F1271" i="1"/>
  <c r="E1271" i="1" s="1"/>
  <c r="F1270" i="1"/>
  <c r="E1270" i="1" s="1"/>
  <c r="F1273" i="1"/>
  <c r="E1273" i="1" s="1"/>
  <c r="F1253" i="1"/>
  <c r="E1253" i="1" s="1"/>
  <c r="F512" i="1" l="1"/>
  <c r="E512" i="1" s="1"/>
  <c r="F510" i="1"/>
  <c r="E510" i="1" s="1"/>
  <c r="F529" i="1"/>
  <c r="E529" i="1" s="1"/>
  <c r="F543" i="1"/>
  <c r="E543" i="1" s="1"/>
  <c r="F413" i="1"/>
  <c r="E413" i="1" s="1"/>
  <c r="F423" i="1"/>
  <c r="E423" i="1" s="1"/>
  <c r="F421" i="1"/>
  <c r="E421" i="1" s="1"/>
  <c r="F333" i="1"/>
  <c r="E333" i="1" s="1"/>
  <c r="F337" i="1"/>
  <c r="E337" i="1" s="1"/>
  <c r="F344" i="1"/>
  <c r="E344" i="1" s="1"/>
  <c r="F357" i="1"/>
  <c r="E357" i="1" s="1"/>
  <c r="F353" i="1"/>
  <c r="E353" i="1" s="1"/>
  <c r="F340" i="1"/>
  <c r="E340" i="1" s="1"/>
  <c r="F334" i="1"/>
  <c r="E334" i="1" s="1"/>
  <c r="F322" i="1"/>
  <c r="E322" i="1" s="1"/>
  <c r="F331" i="1"/>
  <c r="E331" i="1" s="1"/>
  <c r="F325" i="1"/>
  <c r="E325" i="1" s="1"/>
  <c r="F330" i="1"/>
  <c r="E330" i="1" s="1"/>
  <c r="F317" i="1"/>
  <c r="E317" i="1" s="1"/>
  <c r="F318" i="1"/>
  <c r="E318" i="1" s="1"/>
  <c r="F352" i="1"/>
  <c r="E352" i="1" s="1"/>
  <c r="F345" i="1"/>
  <c r="E345" i="1" s="1"/>
  <c r="F347" i="1"/>
  <c r="E347" i="1" s="1"/>
  <c r="F350" i="1"/>
  <c r="E350" i="1" s="1"/>
  <c r="F354" i="1"/>
  <c r="E354" i="1" s="1"/>
  <c r="F341" i="1"/>
  <c r="E341" i="1" s="1"/>
  <c r="F336" i="1"/>
  <c r="E336" i="1" s="1"/>
  <c r="F335" i="1"/>
  <c r="E335" i="1" s="1"/>
  <c r="F342" i="1"/>
  <c r="E342" i="1" s="1"/>
  <c r="F327" i="1"/>
  <c r="E327" i="1" s="1"/>
  <c r="F332" i="1"/>
  <c r="E332" i="1" s="1"/>
  <c r="F362" i="1"/>
  <c r="E362" i="1" s="1"/>
  <c r="F361" i="1"/>
  <c r="E361" i="1" s="1"/>
  <c r="F363" i="1"/>
  <c r="E363" i="1" s="1"/>
  <c r="F360" i="1"/>
  <c r="E360" i="1" s="1"/>
  <c r="F399" i="1"/>
  <c r="E399" i="1" s="1"/>
  <c r="F392" i="1"/>
  <c r="E392" i="1" s="1"/>
  <c r="F395" i="1"/>
  <c r="E395" i="1" s="1"/>
  <c r="F397" i="1"/>
  <c r="E397" i="1" s="1"/>
  <c r="F403" i="1"/>
  <c r="E403" i="1" s="1"/>
  <c r="F390" i="1"/>
  <c r="E390" i="1" s="1"/>
  <c r="F401" i="1"/>
  <c r="E401" i="1" s="1"/>
  <c r="F402" i="1"/>
  <c r="E402" i="1" s="1"/>
  <c r="F396" i="1"/>
  <c r="E396" i="1" s="1"/>
  <c r="F391" i="1"/>
  <c r="E391" i="1" s="1"/>
  <c r="F400" i="1"/>
  <c r="E400" i="1" s="1"/>
  <c r="F387" i="1"/>
  <c r="E387" i="1" s="1"/>
  <c r="F386" i="1"/>
  <c r="E386" i="1" s="1"/>
  <c r="F394" i="1"/>
  <c r="E394" i="1" s="1"/>
  <c r="F376" i="1"/>
  <c r="E376" i="1" s="1"/>
  <c r="F378" i="1"/>
  <c r="E378" i="1" s="1"/>
  <c r="F383" i="1"/>
  <c r="E383" i="1" s="1"/>
  <c r="F375" i="1"/>
  <c r="E375" i="1" s="1"/>
  <c r="F377" i="1"/>
  <c r="E377" i="1" s="1"/>
  <c r="F372" i="1"/>
  <c r="E372" i="1" s="1"/>
  <c r="F384" i="1"/>
  <c r="E384" i="1" s="1"/>
  <c r="F374" i="1"/>
  <c r="E374" i="1" s="1"/>
  <c r="F369" i="1"/>
  <c r="E369" i="1" s="1"/>
  <c r="F407" i="1"/>
  <c r="E407" i="1" s="1"/>
  <c r="F277" i="1"/>
  <c r="E277" i="1" s="1"/>
  <c r="F278" i="1"/>
  <c r="E278" i="1" s="1"/>
  <c r="F263" i="1"/>
  <c r="E263" i="1" s="1"/>
  <c r="F226" i="1"/>
  <c r="E226" i="1" s="1"/>
  <c r="F225" i="1"/>
  <c r="E225" i="1" s="1"/>
  <c r="F236" i="1"/>
  <c r="E236" i="1" s="1"/>
  <c r="F230" i="1"/>
  <c r="E230" i="1" s="1"/>
  <c r="F238" i="1"/>
  <c r="E238" i="1" s="1"/>
  <c r="E232" i="1"/>
  <c r="F131" i="1"/>
  <c r="E131" i="1" s="1"/>
  <c r="F112" i="1"/>
  <c r="E112" i="1" s="1"/>
  <c r="F111" i="1"/>
  <c r="E111" i="1" s="1"/>
  <c r="F113" i="1"/>
  <c r="E113" i="1" s="1"/>
  <c r="F140" i="1"/>
  <c r="E140" i="1" s="1"/>
  <c r="F135" i="1"/>
  <c r="E135" i="1" s="1"/>
  <c r="F115" i="1"/>
  <c r="E115" i="1" s="1"/>
  <c r="F116" i="1"/>
  <c r="E116" i="1" s="1"/>
  <c r="F117" i="1"/>
  <c r="E117" i="1" s="1"/>
  <c r="F118" i="1"/>
  <c r="E118" i="1" s="1"/>
  <c r="F123" i="1"/>
  <c r="E123" i="1" s="1"/>
  <c r="F141" i="1"/>
  <c r="E141" i="1" s="1"/>
  <c r="F137" i="1"/>
  <c r="E137" i="1" s="1"/>
  <c r="F127" i="1"/>
  <c r="E127" i="1" s="1"/>
  <c r="F142" i="1"/>
  <c r="E142" i="1" s="1"/>
  <c r="F132" i="1"/>
  <c r="E132" i="1" s="1"/>
  <c r="F138" i="1"/>
  <c r="E138" i="1" s="1"/>
  <c r="F121" i="1"/>
  <c r="E121" i="1" s="1"/>
  <c r="F146" i="1"/>
  <c r="E146" i="1" s="1"/>
  <c r="F145" i="1"/>
  <c r="E145" i="1" s="1"/>
  <c r="F144" i="1"/>
  <c r="E144" i="1" s="1"/>
  <c r="F143" i="1"/>
  <c r="E143" i="1" s="1"/>
  <c r="F147" i="1"/>
  <c r="E147" i="1" s="1"/>
  <c r="F148" i="1"/>
  <c r="E148" i="1" s="1"/>
  <c r="F149" i="1"/>
  <c r="E149" i="1" s="1"/>
  <c r="F151" i="1"/>
  <c r="E151" i="1" s="1"/>
  <c r="F152" i="1"/>
  <c r="E152" i="1" s="1"/>
  <c r="F153" i="1"/>
  <c r="E153" i="1" s="1"/>
  <c r="F155" i="1"/>
  <c r="E155" i="1" s="1"/>
  <c r="F163" i="1"/>
  <c r="E163" i="1" s="1"/>
  <c r="F161" i="1"/>
  <c r="E161" i="1" s="1"/>
  <c r="F160" i="1"/>
  <c r="E160" i="1" s="1"/>
  <c r="F158" i="1"/>
  <c r="E158" i="1" s="1"/>
  <c r="F159" i="1"/>
  <c r="E159" i="1" s="1"/>
  <c r="F187" i="1"/>
  <c r="E187" i="1" s="1"/>
  <c r="F177" i="1"/>
  <c r="E177" i="1" s="1"/>
  <c r="F178" i="1"/>
  <c r="E178" i="1" s="1"/>
  <c r="F192" i="1"/>
  <c r="E192" i="1" s="1"/>
  <c r="F188" i="1"/>
  <c r="E188" i="1" s="1"/>
  <c r="F185" i="1"/>
  <c r="E185" i="1" s="1"/>
  <c r="F170" i="1"/>
  <c r="E170" i="1" s="1"/>
  <c r="F167" i="1"/>
  <c r="E167" i="1" s="1"/>
  <c r="F186" i="1"/>
  <c r="E186" i="1" s="1"/>
  <c r="F184" i="1"/>
  <c r="E184" i="1" s="1"/>
  <c r="F168" i="1"/>
  <c r="E168" i="1" s="1"/>
  <c r="F166" i="1"/>
  <c r="E166" i="1" s="1"/>
  <c r="F164" i="1"/>
  <c r="E164" i="1" s="1"/>
  <c r="F165" i="1"/>
  <c r="E165" i="1" s="1"/>
  <c r="F175" i="1"/>
  <c r="E175" i="1" s="1"/>
  <c r="F174" i="1"/>
  <c r="E174" i="1" s="1"/>
  <c r="F181" i="1"/>
  <c r="E181" i="1" s="1"/>
  <c r="F191" i="1"/>
  <c r="E191" i="1" s="1"/>
  <c r="F190" i="1"/>
  <c r="E190" i="1" s="1"/>
  <c r="F189" i="1"/>
  <c r="E189" i="1" s="1"/>
  <c r="F182" i="1"/>
  <c r="E182" i="1" s="1"/>
  <c r="F180" i="1"/>
  <c r="E180" i="1" s="1"/>
  <c r="F179" i="1"/>
  <c r="E179" i="1" s="1"/>
  <c r="F172" i="1"/>
  <c r="E172" i="1" s="1"/>
  <c r="F171" i="1"/>
  <c r="E171" i="1" s="1"/>
  <c r="F173" i="1"/>
  <c r="E173" i="1" s="1"/>
  <c r="F199" i="1"/>
  <c r="E199" i="1" s="1"/>
  <c r="F195" i="1"/>
  <c r="E195" i="1" s="1"/>
  <c r="F196" i="1"/>
  <c r="E196" i="1" s="1"/>
  <c r="F197" i="1"/>
  <c r="E197" i="1" s="1"/>
  <c r="F202" i="1"/>
  <c r="E202" i="1" s="1"/>
  <c r="F217" i="1"/>
  <c r="E217" i="1" s="1"/>
  <c r="F215" i="1"/>
  <c r="E215" i="1" s="1"/>
  <c r="F210" i="1"/>
  <c r="E210" i="1" s="1"/>
  <c r="F207" i="1"/>
  <c r="E207" i="1" s="1"/>
  <c r="F208" i="1"/>
  <c r="E208" i="1" s="1"/>
  <c r="F205" i="1"/>
  <c r="E205" i="1" s="1"/>
  <c r="F214" i="1"/>
  <c r="E214" i="1" s="1"/>
  <c r="F212" i="1"/>
  <c r="E212" i="1" s="1"/>
  <c r="F216" i="1"/>
  <c r="E216" i="1" s="1"/>
  <c r="F35" i="1"/>
  <c r="E35" i="1" s="1"/>
  <c r="F103" i="1"/>
  <c r="E103" i="1" s="1"/>
  <c r="E4509" i="1"/>
  <c r="E4506" i="1"/>
  <c r="E4505" i="1"/>
  <c r="E4498" i="1"/>
  <c r="E4493" i="1"/>
  <c r="E4487" i="1"/>
  <c r="E4500" i="1"/>
  <c r="E4499" i="1"/>
  <c r="F4532" i="1"/>
  <c r="E4532" i="1" s="1"/>
  <c r="F4342" i="1"/>
  <c r="E4342" i="1" s="1"/>
  <c r="F4380" i="1"/>
  <c r="E4380" i="1" s="1"/>
  <c r="E4381" i="1"/>
  <c r="F4382" i="1"/>
  <c r="E4382" i="1" s="1"/>
  <c r="F4387" i="1"/>
  <c r="E4387" i="1" s="1"/>
  <c r="E4575" i="1"/>
  <c r="E4496" i="1"/>
  <c r="E4480" i="1"/>
  <c r="E4460" i="1"/>
  <c r="E4467" i="1"/>
  <c r="E4431" i="1"/>
  <c r="F4353" i="1"/>
  <c r="E4353" i="1" s="1"/>
  <c r="F4277" i="1"/>
  <c r="E4277" i="1" s="1"/>
  <c r="F4248" i="1"/>
  <c r="E4248" i="1" s="1"/>
  <c r="F4240" i="1"/>
  <c r="E4240" i="1" s="1"/>
  <c r="E1818" i="1"/>
  <c r="F4184" i="1"/>
  <c r="E4184" i="1" s="1"/>
  <c r="F4165" i="1"/>
  <c r="E4165" i="1" s="1"/>
  <c r="F511" i="1" l="1"/>
  <c r="E511" i="1" s="1"/>
  <c r="F1901" i="1"/>
  <c r="E1901" i="1" s="1"/>
  <c r="F1920" i="1"/>
  <c r="E1920" i="1" s="1"/>
  <c r="E1917" i="1"/>
  <c r="E1813" i="1"/>
  <c r="F4316" i="1"/>
  <c r="E4316" i="1" s="1"/>
  <c r="E4314" i="1"/>
  <c r="F4310" i="1"/>
  <c r="E4310" i="1" s="1"/>
  <c r="E4297" i="1"/>
  <c r="E4294" i="1"/>
  <c r="F4293" i="1"/>
  <c r="E4293" i="1" s="1"/>
  <c r="F4290" i="1"/>
  <c r="E4290" i="1" s="1"/>
  <c r="F4351" i="1"/>
  <c r="E4351" i="1" s="1"/>
  <c r="F1878" i="1"/>
  <c r="E1878" i="1" s="1"/>
  <c r="F1389" i="1"/>
  <c r="E1389" i="1" s="1"/>
  <c r="F1315" i="1"/>
  <c r="E1315" i="1" s="1"/>
  <c r="E1856" i="1" l="1"/>
  <c r="F4319" i="1"/>
  <c r="E4319" i="1" s="1"/>
  <c r="E1828" i="1"/>
  <c r="F3452" i="1"/>
  <c r="E3452" i="1" s="1"/>
  <c r="E2565" i="1"/>
  <c r="F1819" i="1"/>
  <c r="E1819" i="1" s="1"/>
  <c r="F2145" i="1"/>
  <c r="F4289" i="1"/>
  <c r="E4289" i="1" s="1"/>
  <c r="F1470" i="1"/>
  <c r="E1882" i="1"/>
  <c r="F696" i="1"/>
  <c r="E696" i="1" s="1"/>
  <c r="F4262" i="1"/>
  <c r="E4262" i="1" s="1"/>
  <c r="E1860" i="1"/>
  <c r="E1858" i="1"/>
  <c r="F1857" i="1"/>
  <c r="E1857" i="1" s="1"/>
  <c r="F2163" i="1"/>
  <c r="E4592" i="1"/>
  <c r="F4388" i="1"/>
  <c r="E4388" i="1" s="1"/>
  <c r="E4591" i="1"/>
  <c r="E4475" i="1"/>
  <c r="F4545" i="1"/>
  <c r="E4545" i="1" s="1"/>
  <c r="E4579" i="1"/>
  <c r="E4580" i="1"/>
  <c r="F4354" i="1"/>
  <c r="E4354" i="1" s="1"/>
  <c r="E4447" i="1"/>
  <c r="E4202" i="1"/>
  <c r="E2570" i="1"/>
  <c r="F1786" i="1" l="1"/>
  <c r="E1786" i="1" s="1"/>
  <c r="F1211" i="1"/>
  <c r="E1211" i="1" s="1"/>
  <c r="F2380" i="1"/>
  <c r="E2380" i="1" s="1"/>
  <c r="F2208" i="1"/>
  <c r="E2208" i="1" s="1"/>
  <c r="F2677" i="1"/>
  <c r="E2677" i="1" s="1"/>
  <c r="F1264" i="1"/>
  <c r="E1264" i="1" s="1"/>
  <c r="F994" i="1"/>
  <c r="E994" i="1" s="1"/>
  <c r="F3766" i="1"/>
  <c r="E3766" i="1" s="1"/>
  <c r="F293" i="1" l="1"/>
  <c r="E293" i="1" s="1"/>
  <c r="F627" i="1"/>
  <c r="E627" i="1" s="1"/>
  <c r="F671" i="1"/>
  <c r="E671" i="1" s="1"/>
  <c r="F2031" i="1"/>
  <c r="E2031" i="1" s="1"/>
  <c r="F87" i="1"/>
  <c r="E87" i="1" s="1"/>
  <c r="E2558" i="1"/>
  <c r="F2552" i="1"/>
  <c r="E2552" i="1" s="1"/>
  <c r="F2554" i="1"/>
  <c r="E2554" i="1" s="1"/>
  <c r="F3194" i="1"/>
  <c r="E3194" i="1" s="1"/>
  <c r="F3150" i="1"/>
  <c r="E3150" i="1" s="1"/>
  <c r="F3161" i="1"/>
  <c r="E3161" i="1" s="1"/>
  <c r="F3165" i="1"/>
  <c r="E3165" i="1" s="1"/>
  <c r="F1788" i="1"/>
  <c r="E1788" i="1" s="1"/>
  <c r="F3787" i="1"/>
  <c r="E3787" i="1" s="1"/>
  <c r="F3740" i="1"/>
  <c r="E3740" i="1" s="1"/>
  <c r="F3737" i="1"/>
  <c r="E3737" i="1" s="1"/>
  <c r="F3724" i="1"/>
  <c r="E3724" i="1" s="1"/>
  <c r="F3725" i="1"/>
  <c r="E3725" i="1" s="1"/>
  <c r="F3721" i="1"/>
  <c r="E3721" i="1" s="1"/>
  <c r="F3719" i="1"/>
  <c r="E3719" i="1" s="1"/>
  <c r="F3728" i="1"/>
  <c r="E3728" i="1" s="1"/>
  <c r="F986" i="1"/>
  <c r="E986" i="1" s="1"/>
  <c r="F1046" i="1"/>
  <c r="E1046" i="1" s="1"/>
  <c r="F1039" i="1"/>
  <c r="E1039" i="1" s="1"/>
  <c r="F444" i="1"/>
  <c r="E444" i="1" s="1"/>
  <c r="F422" i="1"/>
  <c r="E422" i="1" s="1"/>
  <c r="F4118" i="1"/>
  <c r="E4118" i="1" s="1"/>
  <c r="F3617" i="1"/>
  <c r="E3617" i="1" s="1"/>
  <c r="F2197" i="1"/>
  <c r="E2197" i="1" s="1"/>
  <c r="F2195" i="1"/>
  <c r="E2195" i="1" s="1"/>
  <c r="F2194" i="1"/>
  <c r="E2194" i="1" s="1"/>
  <c r="F2180" i="1"/>
  <c r="E2180" i="1" s="1"/>
  <c r="F2199" i="1"/>
  <c r="E2199" i="1" s="1"/>
  <c r="F2191" i="1"/>
  <c r="E2191" i="1" s="1"/>
  <c r="F2190" i="1"/>
  <c r="E2190" i="1" s="1"/>
  <c r="F2184" i="1"/>
  <c r="E2184" i="1" s="1"/>
  <c r="F3836" i="1"/>
  <c r="E3836" i="1" s="1"/>
  <c r="F3833" i="1"/>
  <c r="E3833" i="1" s="1"/>
  <c r="F3832" i="1"/>
  <c r="E3832" i="1" s="1"/>
  <c r="F1518" i="1"/>
  <c r="E1518" i="1" s="1"/>
  <c r="F1515" i="1"/>
  <c r="E1515" i="1" s="1"/>
  <c r="F1507" i="1"/>
  <c r="E1507" i="1" s="1"/>
  <c r="F1502" i="1"/>
  <c r="E1502" i="1" s="1"/>
  <c r="F1505" i="1"/>
  <c r="E1505" i="1" s="1"/>
  <c r="F1503" i="1"/>
  <c r="E1503" i="1" s="1"/>
  <c r="F1500" i="1"/>
  <c r="E1500" i="1" s="1"/>
  <c r="F1516" i="1"/>
  <c r="E1516" i="1" s="1"/>
  <c r="F1523" i="1"/>
  <c r="E1523" i="1" s="1"/>
  <c r="F1524" i="1"/>
  <c r="E1524" i="1" s="1"/>
  <c r="F1467" i="1"/>
  <c r="E1467" i="1" s="1"/>
  <c r="F1466" i="1"/>
  <c r="E1466" i="1" s="1"/>
  <c r="F1497" i="1"/>
  <c r="E1497" i="1" s="1"/>
  <c r="F1481" i="1"/>
  <c r="E1481" i="1" s="1"/>
  <c r="E1483" i="1"/>
  <c r="F3078" i="1"/>
  <c r="E3078" i="1" s="1"/>
  <c r="F3036" i="1"/>
  <c r="E3036" i="1" s="1"/>
  <c r="F3045" i="1"/>
  <c r="E3045" i="1" s="1"/>
  <c r="F2984" i="1"/>
  <c r="E2984" i="1" s="1"/>
  <c r="F2969" i="1"/>
  <c r="E2969" i="1" s="1"/>
  <c r="F367" i="1"/>
  <c r="E367" i="1" s="1"/>
  <c r="F388" i="1"/>
  <c r="E388" i="1" s="1"/>
  <c r="F1154" i="1"/>
  <c r="E1154" i="1" s="1"/>
  <c r="F1176" i="1"/>
  <c r="E1176" i="1" s="1"/>
  <c r="F1179" i="1"/>
  <c r="E1179" i="1" s="1"/>
  <c r="F1184" i="1"/>
  <c r="E1184" i="1" s="1"/>
  <c r="F1185" i="1"/>
  <c r="E1185" i="1" s="1"/>
  <c r="F1121" i="1"/>
  <c r="E1121" i="1" s="1"/>
  <c r="F2091" i="1"/>
  <c r="E2091" i="1" s="1"/>
  <c r="F2080" i="1"/>
  <c r="E2080" i="1" s="1"/>
  <c r="F2073" i="1"/>
  <c r="E2073" i="1" s="1"/>
  <c r="F2071" i="1"/>
  <c r="E2071" i="1" s="1"/>
  <c r="F2052" i="1"/>
  <c r="E2052" i="1" s="1"/>
  <c r="F2040" i="1"/>
  <c r="E2040" i="1" s="1"/>
  <c r="F2062" i="1"/>
  <c r="E2062" i="1" s="1"/>
  <c r="F2054" i="1"/>
  <c r="E2054" i="1" s="1"/>
  <c r="F2053" i="1"/>
  <c r="E2053" i="1" s="1"/>
  <c r="F2043" i="1"/>
  <c r="E2043" i="1" s="1"/>
  <c r="F1939" i="1"/>
  <c r="E1939" i="1" s="1"/>
  <c r="F1974" i="1"/>
  <c r="E1974" i="1" s="1"/>
  <c r="F1968" i="1"/>
  <c r="E1968" i="1" s="1"/>
  <c r="E2082" i="1"/>
  <c r="F855" i="1"/>
  <c r="E855" i="1" s="1"/>
  <c r="F838" i="1"/>
  <c r="E838" i="1" s="1"/>
  <c r="F832" i="1"/>
  <c r="E832" i="1" s="1"/>
  <c r="F831" i="1"/>
  <c r="E831" i="1" s="1"/>
  <c r="F1207" i="1"/>
  <c r="E1207" i="1" s="1"/>
  <c r="F1370" i="1"/>
  <c r="E1370" i="1" s="1"/>
  <c r="F1450" i="1"/>
  <c r="E1450" i="1" s="1"/>
  <c r="F552" i="1"/>
  <c r="E552" i="1" s="1"/>
  <c r="F2639" i="1"/>
  <c r="E2639" i="1" s="1"/>
  <c r="F1509" i="1"/>
  <c r="E1509" i="1" s="1"/>
  <c r="F2186" i="1"/>
  <c r="E2186" i="1" s="1"/>
  <c r="F1710" i="1"/>
  <c r="E1710" i="1" s="1"/>
  <c r="F3856" i="1"/>
  <c r="E3856" i="1" s="1"/>
  <c r="F3255" i="1"/>
  <c r="E3255" i="1" s="1"/>
  <c r="F3840" i="1"/>
  <c r="E3840" i="1" s="1"/>
  <c r="F1588" i="1"/>
  <c r="E1588" i="1" s="1"/>
  <c r="F3819" i="1"/>
  <c r="E3819" i="1" s="1"/>
  <c r="F782" i="1"/>
  <c r="E782" i="1" s="1"/>
  <c r="F856" i="1"/>
  <c r="E856" i="1" s="1"/>
  <c r="F781" i="1"/>
  <c r="E781" i="1" s="1"/>
  <c r="F2776" i="1"/>
  <c r="E2776" i="1" s="1"/>
  <c r="F1667" i="1"/>
  <c r="E1667" i="1" s="1"/>
  <c r="F1135" i="1"/>
  <c r="E1135" i="1" s="1"/>
  <c r="E1587" i="1"/>
  <c r="F462" i="1"/>
  <c r="E462" i="1" s="1"/>
  <c r="F570" i="1"/>
  <c r="E570" i="1" s="1"/>
  <c r="F2775" i="1"/>
  <c r="E2775" i="1" s="1"/>
  <c r="F569" i="1"/>
  <c r="E569" i="1" s="1"/>
  <c r="F1066" i="1"/>
  <c r="E1066" i="1" s="1"/>
  <c r="F1078" i="1"/>
  <c r="E1078" i="1" s="1"/>
  <c r="F4125" i="1"/>
  <c r="E4125" i="1" s="1"/>
  <c r="F3622" i="1"/>
  <c r="E3622" i="1" s="1"/>
  <c r="F4009" i="1"/>
  <c r="E4009" i="1" s="1"/>
  <c r="F1980" i="1"/>
  <c r="E1980" i="1" s="1"/>
  <c r="F631" i="1"/>
  <c r="E631" i="1" s="1"/>
  <c r="F824" i="1"/>
  <c r="E824" i="1" s="1"/>
  <c r="F780" i="1"/>
  <c r="E780" i="1" s="1"/>
  <c r="F779" i="1"/>
  <c r="E779" i="1" s="1"/>
  <c r="F218" i="1"/>
  <c r="E218" i="1" s="1"/>
  <c r="F2100" i="1"/>
  <c r="E2100" i="1" s="1"/>
  <c r="E1842" i="1"/>
  <c r="F1542" i="1"/>
  <c r="E1542" i="1" s="1"/>
  <c r="F778" i="1"/>
  <c r="E778" i="1" s="1"/>
  <c r="F1134" i="1"/>
  <c r="E1134" i="1" s="1"/>
  <c r="E3291" i="1"/>
  <c r="F4199" i="1"/>
  <c r="E4199" i="1" s="1"/>
  <c r="F2788" i="1"/>
  <c r="E2788" i="1" s="1"/>
  <c r="F359" i="1"/>
  <c r="E359" i="1" s="1"/>
  <c r="F2888" i="1"/>
  <c r="E2888" i="1" s="1"/>
  <c r="F2887" i="1"/>
  <c r="E2887" i="1" s="1"/>
  <c r="F2886" i="1"/>
  <c r="E2886" i="1" s="1"/>
  <c r="F4329" i="1"/>
  <c r="E4329" i="1" s="1"/>
  <c r="E4510" i="1"/>
  <c r="F4063" i="1"/>
  <c r="E4063" i="1" s="1"/>
  <c r="F4402" i="1"/>
  <c r="E4402" i="1" s="1"/>
  <c r="F4401" i="1"/>
  <c r="E4401" i="1" s="1"/>
  <c r="F4399" i="1"/>
  <c r="E4399" i="1" s="1"/>
  <c r="F4400" i="1"/>
  <c r="E4400" i="1" s="1"/>
  <c r="F4327" i="1"/>
  <c r="E4327" i="1" s="1"/>
  <c r="F2139" i="1"/>
  <c r="E2139" i="1" s="1"/>
  <c r="F38" i="1"/>
  <c r="E38" i="1" s="1"/>
  <c r="F4007" i="1"/>
  <c r="E4007" i="1" s="1"/>
  <c r="F3801" i="1"/>
  <c r="E3801" i="1" s="1"/>
  <c r="F1023" i="1"/>
  <c r="E1023" i="1" s="1"/>
  <c r="F1458" i="1"/>
  <c r="E1458" i="1" s="1"/>
  <c r="F1048" i="1"/>
  <c r="E1048" i="1" s="1"/>
  <c r="F1979" i="1"/>
  <c r="E1979" i="1" s="1"/>
  <c r="F578" i="1"/>
  <c r="E578" i="1" s="1"/>
  <c r="F690" i="1"/>
  <c r="E690" i="1" s="1"/>
  <c r="F4229" i="1"/>
  <c r="E4229" i="1" s="1"/>
  <c r="F4227" i="1"/>
  <c r="E4227" i="1" s="1"/>
  <c r="F434" i="1"/>
  <c r="E434" i="1" s="1"/>
  <c r="F443" i="1"/>
  <c r="E443" i="1" s="1"/>
  <c r="F1098" i="1"/>
  <c r="E1098" i="1" s="1"/>
  <c r="F461" i="1"/>
  <c r="E461" i="1" s="1"/>
  <c r="F1063" i="1"/>
  <c r="E1063" i="1" s="1"/>
  <c r="F3135" i="1"/>
  <c r="E3135" i="1" s="1"/>
  <c r="F2374" i="1"/>
  <c r="E2374" i="1" s="1"/>
  <c r="F3163" i="1"/>
  <c r="E3163" i="1" s="1"/>
  <c r="F3162" i="1"/>
  <c r="E3162" i="1" s="1"/>
  <c r="F4228" i="1"/>
  <c r="E4228" i="1" s="1"/>
  <c r="F2493" i="1"/>
  <c r="E2493" i="1" s="1"/>
  <c r="F1498" i="1"/>
  <c r="E1498" i="1" s="1"/>
  <c r="F3203" i="1"/>
  <c r="E3203" i="1" s="1"/>
  <c r="F1077" i="1"/>
  <c r="E1077" i="1" s="1"/>
  <c r="F688" i="1"/>
  <c r="E688" i="1" s="1"/>
  <c r="F4603" i="1"/>
  <c r="E4603" i="1" s="1"/>
  <c r="F3613" i="1"/>
  <c r="E3613" i="1" s="1"/>
  <c r="F2919" i="1"/>
  <c r="E2919" i="1" s="1"/>
  <c r="F2817" i="1"/>
  <c r="E2817" i="1" s="1"/>
  <c r="F2722" i="1"/>
  <c r="E2722" i="1" s="1"/>
  <c r="F2721" i="1"/>
  <c r="E2721" i="1" s="1"/>
  <c r="F2500" i="1"/>
  <c r="E2500" i="1" s="1"/>
  <c r="F1717" i="1"/>
  <c r="E1717" i="1" s="1"/>
  <c r="F1610" i="1"/>
  <c r="E1610" i="1" s="1"/>
  <c r="F879" i="1"/>
  <c r="E879" i="1" s="1"/>
  <c r="F863" i="1"/>
  <c r="E863" i="1" s="1"/>
  <c r="F286" i="1"/>
  <c r="E286" i="1" s="1"/>
  <c r="F3266" i="1"/>
  <c r="E3266" i="1" s="1"/>
  <c r="F3254" i="1"/>
  <c r="E3254" i="1" s="1"/>
  <c r="F1640" i="1"/>
  <c r="E1640" i="1" s="1"/>
  <c r="E4094" i="1"/>
  <c r="E2774" i="1"/>
  <c r="F3050" i="1"/>
  <c r="E3050" i="1" s="1"/>
  <c r="F924" i="1"/>
  <c r="E924" i="1" s="1"/>
  <c r="F1586" i="1"/>
  <c r="E1586" i="1" s="1"/>
  <c r="F1097" i="1"/>
  <c r="E1097" i="1" s="1"/>
  <c r="F1022" i="1"/>
  <c r="E1022" i="1" s="1"/>
  <c r="F459" i="1"/>
  <c r="E459" i="1" s="1"/>
  <c r="F3800" i="1"/>
  <c r="E3800" i="1" s="1"/>
  <c r="F2531" i="1"/>
  <c r="E2531" i="1" s="1"/>
  <c r="F1978" i="1"/>
  <c r="E1978" i="1" s="1"/>
  <c r="F1977" i="1"/>
  <c r="E1977" i="1" s="1"/>
  <c r="F658" i="1"/>
  <c r="E658" i="1" s="1"/>
  <c r="F2902" i="1"/>
  <c r="E2902" i="1" s="1"/>
  <c r="F2986" i="1"/>
  <c r="E2986" i="1" s="1"/>
  <c r="F3085" i="1"/>
  <c r="E3085" i="1" s="1"/>
  <c r="F109" i="1"/>
  <c r="E109" i="1" s="1"/>
  <c r="F2410" i="1"/>
  <c r="E2410" i="1" s="1"/>
  <c r="F4071" i="1"/>
  <c r="E4071" i="1" s="1"/>
  <c r="F2423" i="1"/>
  <c r="E2423" i="1" s="1"/>
  <c r="E1893" i="1"/>
  <c r="F1794" i="1"/>
  <c r="E1794" i="1" s="1"/>
  <c r="F1276" i="1"/>
  <c r="E1276" i="1" s="1"/>
  <c r="F3752" i="1"/>
  <c r="E3752" i="1" s="1"/>
  <c r="F4325" i="1"/>
  <c r="E4325" i="1" s="1"/>
  <c r="F3739" i="1"/>
  <c r="E3739" i="1" s="1"/>
  <c r="F3265" i="1"/>
  <c r="E3265" i="1" s="1"/>
  <c r="F2099" i="1"/>
  <c r="E2099" i="1" s="1"/>
  <c r="F4398" i="1"/>
  <c r="E4398" i="1" s="1"/>
  <c r="F4397" i="1"/>
  <c r="E4397" i="1" s="1"/>
  <c r="F776" i="1"/>
  <c r="E776" i="1" s="1"/>
  <c r="F4135" i="1"/>
  <c r="E4135" i="1" s="1"/>
  <c r="F4396" i="1"/>
  <c r="E4396" i="1" s="1"/>
  <c r="F4376" i="1"/>
  <c r="E4376" i="1" s="1"/>
  <c r="F139" i="1"/>
  <c r="E139" i="1" s="1"/>
  <c r="F3084" i="1"/>
  <c r="E3084" i="1" s="1"/>
  <c r="F4198" i="1"/>
  <c r="E4198" i="1" s="1"/>
  <c r="F4197" i="1"/>
  <c r="E4197" i="1" s="1"/>
  <c r="F42" i="1"/>
  <c r="E42" i="1" s="1"/>
  <c r="F4196" i="1"/>
  <c r="E4196" i="1" s="1"/>
  <c r="F2251" i="1"/>
  <c r="E2251" i="1" s="1"/>
  <c r="E4473" i="1"/>
  <c r="F4694" i="1"/>
  <c r="E4694" i="1" s="1"/>
  <c r="F553" i="1"/>
  <c r="E553" i="1" s="1"/>
  <c r="F1166" i="1"/>
  <c r="E1166" i="1" s="1"/>
  <c r="F2820" i="1"/>
  <c r="E2820" i="1" s="1"/>
  <c r="F3546" i="1"/>
  <c r="E3546" i="1" s="1"/>
  <c r="F2378" i="1"/>
  <c r="E2378" i="1" s="1"/>
  <c r="F1208" i="1"/>
  <c r="E1208" i="1" s="1"/>
  <c r="F1209" i="1"/>
  <c r="E1209" i="1" s="1"/>
  <c r="F2549" i="1"/>
  <c r="E2549" i="1" s="1"/>
  <c r="F2939" i="1"/>
  <c r="E2939" i="1" s="1"/>
  <c r="F2739" i="1"/>
  <c r="E2739" i="1" s="1"/>
  <c r="F1457" i="1"/>
  <c r="E1457" i="1" s="1"/>
  <c r="F1456" i="1"/>
  <c r="E1456" i="1" s="1"/>
  <c r="F2388" i="1"/>
  <c r="E2388" i="1" s="1"/>
  <c r="F1216" i="1"/>
  <c r="E1216" i="1" s="1"/>
  <c r="F2572" i="1"/>
  <c r="E2572" i="1" s="1"/>
  <c r="F4614" i="1"/>
  <c r="E4614" i="1" s="1"/>
  <c r="F3661" i="1"/>
  <c r="E3661" i="1" s="1"/>
  <c r="F873" i="1"/>
  <c r="E873" i="1" s="1"/>
  <c r="F546" i="1"/>
  <c r="E546" i="1" s="1"/>
  <c r="F291" i="1"/>
  <c r="E291" i="1" s="1"/>
  <c r="F304" i="1"/>
  <c r="E304" i="1" s="1"/>
  <c r="E519" i="1"/>
  <c r="F538" i="1"/>
  <c r="E538" i="1" s="1"/>
  <c r="E537" i="1"/>
  <c r="F536" i="1"/>
  <c r="E536" i="1" s="1"/>
  <c r="F984" i="1"/>
  <c r="E984" i="1" s="1"/>
  <c r="E4596" i="1"/>
  <c r="E4568" i="1"/>
  <c r="E4508" i="1"/>
  <c r="F4258" i="1"/>
  <c r="E4258" i="1" s="1"/>
  <c r="F4324" i="1"/>
  <c r="E4324" i="1" s="1"/>
  <c r="E4595" i="1"/>
  <c r="F4395" i="1"/>
  <c r="E4395" i="1" s="1"/>
  <c r="F4257" i="1"/>
  <c r="E4257" i="1" s="1"/>
  <c r="F4256" i="1"/>
  <c r="E4256" i="1" s="1"/>
  <c r="F4394" i="1"/>
  <c r="E4394" i="1" s="1"/>
  <c r="F4255" i="1"/>
  <c r="E4255" i="1" s="1"/>
  <c r="F1223" i="1"/>
  <c r="E1223" i="1" s="1"/>
  <c r="F923" i="1"/>
  <c r="E923" i="1" s="1"/>
  <c r="F4594" i="1"/>
  <c r="E4594" i="1" s="1"/>
  <c r="F2395" i="1"/>
  <c r="E2395" i="1" s="1"/>
  <c r="F976" i="1"/>
  <c r="E976" i="1" s="1"/>
  <c r="F3660" i="1"/>
  <c r="E3660" i="1" s="1"/>
  <c r="F2524" i="1"/>
  <c r="E2524" i="1" s="1"/>
  <c r="F2098" i="1"/>
  <c r="E2098" i="1" s="1"/>
  <c r="F2097" i="1"/>
  <c r="E2097" i="1" s="1"/>
  <c r="F3818" i="1"/>
  <c r="E3818" i="1" s="1"/>
  <c r="F1327" i="1"/>
  <c r="F1325" i="1"/>
  <c r="F1320" i="1"/>
  <c r="F1313" i="1"/>
  <c r="F1312" i="1"/>
  <c r="F1386" i="1"/>
  <c r="E1386" i="1" s="1"/>
  <c r="F1385" i="1"/>
  <c r="E1385" i="1" s="1"/>
  <c r="F1384" i="1"/>
  <c r="E1384" i="1" s="1"/>
  <c r="F4392" i="1"/>
  <c r="E4392" i="1" s="1"/>
  <c r="F169" i="1"/>
  <c r="E169" i="1" s="1"/>
  <c r="F823" i="1"/>
  <c r="E823" i="1" s="1"/>
  <c r="F1585" i="1"/>
  <c r="E1585" i="1" s="1"/>
  <c r="F2037" i="1"/>
  <c r="E2037" i="1" s="1"/>
  <c r="E1892" i="1"/>
  <c r="F2136" i="1"/>
  <c r="E2136" i="1" s="1"/>
  <c r="F577" i="1"/>
  <c r="E577" i="1" s="1"/>
  <c r="F136" i="1"/>
  <c r="E136" i="1" s="1"/>
  <c r="F134" i="1"/>
  <c r="E134" i="1" s="1"/>
  <c r="F133" i="1"/>
  <c r="E133" i="1" s="1"/>
  <c r="F775" i="1"/>
  <c r="E775" i="1" s="1"/>
  <c r="F3318" i="1"/>
  <c r="E3318" i="1" s="1"/>
  <c r="F3317" i="1"/>
  <c r="E3317" i="1" s="1"/>
  <c r="F3316" i="1"/>
  <c r="E3316" i="1" s="1"/>
  <c r="E1839" i="1"/>
  <c r="F1133" i="1"/>
  <c r="E1133" i="1" s="1"/>
  <c r="F130" i="1"/>
  <c r="E130" i="1" s="1"/>
  <c r="F638" i="1"/>
  <c r="E638" i="1" s="1"/>
  <c r="F774" i="1"/>
  <c r="E774" i="1" s="1"/>
  <c r="F2422" i="1"/>
  <c r="E2422" i="1" s="1"/>
  <c r="F86" i="1"/>
  <c r="E86" i="1" s="1"/>
  <c r="F2522" i="1"/>
  <c r="E2522" i="1" s="1"/>
  <c r="F1716" i="1"/>
  <c r="E1716" i="1" s="1"/>
  <c r="F1609" i="1"/>
  <c r="E1609" i="1" s="1"/>
  <c r="F878" i="1"/>
  <c r="E878" i="1" s="1"/>
  <c r="F1838" i="1"/>
  <c r="E1838" i="1" s="1"/>
  <c r="F2005" i="1"/>
  <c r="E2005" i="1" s="1"/>
  <c r="F2004" i="1"/>
  <c r="E2004" i="1" s="1"/>
  <c r="F2409" i="1"/>
  <c r="E2409" i="1" s="1"/>
  <c r="F3249" i="1"/>
  <c r="E3249" i="1" s="1"/>
  <c r="F1584" i="1"/>
  <c r="E1584" i="1" s="1"/>
  <c r="F4323" i="1"/>
  <c r="E4323" i="1" s="1"/>
  <c r="F4564" i="1"/>
  <c r="E4564" i="1" s="1"/>
  <c r="F853" i="1"/>
  <c r="E853" i="1" s="1"/>
  <c r="F773" i="1"/>
  <c r="E773" i="1" s="1"/>
  <c r="F3160" i="1"/>
  <c r="E3160" i="1" s="1"/>
  <c r="F4124" i="1"/>
  <c r="E4124" i="1" s="1"/>
  <c r="F2814" i="1"/>
  <c r="E2814" i="1" s="1"/>
  <c r="F3202" i="1"/>
  <c r="E3202" i="1" s="1"/>
  <c r="F4051" i="1"/>
  <c r="E4051" i="1" s="1"/>
  <c r="F2253" i="1"/>
  <c r="E2253" i="1" s="1"/>
  <c r="F1228" i="1"/>
  <c r="E1228" i="1" s="1"/>
  <c r="F129" i="1"/>
  <c r="E129" i="1" s="1"/>
  <c r="F1976" i="1"/>
  <c r="E1976" i="1" s="1"/>
  <c r="F1975" i="1"/>
  <c r="E1975" i="1" s="1"/>
  <c r="F92" i="1"/>
  <c r="E92" i="1" s="1"/>
  <c r="F91" i="1"/>
  <c r="E91" i="1" s="1"/>
  <c r="F637" i="1"/>
  <c r="E637" i="1" s="1"/>
  <c r="F2096" i="1"/>
  <c r="E2096" i="1" s="1"/>
  <c r="F2095" i="1"/>
  <c r="E2095" i="1" s="1"/>
  <c r="F1196" i="1"/>
  <c r="E1196" i="1" s="1"/>
  <c r="F4032" i="1"/>
  <c r="E4032" i="1" s="1"/>
  <c r="F4031" i="1"/>
  <c r="E4031" i="1" s="1"/>
  <c r="F852" i="1"/>
  <c r="E852" i="1" s="1"/>
  <c r="F4050" i="1"/>
  <c r="E4050" i="1" s="1"/>
  <c r="F4030" i="1"/>
  <c r="E4030" i="1" s="1"/>
  <c r="F128" i="1"/>
  <c r="E128" i="1" s="1"/>
  <c r="F2131" i="1"/>
  <c r="E2131" i="1" s="1"/>
  <c r="F2813" i="1"/>
  <c r="E2813" i="1" s="1"/>
  <c r="F1709" i="1"/>
  <c r="E1709" i="1" s="1"/>
  <c r="F1708" i="1"/>
  <c r="E1708" i="1" s="1"/>
  <c r="F410" i="1"/>
  <c r="E410" i="1" s="1"/>
  <c r="F850" i="1"/>
  <c r="E850" i="1" s="1"/>
  <c r="F849" i="1"/>
  <c r="E849" i="1" s="1"/>
  <c r="F848" i="1"/>
  <c r="E848" i="1" s="1"/>
  <c r="F1604" i="1"/>
  <c r="E1604" i="1" s="1"/>
  <c r="F2114" i="1"/>
  <c r="E2114" i="1" s="1"/>
  <c r="F562" i="1"/>
  <c r="E562" i="1" s="1"/>
  <c r="F312" i="1"/>
  <c r="E312" i="1" s="1"/>
  <c r="F2314" i="1"/>
  <c r="E2314" i="1" s="1"/>
  <c r="F2130" i="1"/>
  <c r="E2130" i="1" s="1"/>
  <c r="F846" i="1"/>
  <c r="E846" i="1" s="1"/>
  <c r="F648" i="1"/>
  <c r="E648" i="1" s="1"/>
  <c r="F311" i="1"/>
  <c r="E311" i="1" s="1"/>
  <c r="F1891" i="1"/>
  <c r="E1891" i="1" s="1"/>
  <c r="F4321" i="1"/>
  <c r="E4321" i="1" s="1"/>
  <c r="F3552" i="1"/>
  <c r="E3552" i="1" s="1"/>
  <c r="F213" i="1"/>
  <c r="E213" i="1" s="1"/>
  <c r="F772" i="1"/>
  <c r="E772" i="1" s="1"/>
  <c r="F3817" i="1"/>
  <c r="E3817" i="1" s="1"/>
  <c r="F1008" i="1"/>
  <c r="E1008" i="1" s="1"/>
  <c r="F952" i="1"/>
  <c r="E952" i="1" s="1"/>
  <c r="F959" i="1"/>
  <c r="E959" i="1" s="1"/>
  <c r="F3104" i="1"/>
  <c r="E3104" i="1" s="1"/>
  <c r="F4320" i="1"/>
  <c r="E4320" i="1" s="1"/>
  <c r="F4254" i="1"/>
  <c r="E4254" i="1" s="1"/>
  <c r="F1595" i="1"/>
  <c r="E1595" i="1" s="1"/>
  <c r="F1594" i="1"/>
  <c r="E1594" i="1" s="1"/>
  <c r="F4678" i="1"/>
  <c r="E4678" i="1" s="1"/>
  <c r="F946" i="1"/>
  <c r="E946" i="1" s="1"/>
  <c r="F945" i="1"/>
  <c r="E945" i="1" s="1"/>
  <c r="F2876" i="1"/>
  <c r="E2876" i="1" s="1"/>
  <c r="F2875" i="1"/>
  <c r="E2875" i="1" s="1"/>
  <c r="F2874" i="1"/>
  <c r="E2874" i="1" s="1"/>
  <c r="F944" i="1"/>
  <c r="F943" i="1"/>
  <c r="E943" i="1" s="1"/>
  <c r="F1076" i="1"/>
  <c r="E1076" i="1" s="1"/>
  <c r="F2387" i="1"/>
  <c r="E2387" i="1" s="1"/>
  <c r="F4391" i="1"/>
  <c r="E4391" i="1" s="1"/>
  <c r="F4390" i="1"/>
  <c r="E4390" i="1" s="1"/>
  <c r="F4389" i="1"/>
  <c r="E4389" i="1" s="1"/>
  <c r="F3449" i="1"/>
  <c r="E3449" i="1" s="1"/>
  <c r="F922" i="1"/>
  <c r="E922" i="1" s="1"/>
  <c r="E4593" i="1"/>
  <c r="E1837" i="1"/>
  <c r="F4195" i="1"/>
  <c r="E4195" i="1" s="1"/>
  <c r="F1455" i="1"/>
  <c r="E1455" i="1" s="1"/>
  <c r="F3799" i="1"/>
  <c r="E3799" i="1" s="1"/>
  <c r="F3201" i="1"/>
  <c r="E3201" i="1" s="1"/>
  <c r="F1583" i="1"/>
  <c r="E1583" i="1" s="1"/>
  <c r="F499" i="1"/>
  <c r="E499" i="1" s="1"/>
  <c r="F458" i="1"/>
  <c r="E458" i="1" s="1"/>
  <c r="F1075" i="1"/>
  <c r="E1075" i="1" s="1"/>
  <c r="F358" i="1"/>
  <c r="E358" i="1" s="1"/>
  <c r="F1603" i="1"/>
  <c r="E1603" i="1" s="1"/>
  <c r="F4661" i="1"/>
  <c r="E4661" i="1" s="1"/>
  <c r="F3736" i="1"/>
  <c r="E3736" i="1" s="1"/>
  <c r="E4442" i="1"/>
  <c r="F2170" i="1"/>
  <c r="E2170" i="1" s="1"/>
  <c r="F2172" i="1"/>
  <c r="E2172" i="1" s="1"/>
  <c r="F2171" i="1"/>
  <c r="E2171" i="1" s="1"/>
  <c r="E1890" i="1"/>
  <c r="E4507" i="1"/>
  <c r="F4253" i="1"/>
  <c r="E4253" i="1" s="1"/>
  <c r="F3305" i="1"/>
  <c r="E3305" i="1" s="1"/>
  <c r="F2985" i="1"/>
  <c r="E2985" i="1" s="1"/>
  <c r="F356" i="1"/>
  <c r="E356" i="1" s="1"/>
  <c r="F1132" i="1"/>
  <c r="E1132" i="1" s="1"/>
  <c r="F4252" i="1"/>
  <c r="E4252" i="1" s="1"/>
  <c r="E4200" i="1"/>
  <c r="E1868" i="1"/>
  <c r="E4472" i="1"/>
  <c r="F4012" i="1"/>
  <c r="E4012" i="1" s="1"/>
  <c r="F3621" i="1"/>
  <c r="E3621" i="1" s="1"/>
  <c r="F2819" i="1"/>
  <c r="E2819" i="1" s="1"/>
  <c r="F2505" i="1"/>
  <c r="E2505" i="1" s="1"/>
  <c r="F1722" i="1"/>
  <c r="E1722" i="1" s="1"/>
  <c r="F1613" i="1"/>
  <c r="E1613" i="1" s="1"/>
  <c r="F882" i="1"/>
  <c r="E882" i="1" s="1"/>
  <c r="F4686" i="1"/>
  <c r="E4686" i="1" s="1"/>
  <c r="F2885" i="1"/>
  <c r="E2885" i="1" s="1"/>
  <c r="F2884" i="1"/>
  <c r="E2884" i="1" s="1"/>
  <c r="F2883" i="1"/>
  <c r="E2883" i="1" s="1"/>
  <c r="E1866" i="1"/>
  <c r="E1865" i="1"/>
  <c r="F2882" i="1"/>
  <c r="E2882" i="1" s="1"/>
  <c r="F2881" i="1"/>
  <c r="E2881" i="1" s="1"/>
  <c r="F2880" i="1"/>
  <c r="E2880" i="1" s="1"/>
  <c r="F366" i="1"/>
  <c r="E366" i="1" s="1"/>
  <c r="F365" i="1"/>
  <c r="E365" i="1" s="1"/>
  <c r="E1864" i="1"/>
  <c r="F4469" i="1"/>
  <c r="E4469" i="1" s="1"/>
  <c r="F1861" i="1"/>
  <c r="E1861" i="1" s="1"/>
  <c r="E4468" i="1"/>
  <c r="F4223" i="1"/>
  <c r="E4223" i="1" s="1"/>
  <c r="E1863" i="1"/>
  <c r="E2165" i="1"/>
  <c r="E1862" i="1"/>
  <c r="E2164" i="1"/>
  <c r="F3453" i="1"/>
  <c r="E3453" i="1" s="1"/>
  <c r="F4222" i="1"/>
  <c r="E4222" i="1" s="1"/>
  <c r="E4466" i="1"/>
  <c r="E1859" i="1"/>
  <c r="F656" i="1"/>
  <c r="E656" i="1" s="1"/>
  <c r="E2163" i="1"/>
  <c r="F2148" i="1"/>
  <c r="E2148" i="1" s="1"/>
  <c r="F4685" i="1"/>
  <c r="E4685" i="1" s="1"/>
  <c r="E1293" i="1"/>
  <c r="F2003" i="1"/>
  <c r="E2003" i="1" s="1"/>
  <c r="F2002" i="1"/>
  <c r="E2002" i="1" s="1"/>
  <c r="F3750" i="1"/>
  <c r="E3750" i="1" s="1"/>
  <c r="F3358" i="1"/>
  <c r="E3358" i="1" s="1"/>
  <c r="E1292" i="1"/>
  <c r="E3297" i="1"/>
  <c r="F3356" i="1"/>
  <c r="E3356" i="1" s="1"/>
  <c r="F364" i="1"/>
  <c r="E364" i="1" s="1"/>
  <c r="E4461" i="1"/>
  <c r="F20" i="1"/>
  <c r="E20" i="1" s="1"/>
  <c r="F3296" i="1"/>
  <c r="E3296" i="1" s="1"/>
  <c r="E1855" i="1"/>
  <c r="F355" i="1"/>
  <c r="E355" i="1" s="1"/>
  <c r="F1131" i="1"/>
  <c r="E1131" i="1" s="1"/>
  <c r="F4194" i="1"/>
  <c r="E4194" i="1" s="1"/>
  <c r="F4193" i="1"/>
  <c r="E4193" i="1" s="1"/>
  <c r="F10" i="1"/>
  <c r="E10" i="1" s="1"/>
  <c r="E1836" i="1"/>
  <c r="F1973" i="1"/>
  <c r="E1973" i="1" s="1"/>
  <c r="F1972" i="1"/>
  <c r="E1972" i="1" s="1"/>
  <c r="F3159" i="1"/>
  <c r="E3159" i="1" s="1"/>
  <c r="F4048" i="1"/>
  <c r="E4048" i="1" s="1"/>
  <c r="F1496" i="1"/>
  <c r="E1496" i="1" s="1"/>
  <c r="F1454" i="1"/>
  <c r="E1454" i="1" s="1"/>
  <c r="F3083" i="1"/>
  <c r="E3083" i="1" s="1"/>
  <c r="F14" i="1"/>
  <c r="E14" i="1" s="1"/>
  <c r="F2128" i="1"/>
  <c r="E2128" i="1" s="1"/>
  <c r="F2036" i="1"/>
  <c r="E1835" i="1"/>
  <c r="E1309" i="1"/>
  <c r="F1021" i="1"/>
  <c r="E1021" i="1" s="1"/>
  <c r="F2901" i="1"/>
  <c r="E2901" i="1" s="1"/>
  <c r="F2676" i="1"/>
  <c r="E2676" i="1" s="1"/>
  <c r="F3798" i="1"/>
  <c r="E3798" i="1" s="1"/>
  <c r="F1793" i="1"/>
  <c r="E1793" i="1" s="1"/>
  <c r="F1020" i="1"/>
  <c r="E1020" i="1" s="1"/>
  <c r="F4217" i="1"/>
  <c r="E4217" i="1" s="1"/>
  <c r="F4216" i="1"/>
  <c r="E4216" i="1" s="1"/>
  <c r="F4192" i="1"/>
  <c r="E4192" i="1" s="1"/>
  <c r="F2686" i="1"/>
  <c r="E2686" i="1" s="1"/>
  <c r="F3797" i="1"/>
  <c r="E3797" i="1" s="1"/>
  <c r="F2504" i="1"/>
  <c r="E2504" i="1" s="1"/>
  <c r="F9" i="1"/>
  <c r="E9" i="1" s="1"/>
  <c r="F7" i="1"/>
  <c r="E7" i="1" s="1"/>
  <c r="F8" i="1"/>
  <c r="E8" i="1" s="1"/>
  <c r="F2" i="1"/>
  <c r="E2" i="1" s="1"/>
  <c r="F4134" i="1"/>
  <c r="E4134" i="1" s="1"/>
  <c r="F2812" i="1"/>
  <c r="E2812" i="1" s="1"/>
  <c r="F1227" i="1"/>
  <c r="E1227" i="1" s="1"/>
  <c r="F3290" i="1"/>
  <c r="E3290" i="1" s="1"/>
  <c r="F3080" i="1"/>
  <c r="E3080" i="1" s="1"/>
  <c r="F2092" i="1"/>
  <c r="E2092" i="1" s="1"/>
  <c r="F845" i="1"/>
  <c r="E845" i="1" s="1"/>
  <c r="F3200" i="1"/>
  <c r="E3200" i="1" s="1"/>
  <c r="E4590" i="1"/>
  <c r="F2019" i="1"/>
  <c r="E2019" i="1" s="1"/>
  <c r="F1130" i="1"/>
  <c r="E1130" i="1" s="1"/>
  <c r="F183" i="1"/>
  <c r="E183" i="1" s="1"/>
  <c r="F844" i="1"/>
  <c r="E844" i="1" s="1"/>
  <c r="F2394" i="1"/>
  <c r="E2394" i="1" s="1"/>
  <c r="F822" i="1"/>
  <c r="E822" i="1" s="1"/>
  <c r="F1706" i="1"/>
  <c r="E1706" i="1" s="1"/>
  <c r="F1707" i="1"/>
  <c r="E1707" i="1" s="1"/>
  <c r="F4215" i="1"/>
  <c r="E4215" i="1" s="1"/>
  <c r="F2018" i="1"/>
  <c r="E2018" i="1" s="1"/>
  <c r="F4190" i="1"/>
  <c r="E4190" i="1" s="1"/>
  <c r="F4189" i="1"/>
  <c r="E4189" i="1" s="1"/>
  <c r="F1275" i="1"/>
  <c r="E1275" i="1" s="1"/>
  <c r="F3049" i="1"/>
  <c r="E3049" i="1" s="1"/>
  <c r="F2795" i="1"/>
  <c r="E2795" i="1" s="1"/>
  <c r="F3077" i="1"/>
  <c r="E3077" i="1" s="1"/>
  <c r="F1453" i="1"/>
  <c r="E1453" i="1" s="1"/>
  <c r="F1436" i="1"/>
  <c r="E1436" i="1" s="1"/>
  <c r="F4029" i="1"/>
  <c r="E4029" i="1" s="1"/>
  <c r="F3611" i="1"/>
  <c r="E3611" i="1" s="1"/>
  <c r="F3075" i="1"/>
  <c r="E3075" i="1" s="1"/>
  <c r="F1639" i="1"/>
  <c r="E1639" i="1" s="1"/>
  <c r="F3074" i="1"/>
  <c r="E3074" i="1" s="1"/>
  <c r="F1183" i="1"/>
  <c r="E1183" i="1" s="1"/>
  <c r="F1129" i="1"/>
  <c r="E1129" i="1" s="1"/>
  <c r="F4004" i="1"/>
  <c r="E4004" i="1" s="1"/>
  <c r="F629" i="1"/>
  <c r="E629" i="1" s="1"/>
  <c r="F3048" i="1"/>
  <c r="E3048" i="1" s="1"/>
  <c r="F3073" i="1"/>
  <c r="E3073" i="1" s="1"/>
  <c r="F3070" i="1"/>
  <c r="E3070" i="1" s="1"/>
  <c r="F568" i="1"/>
  <c r="E568" i="1" s="1"/>
  <c r="E239" i="1"/>
  <c r="F442" i="1"/>
  <c r="E442" i="1" s="1"/>
  <c r="F819" i="1"/>
  <c r="E819" i="1" s="1"/>
  <c r="F2016" i="1"/>
  <c r="F2089" i="1"/>
  <c r="E2089" i="1" s="1"/>
  <c r="F2035" i="1"/>
  <c r="E2035" i="1" s="1"/>
  <c r="F2088" i="1"/>
  <c r="E2088" i="1" s="1"/>
  <c r="F686" i="1"/>
  <c r="E686" i="1" s="1"/>
  <c r="E1854" i="1"/>
  <c r="F4318" i="1"/>
  <c r="E4318" i="1" s="1"/>
  <c r="F3224" i="1"/>
  <c r="E3224" i="1" s="1"/>
  <c r="E4589" i="1"/>
  <c r="E4386" i="1"/>
  <c r="F4317" i="1"/>
  <c r="E4317" i="1" s="1"/>
  <c r="F3839" i="1"/>
  <c r="E3839" i="1" s="1"/>
  <c r="F3069" i="1"/>
  <c r="E3069" i="1" s="1"/>
  <c r="F4385" i="1"/>
  <c r="E4385" i="1" s="1"/>
  <c r="F2770" i="1"/>
  <c r="E2770" i="1" s="1"/>
  <c r="F1582" i="1"/>
  <c r="E1582" i="1" s="1"/>
  <c r="F1222" i="1"/>
  <c r="E1222" i="1" s="1"/>
  <c r="F498" i="1"/>
  <c r="E498" i="1" s="1"/>
  <c r="F1061" i="1"/>
  <c r="E1061" i="1" s="1"/>
  <c r="F1551" i="1"/>
  <c r="E1551" i="1" s="1"/>
  <c r="F907" i="1"/>
  <c r="E907" i="1" s="1"/>
  <c r="F2873" i="1"/>
  <c r="E2873" i="1" s="1"/>
  <c r="F2872" i="1"/>
  <c r="E2872" i="1" s="1"/>
  <c r="F2871" i="1"/>
  <c r="E2871" i="1" s="1"/>
  <c r="F4003" i="1"/>
  <c r="E4003" i="1" s="1"/>
  <c r="F456" i="1"/>
  <c r="E456" i="1" s="1"/>
  <c r="F4688" i="1"/>
  <c r="E4688" i="1" s="1"/>
  <c r="E1689" i="1"/>
  <c r="F4028" i="1"/>
  <c r="E4028" i="1" s="1"/>
  <c r="F4384" i="1"/>
  <c r="E4384" i="1" s="1"/>
  <c r="F126" i="1"/>
  <c r="E126" i="1" s="1"/>
  <c r="F561" i="1"/>
  <c r="E561" i="1" s="1"/>
  <c r="F4047" i="1"/>
  <c r="E4047" i="1" s="1"/>
  <c r="F1495" i="1"/>
  <c r="E1495" i="1" s="1"/>
  <c r="F1434" i="1"/>
  <c r="E1434" i="1" s="1"/>
  <c r="E1493" i="1"/>
  <c r="F2474" i="1"/>
  <c r="E2474" i="1" s="1"/>
  <c r="F1141" i="1"/>
  <c r="E1141" i="1" s="1"/>
  <c r="F942" i="1"/>
  <c r="E942" i="1" s="1"/>
  <c r="F941" i="1"/>
  <c r="E941" i="1" s="1"/>
  <c r="F940" i="1"/>
  <c r="E940" i="1" s="1"/>
  <c r="F939" i="1"/>
  <c r="E939" i="1" s="1"/>
  <c r="F2811" i="1"/>
  <c r="E2811" i="1" s="1"/>
  <c r="F4613" i="1"/>
  <c r="E4613" i="1" s="1"/>
  <c r="F872" i="1"/>
  <c r="E872" i="1" s="1"/>
  <c r="F4383" i="1"/>
  <c r="E4383" i="1" s="1"/>
  <c r="F4313" i="1"/>
  <c r="E4313" i="1" s="1"/>
  <c r="F1522" i="1"/>
  <c r="E1522" i="1" s="1"/>
  <c r="E1853" i="1"/>
  <c r="E2540" i="1"/>
  <c r="F2794" i="1"/>
  <c r="E2794" i="1" s="1"/>
  <c r="F3156" i="1"/>
  <c r="E3156" i="1" s="1"/>
  <c r="F4062" i="1"/>
  <c r="E4062" i="1" s="1"/>
  <c r="F264" i="1"/>
  <c r="E264" i="1" s="1"/>
  <c r="F2085" i="1"/>
  <c r="E2085" i="1" s="1"/>
  <c r="F3816" i="1"/>
  <c r="E3816" i="1" s="1"/>
  <c r="F1540" i="1"/>
  <c r="E1540" i="1" s="1"/>
  <c r="F974" i="1"/>
  <c r="E974" i="1" s="1"/>
  <c r="F1383" i="1"/>
  <c r="E1383" i="1" s="1"/>
  <c r="F4188" i="1"/>
  <c r="E4188" i="1" s="1"/>
  <c r="F2263" i="1"/>
  <c r="E2263" i="1" s="1"/>
  <c r="F576" i="1"/>
  <c r="E576" i="1" s="1"/>
  <c r="F3287" i="1"/>
  <c r="E3287" i="1" s="1"/>
  <c r="F4070" i="1"/>
  <c r="E4070" i="1" s="1"/>
  <c r="F4069" i="1"/>
  <c r="E4069" i="1" s="1"/>
  <c r="F4068" i="1"/>
  <c r="E4068" i="1" s="1"/>
  <c r="F3855" i="1"/>
  <c r="E3855" i="1" s="1"/>
  <c r="F3556" i="1"/>
  <c r="E3556" i="1" s="1"/>
  <c r="F2488" i="1"/>
  <c r="E2488" i="1" s="1"/>
  <c r="F2421" i="1"/>
  <c r="E2421" i="1" s="1"/>
  <c r="F1199" i="1"/>
  <c r="E1199" i="1" s="1"/>
  <c r="F921" i="1"/>
  <c r="E921" i="1" s="1"/>
  <c r="F482" i="1"/>
  <c r="E482" i="1" s="1"/>
  <c r="F108" i="1"/>
  <c r="E108" i="1" s="1"/>
  <c r="F107" i="1"/>
  <c r="E107" i="1" s="1"/>
  <c r="F106" i="1"/>
  <c r="E106" i="1" s="1"/>
  <c r="F37" i="1"/>
  <c r="E37" i="1" s="1"/>
  <c r="F4123" i="1"/>
  <c r="E4123" i="1" s="1"/>
  <c r="F2810" i="1"/>
  <c r="E2810" i="1" s="1"/>
  <c r="F1182" i="1"/>
  <c r="E1182" i="1" s="1"/>
  <c r="F3847" i="1"/>
  <c r="E3847" i="1" s="1"/>
  <c r="F275" i="1"/>
  <c r="E275" i="1" s="1"/>
  <c r="F2563" i="1"/>
  <c r="E2563" i="1" s="1"/>
  <c r="F4312" i="1"/>
  <c r="E4312" i="1" s="1"/>
  <c r="F1492" i="1"/>
  <c r="E1492" i="1" s="1"/>
  <c r="F4187" i="1"/>
  <c r="E4187" i="1" s="1"/>
  <c r="F4214" i="1"/>
  <c r="E4214" i="1" s="1"/>
  <c r="E1851" i="1"/>
  <c r="F4002" i="1"/>
  <c r="E4002" i="1" s="1"/>
  <c r="F1043" i="1"/>
  <c r="E1043" i="1" s="1"/>
  <c r="F4251" i="1"/>
  <c r="E4251" i="1" s="1"/>
  <c r="F3352" i="1"/>
  <c r="E3352" i="1" s="1"/>
  <c r="E1834" i="1"/>
  <c r="F1165" i="1"/>
  <c r="E1165" i="1" s="1"/>
  <c r="F1164" i="1"/>
  <c r="E1164" i="1" s="1"/>
  <c r="F4250" i="1"/>
  <c r="E4250" i="1" s="1"/>
  <c r="F4635" i="1"/>
  <c r="E4635" i="1" s="1"/>
  <c r="F1491" i="1"/>
  <c r="E1491" i="1" s="1"/>
  <c r="F1490" i="1"/>
  <c r="E1490" i="1" s="1"/>
  <c r="F4249" i="1"/>
  <c r="E4249" i="1" s="1"/>
  <c r="F1433" i="1"/>
  <c r="E1433" i="1" s="1"/>
  <c r="F1432" i="1"/>
  <c r="E1432" i="1" s="1"/>
  <c r="F3733" i="1"/>
  <c r="E3733" i="1" s="1"/>
  <c r="F85" i="1"/>
  <c r="E85" i="1" s="1"/>
  <c r="F84" i="1"/>
  <c r="E84" i="1" s="1"/>
  <c r="F2127" i="1"/>
  <c r="E2127" i="1" s="1"/>
  <c r="F3264" i="1"/>
  <c r="E3264" i="1" s="1"/>
  <c r="F2034" i="1"/>
  <c r="E2034" i="1" s="1"/>
  <c r="F2081" i="1"/>
  <c r="E2081" i="1" s="1"/>
  <c r="F3634" i="1"/>
  <c r="E3634" i="1" s="1"/>
  <c r="F1705" i="1"/>
  <c r="E1705" i="1" s="1"/>
  <c r="F1382" i="1"/>
  <c r="E1382" i="1" s="1"/>
  <c r="F1638" i="1"/>
  <c r="E1638" i="1" s="1"/>
  <c r="F3796" i="1"/>
  <c r="E3796" i="1" s="1"/>
  <c r="F1019" i="1"/>
  <c r="E1019" i="1" s="1"/>
  <c r="F3659" i="1"/>
  <c r="E3659" i="1" s="1"/>
  <c r="F745" i="1"/>
  <c r="E745" i="1" s="1"/>
  <c r="F4612" i="1"/>
  <c r="E4612" i="1" s="1"/>
  <c r="E1923" i="1"/>
  <c r="F3658" i="1"/>
  <c r="E3658" i="1" s="1"/>
  <c r="F2952" i="1"/>
  <c r="E2952" i="1" s="1"/>
  <c r="F2827" i="1"/>
  <c r="E2827" i="1" s="1"/>
  <c r="F2738" i="1"/>
  <c r="E2738" i="1" s="1"/>
  <c r="F2521" i="1"/>
  <c r="E2521" i="1" s="1"/>
  <c r="F1521" i="1"/>
  <c r="E1521" i="1" s="1"/>
  <c r="F871" i="1"/>
  <c r="E871" i="1" s="1"/>
  <c r="F545" i="1"/>
  <c r="E545" i="1" s="1"/>
  <c r="F497" i="1"/>
  <c r="E497" i="1" s="1"/>
  <c r="F303" i="1"/>
  <c r="E303" i="1" s="1"/>
  <c r="F1520" i="1"/>
  <c r="E1520" i="1" s="1"/>
  <c r="F1580" i="1"/>
  <c r="E1580" i="1" s="1"/>
  <c r="F2837" i="1"/>
  <c r="E2837" i="1" s="1"/>
  <c r="F3068" i="1"/>
  <c r="E3068" i="1" s="1"/>
  <c r="F1579" i="1"/>
  <c r="E1579" i="1" s="1"/>
  <c r="F455" i="1"/>
  <c r="F1221" i="1"/>
  <c r="E1221" i="1" s="1"/>
  <c r="F2393" i="1"/>
  <c r="E2393" i="1" s="1"/>
  <c r="F818" i="1"/>
  <c r="E818" i="1" s="1"/>
  <c r="F4309" i="1"/>
  <c r="E4309" i="1" s="1"/>
  <c r="F3047" i="1"/>
  <c r="E3047" i="1" s="1"/>
  <c r="F2929" i="1"/>
  <c r="E2929" i="1" s="1"/>
  <c r="F470" i="1"/>
  <c r="E470" i="1" s="1"/>
  <c r="F2937" i="1"/>
  <c r="E2937" i="1" s="1"/>
  <c r="F2373" i="1"/>
  <c r="E2373" i="1" s="1"/>
  <c r="F4379" i="1"/>
  <c r="E4379" i="1" s="1"/>
  <c r="F1519" i="1"/>
  <c r="E1519" i="1" s="1"/>
  <c r="F473" i="1"/>
  <c r="E473" i="1" s="1"/>
  <c r="F4186" i="1"/>
  <c r="E4186" i="1" s="1"/>
  <c r="E1850" i="1"/>
  <c r="E4588" i="1"/>
  <c r="E4587" i="1"/>
  <c r="F4378" i="1"/>
  <c r="E4378" i="1" s="1"/>
  <c r="F4308" i="1"/>
  <c r="E4308" i="1" s="1"/>
  <c r="F2272" i="1"/>
  <c r="E2272" i="1" s="1"/>
  <c r="E1489" i="1"/>
  <c r="F469" i="1"/>
  <c r="E469" i="1" s="1"/>
  <c r="F481" i="1"/>
  <c r="E481" i="1" s="1"/>
  <c r="E4504" i="1"/>
  <c r="F4307" i="1"/>
  <c r="E4307" i="1" s="1"/>
  <c r="F3435" i="1"/>
  <c r="E3435" i="1" s="1"/>
  <c r="F1548" i="1"/>
  <c r="E1548" i="1" s="1"/>
  <c r="F1550" i="1"/>
  <c r="E1550" i="1" s="1"/>
  <c r="F1452" i="1"/>
  <c r="E1452" i="1" s="1"/>
  <c r="F274" i="1"/>
  <c r="E274" i="1" s="1"/>
  <c r="F3006" i="1"/>
  <c r="E3006" i="1" s="1"/>
  <c r="F3004" i="1"/>
  <c r="E3004" i="1" s="1"/>
  <c r="F3028" i="1"/>
  <c r="E3028" i="1" s="1"/>
  <c r="F4440" i="1"/>
  <c r="E4440" i="1" s="1"/>
  <c r="F2159" i="1"/>
  <c r="E2159" i="1" s="1"/>
  <c r="F3066" i="1"/>
  <c r="E3066" i="1" s="1"/>
  <c r="F1487" i="1"/>
  <c r="E1487" i="1" s="1"/>
  <c r="F2768" i="1"/>
  <c r="E2768" i="1" s="1"/>
  <c r="F237" i="1"/>
  <c r="E237" i="1" s="1"/>
  <c r="F2271" i="1"/>
  <c r="E2271" i="1" s="1"/>
  <c r="F351" i="1"/>
  <c r="E351" i="1" s="1"/>
  <c r="F3610" i="1"/>
  <c r="E3610" i="1" s="1"/>
  <c r="F2857" i="1"/>
  <c r="E2857" i="1" s="1"/>
  <c r="F2250" i="1"/>
  <c r="E2250" i="1" s="1"/>
  <c r="F420" i="1"/>
  <c r="E420" i="1" s="1"/>
  <c r="F1539" i="1"/>
  <c r="E1539" i="1" s="1"/>
  <c r="F1792" i="1"/>
  <c r="E1792" i="1" s="1"/>
  <c r="F1018" i="1"/>
  <c r="E1018" i="1" s="1"/>
  <c r="F4305" i="1"/>
  <c r="E4305" i="1" s="1"/>
  <c r="F1771" i="1"/>
  <c r="E1771" i="1" s="1"/>
  <c r="F4602" i="1"/>
  <c r="E4602" i="1" s="1"/>
  <c r="F3609" i="1"/>
  <c r="E3609" i="1" s="1"/>
  <c r="F2720" i="1"/>
  <c r="E2720" i="1" s="1"/>
  <c r="F2499" i="1"/>
  <c r="E2499" i="1" s="1"/>
  <c r="F1715" i="1"/>
  <c r="E1715" i="1" s="1"/>
  <c r="F1608" i="1"/>
  <c r="E1608" i="1" s="1"/>
  <c r="F877" i="1"/>
  <c r="E877" i="1" s="1"/>
  <c r="F862" i="1"/>
  <c r="E862" i="1" s="1"/>
  <c r="F732" i="1"/>
  <c r="E732" i="1" s="1"/>
  <c r="F285" i="1"/>
  <c r="E285" i="1" s="1"/>
  <c r="F433" i="1"/>
  <c r="E433" i="1" s="1"/>
  <c r="F2870" i="1"/>
  <c r="E2870" i="1" s="1"/>
  <c r="F2869" i="1"/>
  <c r="E2869" i="1" s="1"/>
  <c r="F2868" i="1"/>
  <c r="E2868" i="1" s="1"/>
  <c r="F2015" i="1"/>
  <c r="E2015" i="1" s="1"/>
  <c r="F647" i="1"/>
  <c r="E647" i="1" s="1"/>
  <c r="F2079" i="1"/>
  <c r="E2079" i="1" s="1"/>
  <c r="F685" i="1"/>
  <c r="E685" i="1" s="1"/>
  <c r="F349" i="1"/>
  <c r="E349" i="1" s="1"/>
  <c r="F2377" i="1"/>
  <c r="E2377" i="1" s="1"/>
  <c r="F2386" i="1"/>
  <c r="E2386" i="1" s="1"/>
  <c r="E1308" i="1"/>
  <c r="E4586" i="1"/>
  <c r="F4369" i="1"/>
  <c r="E4369" i="1" s="1"/>
  <c r="F4377" i="1"/>
  <c r="E4377" i="1" s="1"/>
  <c r="F4374" i="1"/>
  <c r="E4374" i="1" s="1"/>
  <c r="F4371" i="1"/>
  <c r="E4371" i="1" s="1"/>
  <c r="F4370" i="1"/>
  <c r="E4370" i="1" s="1"/>
  <c r="F4373" i="1"/>
  <c r="E4373" i="1" s="1"/>
  <c r="F4372" i="1"/>
  <c r="E4372" i="1" s="1"/>
  <c r="F1919" i="1"/>
  <c r="E1919" i="1" s="1"/>
  <c r="F3837" i="1"/>
  <c r="F3795" i="1"/>
  <c r="F3446" i="1"/>
  <c r="E3446" i="1" s="1"/>
  <c r="F3222" i="1"/>
  <c r="E3222" i="1" s="1"/>
  <c r="F1578" i="1"/>
  <c r="F4375" i="1"/>
  <c r="E4375" i="1" s="1"/>
  <c r="F1602" i="1"/>
  <c r="E1602" i="1" s="1"/>
  <c r="E454" i="1"/>
  <c r="E1918" i="1"/>
  <c r="F3815" i="1"/>
  <c r="E3815" i="1" s="1"/>
  <c r="F1380" i="1"/>
  <c r="E1380" i="1" s="1"/>
  <c r="F1785" i="1"/>
  <c r="E1785" i="1" s="1"/>
  <c r="F769" i="1"/>
  <c r="E769" i="1" s="1"/>
  <c r="F770" i="1"/>
  <c r="E770" i="1" s="1"/>
  <c r="F4304" i="1"/>
  <c r="E4304" i="1" s="1"/>
  <c r="E1005" i="1"/>
  <c r="F991" i="1"/>
  <c r="E991" i="1" s="1"/>
  <c r="F1485" i="1"/>
  <c r="E1485" i="1" s="1"/>
  <c r="F3827" i="1"/>
  <c r="E3827" i="1" s="1"/>
  <c r="F1484" i="1"/>
  <c r="E1484" i="1" s="1"/>
  <c r="F2679" i="1"/>
  <c r="E2679" i="1" s="1"/>
  <c r="F2675" i="1"/>
  <c r="E2675" i="1" s="1"/>
  <c r="F1004" i="1"/>
  <c r="E1004" i="1" s="1"/>
  <c r="F1482" i="1"/>
  <c r="E1482" i="1" s="1"/>
  <c r="F1704" i="1"/>
  <c r="E1704" i="1" s="1"/>
  <c r="F1091" i="1"/>
  <c r="E1091" i="1" s="1"/>
  <c r="F1092" i="1"/>
  <c r="E1092" i="1" s="1"/>
  <c r="F2916" i="1"/>
  <c r="E2916" i="1" s="1"/>
  <c r="F682" i="1"/>
  <c r="E682" i="1" s="1"/>
  <c r="E1833" i="1"/>
  <c r="E4439" i="1"/>
  <c r="E4438" i="1"/>
  <c r="F1378" i="1"/>
  <c r="E1378" i="1" s="1"/>
  <c r="F1376" i="1"/>
  <c r="E1376" i="1" s="1"/>
  <c r="F4185" i="1"/>
  <c r="E4185" i="1" s="1"/>
  <c r="F1916" i="1"/>
  <c r="E1916" i="1" s="1"/>
  <c r="F1375" i="1"/>
  <c r="E1375" i="1" s="1"/>
  <c r="F1373" i="1"/>
  <c r="E1373" i="1" s="1"/>
  <c r="F2156" i="1"/>
  <c r="E2156" i="1" s="1"/>
  <c r="F1374" i="1"/>
  <c r="E1374" i="1" s="1"/>
  <c r="F4183" i="1"/>
  <c r="E4183" i="1" s="1"/>
  <c r="F1431" i="1"/>
  <c r="E1431" i="1" s="1"/>
  <c r="F1413" i="1"/>
  <c r="E1413" i="1" s="1"/>
  <c r="F1414" i="1"/>
  <c r="E1414" i="1" s="1"/>
  <c r="F348" i="1"/>
  <c r="E348" i="1" s="1"/>
  <c r="F1637" i="1"/>
  <c r="E1637" i="1" s="1"/>
  <c r="F3198" i="1"/>
  <c r="E3198" i="1" s="1"/>
  <c r="F2732" i="1"/>
  <c r="E2732" i="1" s="1"/>
  <c r="F1003" i="1"/>
  <c r="E1003" i="1" s="1"/>
  <c r="F3646" i="1"/>
  <c r="E3646" i="1" s="1"/>
  <c r="F2934" i="1"/>
  <c r="E2934" i="1" s="1"/>
  <c r="E518" i="1"/>
  <c r="F535" i="1"/>
  <c r="E535" i="1" s="1"/>
  <c r="E534" i="1"/>
  <c r="F533" i="1"/>
  <c r="E533" i="1" s="1"/>
  <c r="F297" i="1"/>
  <c r="E297" i="1" s="1"/>
  <c r="F1480" i="1"/>
  <c r="E1480" i="1" s="1"/>
  <c r="F1479" i="1"/>
  <c r="E1479" i="1" s="1"/>
  <c r="E4503" i="1"/>
  <c r="F4303" i="1"/>
  <c r="E4303" i="1" s="1"/>
  <c r="F3434" i="1"/>
  <c r="E3434" i="1" s="1"/>
  <c r="F1074" i="1"/>
  <c r="E1074" i="1" s="1"/>
  <c r="F817" i="1"/>
  <c r="E817" i="1" s="1"/>
  <c r="F2078" i="1"/>
  <c r="E2078" i="1" s="1"/>
  <c r="F2809" i="1"/>
  <c r="E2809" i="1" s="1"/>
  <c r="E4437" i="1"/>
  <c r="F4301" i="1"/>
  <c r="E4301" i="1" s="1"/>
  <c r="F1593" i="1"/>
  <c r="E1593" i="1" s="1"/>
  <c r="F1592" i="1"/>
  <c r="E1592" i="1" s="1"/>
  <c r="F1591" i="1"/>
  <c r="E1591" i="1" s="1"/>
  <c r="E1101" i="1"/>
  <c r="F1128" i="1"/>
  <c r="E1128" i="1" s="1"/>
  <c r="F2718" i="1"/>
  <c r="E2718" i="1" s="1"/>
  <c r="F1369" i="1"/>
  <c r="E1369" i="1" s="1"/>
  <c r="F2249" i="1"/>
  <c r="E2249" i="1" s="1"/>
  <c r="F3814" i="1"/>
  <c r="E3814" i="1" s="1"/>
  <c r="F660" i="1"/>
  <c r="E660" i="1" s="1"/>
  <c r="F1371" i="1"/>
  <c r="E1371" i="1" s="1"/>
  <c r="F486" i="1"/>
  <c r="E486" i="1" s="1"/>
  <c r="F1451" i="1"/>
  <c r="E1451" i="1" s="1"/>
  <c r="F4601" i="1"/>
  <c r="E4601" i="1" s="1"/>
  <c r="F3608" i="1"/>
  <c r="E3608" i="1" s="1"/>
  <c r="F2816" i="1"/>
  <c r="E2816" i="1" s="1"/>
  <c r="F2498" i="1"/>
  <c r="E2498" i="1" s="1"/>
  <c r="F861" i="1"/>
  <c r="E861" i="1" s="1"/>
  <c r="F731" i="1"/>
  <c r="E731" i="1" s="1"/>
  <c r="F284" i="1"/>
  <c r="E284" i="1" s="1"/>
  <c r="F2112" i="1"/>
  <c r="E2112" i="1" s="1"/>
  <c r="F2125" i="1"/>
  <c r="E2125" i="1" s="1"/>
  <c r="F842" i="1"/>
  <c r="E842" i="1" s="1"/>
  <c r="F646" i="1"/>
  <c r="E646" i="1" s="1"/>
  <c r="F211" i="1"/>
  <c r="E211" i="1" s="1"/>
  <c r="F3286" i="1"/>
  <c r="E3286" i="1" s="1"/>
  <c r="F2155" i="1"/>
  <c r="E2155" i="1" s="1"/>
  <c r="F2151" i="1"/>
  <c r="E2151" i="1" s="1"/>
  <c r="E4436" i="1"/>
  <c r="F2154" i="1"/>
  <c r="E2154" i="1" s="1"/>
  <c r="F2158" i="1"/>
  <c r="E2158" i="1" s="1"/>
  <c r="F2153" i="1"/>
  <c r="E2153" i="1" s="1"/>
  <c r="F2152" i="1"/>
  <c r="E2152" i="1" s="1"/>
  <c r="F2157" i="1"/>
  <c r="E2157" i="1" s="1"/>
  <c r="F1377" i="1"/>
  <c r="E1377" i="1" s="1"/>
  <c r="F1379" i="1"/>
  <c r="E1379" i="1" s="1"/>
  <c r="F4092" i="1"/>
  <c r="E4092" i="1" s="1"/>
  <c r="F4055" i="1"/>
  <c r="E4055" i="1" s="1"/>
  <c r="F3842" i="1"/>
  <c r="E3842" i="1" s="1"/>
  <c r="F2548" i="1"/>
  <c r="E2548" i="1" s="1"/>
  <c r="F2400" i="1"/>
  <c r="E2400" i="1" s="1"/>
  <c r="F1624" i="1"/>
  <c r="E1624" i="1" s="1"/>
  <c r="F4054" i="1"/>
  <c r="E4054" i="1" s="1"/>
  <c r="F1127" i="1"/>
  <c r="E1127" i="1" s="1"/>
  <c r="F904" i="1"/>
  <c r="E904" i="1" s="1"/>
  <c r="F82" i="1"/>
  <c r="E82" i="1" s="1"/>
  <c r="F83" i="1"/>
  <c r="E83" i="1" s="1"/>
  <c r="F27" i="1"/>
  <c r="E27" i="1" s="1"/>
  <c r="F628" i="1"/>
  <c r="E628" i="1" s="1"/>
  <c r="F1368" i="1"/>
  <c r="E1368" i="1" s="1"/>
  <c r="F124" i="1"/>
  <c r="E124" i="1" s="1"/>
  <c r="F452" i="1"/>
  <c r="E452" i="1" s="1"/>
  <c r="F1577" i="1"/>
  <c r="E1577" i="1" s="1"/>
  <c r="F1220" i="1"/>
  <c r="E1220" i="1" s="1"/>
  <c r="F451" i="1"/>
  <c r="E451" i="1" s="1"/>
  <c r="F2392" i="1"/>
  <c r="E2392" i="1" s="1"/>
  <c r="F441" i="1"/>
  <c r="E441" i="1" s="1"/>
  <c r="F1576" i="1"/>
  <c r="E1576" i="1" s="1"/>
  <c r="F450" i="1"/>
  <c r="E450" i="1" s="1"/>
  <c r="F1367" i="1"/>
  <c r="E1367" i="1" s="1"/>
  <c r="F1366" i="1"/>
  <c r="E1366" i="1" s="1"/>
  <c r="F3854" i="1"/>
  <c r="E3854" i="1" s="1"/>
  <c r="F2982" i="1"/>
  <c r="E2982" i="1" s="1"/>
  <c r="F2981" i="1"/>
  <c r="E2981" i="1" s="1"/>
  <c r="F2980" i="1"/>
  <c r="E2980" i="1" s="1"/>
  <c r="F2979" i="1"/>
  <c r="E2979" i="1" s="1"/>
  <c r="F3295" i="1"/>
  <c r="E3295" i="1" s="1"/>
  <c r="F1915" i="1"/>
  <c r="E1915" i="1" s="1"/>
  <c r="F1429" i="1"/>
  <c r="E1429" i="1" s="1"/>
  <c r="F3813" i="1"/>
  <c r="E3813" i="1" s="1"/>
  <c r="F1365" i="1"/>
  <c r="E1365" i="1" s="1"/>
  <c r="F653" i="1"/>
  <c r="E653" i="1" s="1"/>
  <c r="F1425" i="1"/>
  <c r="E1425" i="1" s="1"/>
  <c r="E1888" i="1"/>
  <c r="F1427" i="1"/>
  <c r="E1427" i="1" s="1"/>
  <c r="F1363" i="1"/>
  <c r="E1363" i="1" s="1"/>
  <c r="F1362" i="1"/>
  <c r="E1362" i="1" s="1"/>
  <c r="F1364" i="1"/>
  <c r="E1364" i="1" s="1"/>
  <c r="F485" i="1"/>
  <c r="E485" i="1" s="1"/>
  <c r="F2196" i="1"/>
  <c r="E2196" i="1" s="1"/>
  <c r="E1832" i="1"/>
  <c r="F4368" i="1"/>
  <c r="E4368" i="1" s="1"/>
  <c r="F4367" i="1"/>
  <c r="E4367" i="1" s="1"/>
  <c r="F1914" i="1"/>
  <c r="E1914" i="1" s="1"/>
  <c r="F2856" i="1"/>
  <c r="E2856" i="1" s="1"/>
  <c r="E4502" i="1"/>
  <c r="F4231" i="1"/>
  <c r="E4231" i="1" s="1"/>
  <c r="F346" i="1"/>
  <c r="E346" i="1" s="1"/>
  <c r="E1831" i="1"/>
  <c r="F2914" i="1"/>
  <c r="E2914" i="1" s="1"/>
  <c r="F2978" i="1"/>
  <c r="E2978" i="1" s="1"/>
  <c r="F3607" i="1"/>
  <c r="E3607" i="1" s="1"/>
  <c r="F1361" i="1"/>
  <c r="E1361" i="1" s="1"/>
  <c r="F2483" i="1"/>
  <c r="E2483" i="1" s="1"/>
  <c r="F4091" i="1"/>
  <c r="E4091" i="1" s="1"/>
  <c r="F1126" i="1"/>
  <c r="E1126" i="1" s="1"/>
  <c r="F2742" i="1"/>
  <c r="E2742" i="1" s="1"/>
  <c r="F2741" i="1"/>
  <c r="E2741" i="1" s="1"/>
  <c r="F235" i="1"/>
  <c r="E235" i="1" s="1"/>
  <c r="F2032" i="1"/>
  <c r="E2032" i="1" s="1"/>
  <c r="F2075" i="1"/>
  <c r="E2075" i="1" s="1"/>
  <c r="F3285" i="1"/>
  <c r="E3285" i="1" s="1"/>
  <c r="F1575" i="1"/>
  <c r="E1575" i="1" s="1"/>
  <c r="F3645" i="1"/>
  <c r="E3645" i="1" s="1"/>
  <c r="F1423" i="1"/>
  <c r="E1423" i="1" s="1"/>
  <c r="F1449" i="1"/>
  <c r="E1449" i="1" s="1"/>
  <c r="F1444" i="1"/>
  <c r="F1422" i="1"/>
  <c r="E1422" i="1" s="1"/>
  <c r="F1399" i="1"/>
  <c r="F1359" i="1"/>
  <c r="E1359" i="1" s="1"/>
  <c r="F2976" i="1"/>
  <c r="E2976" i="1" s="1"/>
  <c r="F466" i="1"/>
  <c r="E466" i="1" s="1"/>
  <c r="F2912" i="1"/>
  <c r="E2912" i="1" s="1"/>
  <c r="F2438" i="1"/>
  <c r="E2438" i="1" s="1"/>
  <c r="F2399" i="1"/>
  <c r="E2399" i="1" s="1"/>
  <c r="F2975" i="1"/>
  <c r="E2975" i="1" s="1"/>
  <c r="F3604" i="1"/>
  <c r="E3604" i="1" s="1"/>
  <c r="F4182" i="1"/>
  <c r="E4182" i="1" s="1"/>
  <c r="F2765" i="1"/>
  <c r="E2765" i="1" s="1"/>
  <c r="F1661" i="1"/>
  <c r="E1661" i="1" s="1"/>
  <c r="F1125" i="1"/>
  <c r="E1125" i="1" s="1"/>
  <c r="F1969" i="1"/>
  <c r="E1969" i="1" s="1"/>
  <c r="F560" i="1"/>
  <c r="E560" i="1" s="1"/>
  <c r="F3154" i="1"/>
  <c r="E3154" i="1" s="1"/>
  <c r="F343" i="1"/>
  <c r="E343" i="1" s="1"/>
  <c r="F4677" i="1"/>
  <c r="E4677" i="1" s="1"/>
  <c r="F2072" i="1"/>
  <c r="E2072" i="1" s="1"/>
  <c r="F2014" i="1"/>
  <c r="E2014" i="1" s="1"/>
  <c r="F4045" i="1"/>
  <c r="E4045" i="1" s="1"/>
  <c r="F575" i="1"/>
  <c r="E575" i="1" s="1"/>
  <c r="F680" i="1"/>
  <c r="E680" i="1" s="1"/>
  <c r="F1002" i="1"/>
  <c r="E1002" i="1" s="1"/>
  <c r="E4435" i="1"/>
  <c r="E1830" i="1"/>
  <c r="F4181" i="1"/>
  <c r="E4181" i="1" s="1"/>
  <c r="F2764" i="1"/>
  <c r="E2764" i="1" s="1"/>
  <c r="F382" i="1"/>
  <c r="E382" i="1" s="1"/>
  <c r="F1073" i="1"/>
  <c r="E1073" i="1" s="1"/>
  <c r="F1001" i="1"/>
  <c r="E1001" i="1" s="1"/>
  <c r="F1155" i="1"/>
  <c r="E1155" i="1" s="1"/>
  <c r="F2950" i="1"/>
  <c r="E2950" i="1" s="1"/>
  <c r="F2928" i="1"/>
  <c r="E2928" i="1" s="1"/>
  <c r="F4366" i="1"/>
  <c r="E4366" i="1" s="1"/>
  <c r="F4180" i="1"/>
  <c r="E4180" i="1" s="1"/>
  <c r="F4365" i="1"/>
  <c r="E4365" i="1" s="1"/>
  <c r="F4300" i="1"/>
  <c r="E4300" i="1" s="1"/>
  <c r="F1913" i="1"/>
  <c r="E1913" i="1" s="1"/>
  <c r="F3445" i="1"/>
  <c r="E3445" i="1" s="1"/>
  <c r="F1912" i="1"/>
  <c r="E1912" i="1" s="1"/>
  <c r="F2482" i="1"/>
  <c r="E2482" i="1" s="1"/>
  <c r="F1910" i="1"/>
  <c r="E1910" i="1" s="1"/>
  <c r="E1911" i="1"/>
  <c r="F273" i="1"/>
  <c r="E273" i="1" s="1"/>
  <c r="F1274" i="1"/>
  <c r="E1274" i="1" s="1"/>
  <c r="F2262" i="1"/>
  <c r="E2262" i="1" s="1"/>
  <c r="F3794" i="1"/>
  <c r="E3794" i="1" s="1"/>
  <c r="F1017" i="1"/>
  <c r="E1017" i="1" s="1"/>
  <c r="F1124" i="1"/>
  <c r="E1124" i="1" s="1"/>
  <c r="F234" i="1"/>
  <c r="E234" i="1" s="1"/>
  <c r="F339" i="1"/>
  <c r="E339" i="1" s="1"/>
  <c r="F2408" i="1"/>
  <c r="E2408" i="1" s="1"/>
  <c r="F4213" i="1"/>
  <c r="E4213" i="1" s="1"/>
  <c r="F4611" i="1"/>
  <c r="E4611" i="1" s="1"/>
  <c r="F3657" i="1"/>
  <c r="E3657" i="1" s="1"/>
  <c r="F2520" i="1"/>
  <c r="E2520" i="1" s="1"/>
  <c r="F870" i="1"/>
  <c r="E870" i="1" s="1"/>
  <c r="F744" i="1"/>
  <c r="E744" i="1" s="1"/>
  <c r="F544" i="1"/>
  <c r="E544" i="1" s="1"/>
  <c r="F302" i="1"/>
  <c r="E302" i="1" s="1"/>
  <c r="F2261" i="1"/>
  <c r="E2261" i="1" s="1"/>
  <c r="F2248" i="1"/>
  <c r="E2248" i="1" s="1"/>
  <c r="F3853" i="1"/>
  <c r="E3853" i="1" s="1"/>
  <c r="F3835" i="1"/>
  <c r="E3835" i="1" s="1"/>
  <c r="F3218" i="1"/>
  <c r="E3218" i="1" s="1"/>
  <c r="F2736" i="1"/>
  <c r="E2736" i="1" s="1"/>
  <c r="F1517" i="1"/>
  <c r="E1517" i="1" s="1"/>
  <c r="F496" i="1"/>
  <c r="E496" i="1" s="1"/>
  <c r="F2949" i="1"/>
  <c r="E2949" i="1" s="1"/>
  <c r="F1784" i="1"/>
  <c r="E1784" i="1" s="1"/>
  <c r="F1181" i="1"/>
  <c r="E1181" i="1" s="1"/>
  <c r="F3555" i="1"/>
  <c r="E3555" i="1" s="1"/>
  <c r="F1198" i="1"/>
  <c r="E1198" i="1" s="1"/>
  <c r="F559" i="1"/>
  <c r="E559" i="1" s="1"/>
  <c r="F3130" i="1"/>
  <c r="E3130" i="1" s="1"/>
  <c r="F3115" i="1"/>
  <c r="E3115" i="1" s="1"/>
  <c r="F3139" i="1"/>
  <c r="E3139" i="1" s="1"/>
  <c r="F1180" i="1"/>
  <c r="F915" i="1"/>
  <c r="F920" i="1"/>
  <c r="E920" i="1" s="1"/>
  <c r="F4693" i="1"/>
  <c r="E4693" i="1" s="1"/>
  <c r="F4121" i="1"/>
  <c r="E4121" i="1" s="1"/>
  <c r="F2420" i="1"/>
  <c r="E2420" i="1" s="1"/>
  <c r="F1598" i="1"/>
  <c r="E1598" i="1" s="1"/>
  <c r="F1601" i="1"/>
  <c r="E1601" i="1" s="1"/>
  <c r="F272" i="1"/>
  <c r="E272" i="1" s="1"/>
  <c r="F1000" i="1"/>
  <c r="E1000" i="1" s="1"/>
  <c r="F1636" i="1"/>
  <c r="E1636" i="1" s="1"/>
  <c r="F1421" i="1"/>
  <c r="E1421" i="1" s="1"/>
  <c r="F296" i="1"/>
  <c r="E296" i="1" s="1"/>
  <c r="F271" i="1"/>
  <c r="E271" i="1" s="1"/>
  <c r="F3633" i="1"/>
  <c r="E3633" i="1" s="1"/>
  <c r="F3656" i="1"/>
  <c r="E3656" i="1" s="1"/>
  <c r="F2519" i="1"/>
  <c r="E2519" i="1" s="1"/>
  <c r="F4247" i="1"/>
  <c r="E4247" i="1" s="1"/>
  <c r="F409" i="1"/>
  <c r="E409" i="1" s="1"/>
  <c r="F3793" i="1"/>
  <c r="E3793" i="1" s="1"/>
  <c r="F3253" i="1"/>
  <c r="E3253" i="1" s="1"/>
  <c r="F81" i="1"/>
  <c r="E81" i="1" s="1"/>
  <c r="F80" i="1"/>
  <c r="E80" i="1" s="1"/>
  <c r="F4090" i="1"/>
  <c r="E4090" i="1" s="1"/>
  <c r="F2407" i="1"/>
  <c r="E2407" i="1" s="1"/>
  <c r="F2168" i="1"/>
  <c r="E2168" i="1" s="1"/>
  <c r="F3344" i="1"/>
  <c r="E3344" i="1" s="1"/>
  <c r="F4299" i="1"/>
  <c r="E4299" i="1" s="1"/>
  <c r="F4088" i="1"/>
  <c r="E4088" i="1" s="1"/>
  <c r="F1163" i="1"/>
  <c r="E1163" i="1" s="1"/>
  <c r="F1967" i="1"/>
  <c r="E1967" i="1" s="1"/>
  <c r="F1966" i="1"/>
  <c r="E1966" i="1" s="1"/>
  <c r="F4001" i="1"/>
  <c r="E4001" i="1" s="1"/>
  <c r="F4027" i="1"/>
  <c r="E4027" i="1" s="1"/>
  <c r="F122" i="1"/>
  <c r="E122" i="1" s="1"/>
  <c r="F270" i="1"/>
  <c r="E270" i="1" s="1"/>
  <c r="F209" i="1"/>
  <c r="E209" i="1" s="1"/>
  <c r="F645" i="1"/>
  <c r="E645" i="1" s="1"/>
  <c r="E4434" i="1"/>
  <c r="F4179" i="1"/>
  <c r="E4179" i="1" s="1"/>
  <c r="F2150" i="1"/>
  <c r="E2150" i="1" s="1"/>
  <c r="F269" i="1"/>
  <c r="E269" i="1" s="1"/>
  <c r="F3284" i="1"/>
  <c r="E3284" i="1" s="1"/>
  <c r="F4178" i="1"/>
  <c r="E4178" i="1" s="1"/>
  <c r="E1476" i="1"/>
  <c r="F3283" i="1"/>
  <c r="E3283" i="1" s="1"/>
  <c r="F3315" i="1"/>
  <c r="E3315" i="1" s="1"/>
  <c r="F1071" i="1"/>
  <c r="E1071" i="1" s="1"/>
  <c r="F431" i="1"/>
  <c r="E431" i="1" s="1"/>
  <c r="F432" i="1"/>
  <c r="E432" i="1" s="1"/>
  <c r="F3432" i="1"/>
  <c r="E3432" i="1" s="1"/>
  <c r="F3433" i="1"/>
  <c r="E3433" i="1" s="1"/>
  <c r="F2030" i="1"/>
  <c r="E2030" i="1" s="1"/>
  <c r="F919" i="1"/>
  <c r="E919" i="1" s="1"/>
  <c r="E3025" i="1"/>
  <c r="F626" i="1"/>
  <c r="E626" i="1" s="1"/>
  <c r="F635" i="1"/>
  <c r="E635" i="1" s="1"/>
  <c r="F644" i="1"/>
  <c r="E644" i="1" s="1"/>
  <c r="F1448" i="1"/>
  <c r="E1448" i="1" s="1"/>
  <c r="F1475" i="1"/>
  <c r="E1475" i="1" s="1"/>
  <c r="F1574" i="1"/>
  <c r="E1574" i="1" s="1"/>
  <c r="F262" i="1"/>
  <c r="E262" i="1" s="1"/>
  <c r="F2555" i="1"/>
  <c r="E2555" i="1" s="1"/>
  <c r="F1059" i="1"/>
  <c r="E1059" i="1" s="1"/>
  <c r="F1909" i="1"/>
  <c r="E1909" i="1" s="1"/>
  <c r="F1545" i="1"/>
  <c r="E1545" i="1" s="1"/>
  <c r="F1051" i="1"/>
  <c r="E1051" i="1" s="1"/>
  <c r="F3282" i="1"/>
  <c r="E3282" i="1" s="1"/>
  <c r="F1965" i="1"/>
  <c r="E1965" i="1" s="1"/>
  <c r="F1964" i="1"/>
  <c r="E1964" i="1" s="1"/>
  <c r="F574" i="1"/>
  <c r="E574" i="1" s="1"/>
  <c r="F4177" i="1"/>
  <c r="E4177" i="1" s="1"/>
  <c r="F3644" i="1"/>
  <c r="E3644" i="1" s="1"/>
  <c r="F2927" i="1"/>
  <c r="E2927" i="1" s="1"/>
  <c r="E517" i="1"/>
  <c r="F532" i="1"/>
  <c r="E532" i="1" s="1"/>
  <c r="E531" i="1"/>
  <c r="F530" i="1"/>
  <c r="E530" i="1" s="1"/>
  <c r="F261" i="1"/>
  <c r="E261" i="1" s="1"/>
  <c r="F36" i="1"/>
  <c r="E36" i="1" s="1"/>
  <c r="F2530" i="1"/>
  <c r="F41" i="1"/>
  <c r="E41" i="1" s="1"/>
  <c r="F4363" i="1"/>
  <c r="E4363" i="1" s="1"/>
  <c r="F1902" i="1"/>
  <c r="E1902" i="1" s="1"/>
  <c r="F1908" i="1"/>
  <c r="E1908" i="1" s="1"/>
  <c r="F3852" i="1"/>
  <c r="E3852" i="1" s="1"/>
  <c r="F480" i="1"/>
  <c r="E480" i="1" s="1"/>
  <c r="F4120" i="1"/>
  <c r="E4120" i="1" s="1"/>
  <c r="F2808" i="1"/>
  <c r="E2808" i="1" s="1"/>
  <c r="F1178" i="1"/>
  <c r="E1178" i="1" s="1"/>
  <c r="F3114" i="1"/>
  <c r="E3114" i="1" s="1"/>
  <c r="F951" i="1"/>
  <c r="E951" i="1" s="1"/>
  <c r="F1420" i="1"/>
  <c r="E1420" i="1" s="1"/>
  <c r="F1447" i="1"/>
  <c r="E1447" i="1" s="1"/>
  <c r="F3280" i="1"/>
  <c r="E3280" i="1" s="1"/>
  <c r="F4296" i="1"/>
  <c r="E4296" i="1" s="1"/>
  <c r="F1070" i="1"/>
  <c r="E1070" i="1" s="1"/>
  <c r="F1419" i="1"/>
  <c r="E1419" i="1" s="1"/>
  <c r="F2807" i="1"/>
  <c r="E2807" i="1" s="1"/>
  <c r="F408" i="1"/>
  <c r="E408" i="1" s="1"/>
  <c r="F1177" i="1"/>
  <c r="E1177" i="1" s="1"/>
  <c r="F1446" i="1"/>
  <c r="E1446" i="1" s="1"/>
  <c r="F3063" i="1"/>
  <c r="E3063" i="1" s="1"/>
  <c r="F1701" i="1"/>
  <c r="E1701" i="1" s="1"/>
  <c r="F1702" i="1"/>
  <c r="E1702" i="1" s="1"/>
  <c r="F1600" i="1"/>
  <c r="E1600" i="1" s="1"/>
  <c r="F4133" i="1"/>
  <c r="E4133" i="1" s="1"/>
  <c r="F3278" i="1"/>
  <c r="E3278" i="1" s="1"/>
  <c r="F3279" i="1"/>
  <c r="E3279" i="1" s="1"/>
  <c r="F3314" i="1"/>
  <c r="E3314" i="1" s="1"/>
  <c r="F1514" i="1"/>
  <c r="E1514" i="1" s="1"/>
  <c r="F3294" i="1"/>
  <c r="F4546" i="1"/>
  <c r="E4546" i="1" s="1"/>
  <c r="F2974" i="1"/>
  <c r="E2974" i="1" s="1"/>
  <c r="F4060" i="1"/>
  <c r="E4060" i="1" s="1"/>
  <c r="F1357" i="1"/>
  <c r="E1357" i="1" s="1"/>
  <c r="F2763" i="1"/>
  <c r="E2763" i="1" s="1"/>
  <c r="F338" i="1"/>
  <c r="E338" i="1" s="1"/>
  <c r="F1123" i="1"/>
  <c r="E1123" i="1" s="1"/>
  <c r="F233" i="1"/>
  <c r="E233" i="1" s="1"/>
  <c r="F2497" i="1"/>
  <c r="E2497" i="1" s="1"/>
  <c r="F3062" i="1"/>
  <c r="E3062" i="1" s="1"/>
  <c r="F2911" i="1"/>
  <c r="E2911" i="1" s="1"/>
  <c r="F4433" i="1"/>
  <c r="E4433" i="1" s="1"/>
  <c r="E4432" i="1"/>
  <c r="F4176" i="1"/>
  <c r="E4176" i="1" s="1"/>
  <c r="E4175" i="1"/>
  <c r="F4174" i="1"/>
  <c r="E4174" i="1" s="1"/>
  <c r="F2149" i="1"/>
  <c r="E2149" i="1" s="1"/>
  <c r="F4173" i="1"/>
  <c r="E4173" i="1" s="1"/>
  <c r="F938" i="1"/>
  <c r="E938" i="1" s="1"/>
  <c r="F3329" i="1"/>
  <c r="E3329" i="1" s="1"/>
  <c r="F1538" i="1"/>
  <c r="E1538" i="1" s="1"/>
  <c r="F937" i="1"/>
  <c r="E937" i="1" s="1"/>
  <c r="F936" i="1"/>
  <c r="E936" i="1" s="1"/>
  <c r="F2192" i="1"/>
  <c r="E2192" i="1" s="1"/>
  <c r="F1826" i="1"/>
  <c r="E1826" i="1" s="1"/>
  <c r="F2147" i="1"/>
  <c r="E2147" i="1" s="1"/>
  <c r="F970" i="1"/>
  <c r="E970" i="1" s="1"/>
  <c r="F935" i="1"/>
  <c r="E935" i="1" s="1"/>
  <c r="F1769" i="1"/>
  <c r="E1769" i="1" s="1"/>
  <c r="F1356" i="1"/>
  <c r="E1356" i="1" s="1"/>
  <c r="F1355" i="1"/>
  <c r="E1355" i="1" s="1"/>
  <c r="E1825" i="1"/>
  <c r="F3731" i="1"/>
  <c r="E3731" i="1" s="1"/>
  <c r="F1122" i="1"/>
  <c r="E1122" i="1" s="1"/>
  <c r="F969" i="1"/>
  <c r="E969" i="1" s="1"/>
  <c r="F2247" i="1"/>
  <c r="E2247" i="1" s="1"/>
  <c r="F2246" i="1"/>
  <c r="E2246" i="1" s="1"/>
  <c r="F2245" i="1"/>
  <c r="E2245" i="1" s="1"/>
  <c r="F2244" i="1"/>
  <c r="E2244" i="1" s="1"/>
  <c r="F2243" i="1"/>
  <c r="E2243" i="1" s="1"/>
  <c r="F2242" i="1"/>
  <c r="E2242" i="1" s="1"/>
  <c r="F2241" i="1"/>
  <c r="E2241" i="1" s="1"/>
  <c r="F3277" i="1"/>
  <c r="E3277" i="1" s="1"/>
  <c r="F3276" i="1"/>
  <c r="E3276" i="1" s="1"/>
  <c r="E3303" i="1"/>
  <c r="E1824" i="1"/>
  <c r="F3313" i="1"/>
  <c r="E3313" i="1" s="1"/>
  <c r="F3275" i="1"/>
  <c r="E3275" i="1" s="1"/>
  <c r="F1762" i="1"/>
  <c r="E1762" i="1" s="1"/>
  <c r="F430" i="1"/>
  <c r="E430" i="1" s="1"/>
  <c r="F1549" i="1"/>
  <c r="E1549" i="1" s="1"/>
  <c r="F1573" i="1"/>
  <c r="E1573" i="1" s="1"/>
  <c r="F1153" i="1"/>
  <c r="E1153" i="1" s="1"/>
  <c r="F398" i="1"/>
  <c r="E398" i="1" s="1"/>
  <c r="E2539" i="1"/>
  <c r="E104" i="1"/>
  <c r="F3851" i="1"/>
  <c r="E3851" i="1" s="1"/>
  <c r="F97" i="1"/>
  <c r="E97" i="1" s="1"/>
  <c r="F1418" i="1"/>
  <c r="E1418" i="1" s="1"/>
  <c r="F1195" i="1"/>
  <c r="E1195" i="1" s="1"/>
  <c r="F1745" i="1"/>
  <c r="E1745" i="1" s="1"/>
  <c r="E1823" i="1"/>
  <c r="F958" i="1"/>
  <c r="E958" i="1" s="1"/>
  <c r="F950" i="1"/>
  <c r="E950" i="1" s="1"/>
  <c r="F2926" i="1"/>
  <c r="E2926" i="1" s="1"/>
  <c r="F1537" i="1"/>
  <c r="E1537" i="1" s="1"/>
  <c r="F1536" i="1"/>
  <c r="E1536" i="1" s="1"/>
  <c r="F1535" i="1"/>
  <c r="E1535" i="1" s="1"/>
  <c r="F419" i="1"/>
  <c r="E419" i="1" s="1"/>
  <c r="F418" i="1"/>
  <c r="E418" i="1" s="1"/>
  <c r="F2947" i="1"/>
  <c r="E2947" i="1" s="1"/>
  <c r="F2933" i="1"/>
  <c r="E2933" i="1" s="1"/>
  <c r="F2372" i="1"/>
  <c r="E2372" i="1" s="1"/>
  <c r="F1743" i="1"/>
  <c r="E1743" i="1" s="1"/>
  <c r="F1534" i="1"/>
  <c r="E1534" i="1" s="1"/>
  <c r="F417" i="1"/>
  <c r="E417" i="1" s="1"/>
  <c r="E1700" i="1"/>
  <c r="F3456" i="1"/>
  <c r="E3456" i="1" s="1"/>
  <c r="F3632" i="1"/>
  <c r="E3632" i="1" s="1"/>
  <c r="F380" i="1"/>
  <c r="E380" i="1" s="1"/>
  <c r="F914" i="1"/>
  <c r="E914" i="1" s="1"/>
  <c r="F1635" i="1"/>
  <c r="E1635" i="1" s="1"/>
  <c r="F3248" i="1"/>
  <c r="E3248" i="1" s="1"/>
  <c r="F1714" i="1"/>
  <c r="E1714" i="1" s="1"/>
  <c r="F1607" i="1"/>
  <c r="E1607" i="1" s="1"/>
  <c r="F876" i="1"/>
  <c r="E876" i="1" s="1"/>
  <c r="F3263" i="1"/>
  <c r="F2070" i="1"/>
  <c r="E2070" i="1" s="1"/>
  <c r="F678" i="1"/>
  <c r="E678" i="1" s="1"/>
  <c r="F2418" i="1"/>
  <c r="E2418" i="1" s="1"/>
  <c r="E1473" i="1"/>
  <c r="F573" i="1"/>
  <c r="E573" i="1" s="1"/>
  <c r="F4362" i="1"/>
  <c r="E4362" i="1" s="1"/>
  <c r="F1547" i="1"/>
  <c r="E1547" i="1" s="1"/>
  <c r="F13" i="1"/>
  <c r="E13" i="1" s="1"/>
  <c r="F440" i="1"/>
  <c r="E440" i="1" s="1"/>
  <c r="F2069" i="1"/>
  <c r="E2069" i="1" s="1"/>
  <c r="F2068" i="1"/>
  <c r="E2068" i="1" s="1"/>
  <c r="F2406" i="1"/>
  <c r="E2406" i="1" s="1"/>
  <c r="F1742" i="1"/>
  <c r="E1742" i="1" s="1"/>
  <c r="E4430" i="1"/>
  <c r="F1791" i="1"/>
  <c r="E1791" i="1" s="1"/>
  <c r="F1572" i="1"/>
  <c r="E1572" i="1" s="1"/>
  <c r="F1087" i="1"/>
  <c r="E1087" i="1" s="1"/>
  <c r="F1016" i="1"/>
  <c r="E1016" i="1" s="1"/>
  <c r="F449" i="1"/>
  <c r="E449" i="1" s="1"/>
  <c r="F379" i="1"/>
  <c r="E379" i="1" s="1"/>
  <c r="E4501" i="1"/>
  <c r="F3245" i="1"/>
  <c r="E3245" i="1" s="1"/>
  <c r="F231" i="1"/>
  <c r="E231" i="1" s="1"/>
  <c r="F3655" i="1"/>
  <c r="E3655" i="1" s="1"/>
  <c r="F542" i="1"/>
  <c r="E542" i="1" s="1"/>
  <c r="F1513" i="1"/>
  <c r="E1513" i="1" s="1"/>
  <c r="F495" i="1"/>
  <c r="E495" i="1" s="1"/>
  <c r="F2146" i="1"/>
  <c r="E2146" i="1" s="1"/>
  <c r="F120" i="1"/>
  <c r="E120" i="1" s="1"/>
  <c r="F1721" i="1"/>
  <c r="E1721" i="1" s="1"/>
  <c r="F1612" i="1"/>
  <c r="E1612" i="1" s="1"/>
  <c r="F881" i="1"/>
  <c r="E881" i="1" s="1"/>
  <c r="F2762" i="1"/>
  <c r="E2762" i="1" s="1"/>
  <c r="E4584" i="1"/>
  <c r="F4361" i="1"/>
  <c r="E4361" i="1" s="1"/>
  <c r="F1152" i="1"/>
  <c r="E1152" i="1" s="1"/>
  <c r="F268" i="1"/>
  <c r="E268" i="1" s="1"/>
  <c r="F2425" i="1"/>
  <c r="E2425" i="1" s="1"/>
  <c r="F1162" i="1"/>
  <c r="E1162" i="1" s="1"/>
  <c r="F3846" i="1"/>
  <c r="E3846" i="1" s="1"/>
  <c r="F2787" i="1"/>
  <c r="F260" i="1"/>
  <c r="E260" i="1" s="1"/>
  <c r="F2806" i="1"/>
  <c r="E2806" i="1" s="1"/>
  <c r="F1472" i="1"/>
  <c r="E1472" i="1" s="1"/>
  <c r="F33" i="1"/>
  <c r="E33" i="1" s="1"/>
  <c r="F804" i="1"/>
  <c r="E804" i="1" s="1"/>
  <c r="F1034" i="1"/>
  <c r="E1034" i="1" s="1"/>
  <c r="F119" i="1"/>
  <c r="E119" i="1" s="1"/>
  <c r="F2900" i="1"/>
  <c r="E2900" i="1" s="1"/>
  <c r="F206" i="1"/>
  <c r="E206" i="1" s="1"/>
  <c r="F3834" i="1"/>
  <c r="E3834" i="1" s="1"/>
  <c r="F1571" i="1"/>
  <c r="E1571" i="1" s="1"/>
  <c r="F1219" i="1"/>
  <c r="E1219" i="1" s="1"/>
  <c r="F1015" i="1"/>
  <c r="E1015" i="1" s="1"/>
  <c r="F494" i="1"/>
  <c r="E494" i="1" s="1"/>
  <c r="F448" i="1"/>
  <c r="E448" i="1" s="1"/>
  <c r="F2391" i="1"/>
  <c r="E2391" i="1" s="1"/>
  <c r="E4429" i="1"/>
  <c r="F654" i="1"/>
  <c r="E654" i="1" s="1"/>
  <c r="F1512" i="1"/>
  <c r="E1512" i="1" s="1"/>
  <c r="F2376" i="1"/>
  <c r="E2376" i="1" s="1"/>
  <c r="F2385" i="1"/>
  <c r="E2385" i="1" s="1"/>
  <c r="F1907" i="1"/>
  <c r="E1907" i="1" s="1"/>
  <c r="E1822" i="1"/>
  <c r="F934" i="1"/>
  <c r="E934" i="1" s="1"/>
  <c r="F933" i="1"/>
  <c r="E933" i="1" s="1"/>
  <c r="F932" i="1"/>
  <c r="E932" i="1" s="1"/>
  <c r="F931" i="1"/>
  <c r="E931" i="1" s="1"/>
  <c r="F1686" i="1"/>
  <c r="E1686" i="1" s="1"/>
  <c r="F1206" i="1"/>
  <c r="E1206" i="1" s="1"/>
  <c r="F1205" i="1"/>
  <c r="E1205" i="1" s="1"/>
  <c r="F1215" i="1"/>
  <c r="E1215" i="1" s="1"/>
  <c r="F1214" i="1"/>
  <c r="E1214" i="1" s="1"/>
  <c r="F3791" i="1"/>
  <c r="E3791" i="1" s="1"/>
  <c r="F2867" i="1"/>
  <c r="E2867" i="1" s="1"/>
  <c r="F2866" i="1"/>
  <c r="E2866" i="1" s="1"/>
  <c r="F1511" i="1"/>
  <c r="E1511" i="1" s="1"/>
  <c r="F2865" i="1"/>
  <c r="E2865" i="1" s="1"/>
  <c r="F2836" i="1"/>
  <c r="E2836" i="1" s="1"/>
  <c r="F4360" i="1"/>
  <c r="E4360" i="1" s="1"/>
  <c r="F4359" i="1"/>
  <c r="E4359" i="1" s="1"/>
  <c r="F4358" i="1"/>
  <c r="E4358" i="1" s="1"/>
  <c r="F3831" i="1"/>
  <c r="E3831" i="1" s="1"/>
  <c r="F493" i="1"/>
  <c r="E493" i="1" s="1"/>
  <c r="F1510" i="1"/>
  <c r="E1510" i="1" s="1"/>
  <c r="F1508" i="1"/>
  <c r="E1508" i="1" s="1"/>
  <c r="F1445" i="1"/>
  <c r="E1445" i="1" s="1"/>
  <c r="E1469" i="1"/>
  <c r="F662" i="1"/>
  <c r="E662" i="1" s="1"/>
  <c r="F2167" i="1"/>
  <c r="E2167" i="1" s="1"/>
  <c r="F4692" i="1"/>
  <c r="E4692" i="1" s="1"/>
  <c r="F1014" i="1"/>
  <c r="E1014" i="1" s="1"/>
  <c r="E4427" i="1"/>
  <c r="F4172" i="1"/>
  <c r="E4172" i="1" s="1"/>
  <c r="E4428" i="1"/>
  <c r="F4171" i="1"/>
  <c r="E4171" i="1" s="1"/>
  <c r="F2864" i="1"/>
  <c r="E2864" i="1" s="1"/>
  <c r="F2863" i="1"/>
  <c r="E2863" i="1" s="1"/>
  <c r="F2862" i="1"/>
  <c r="E2862" i="1" s="1"/>
  <c r="F3812" i="1"/>
  <c r="E3812" i="1" s="1"/>
  <c r="F3730" i="1"/>
  <c r="E3730" i="1" s="1"/>
  <c r="F1533" i="1"/>
  <c r="E1533" i="1" s="1"/>
  <c r="F968" i="1"/>
  <c r="E968" i="1" s="1"/>
  <c r="F416" i="1"/>
  <c r="E416" i="1" s="1"/>
  <c r="F4676" i="1"/>
  <c r="E4676" i="1" s="1"/>
  <c r="F2910" i="1"/>
  <c r="E2910" i="1" s="1"/>
  <c r="E3602" i="1"/>
  <c r="F3602" i="1"/>
  <c r="F2717" i="1"/>
  <c r="E2717" i="1" s="1"/>
  <c r="F2496" i="1"/>
  <c r="E2496" i="1" s="1"/>
  <c r="F730" i="1"/>
  <c r="E730" i="1" s="1"/>
  <c r="F283" i="1"/>
  <c r="E283" i="1" s="1"/>
  <c r="E4426" i="1"/>
  <c r="F4170" i="1"/>
  <c r="E4170" i="1" s="1"/>
  <c r="F1532" i="1"/>
  <c r="E1532" i="1" s="1"/>
  <c r="F1768" i="1"/>
  <c r="E1768" i="1" s="1"/>
  <c r="F643" i="1"/>
  <c r="E643" i="1" s="1"/>
  <c r="F3811" i="1"/>
  <c r="E3811" i="1" s="1"/>
  <c r="F1353" i="1"/>
  <c r="E1353" i="1" s="1"/>
  <c r="F5" i="1"/>
  <c r="E5" i="1" s="1"/>
  <c r="F4" i="1"/>
  <c r="E4" i="1" s="1"/>
  <c r="F1330" i="1"/>
  <c r="E1330" i="1" s="1"/>
  <c r="F1339" i="1"/>
  <c r="E1339" i="1" s="1"/>
  <c r="F3810" i="1"/>
  <c r="E3810" i="1" s="1"/>
  <c r="F1346" i="1"/>
  <c r="E1346" i="1" s="1"/>
  <c r="F3789" i="1"/>
  <c r="E3789" i="1" s="1"/>
  <c r="F1790" i="1"/>
  <c r="E1790" i="1" s="1"/>
  <c r="F1218" i="1"/>
  <c r="E1218" i="1" s="1"/>
  <c r="F2390" i="1"/>
  <c r="E2390" i="1" s="1"/>
  <c r="F479" i="1"/>
  <c r="E479" i="1" s="1"/>
  <c r="F3654" i="1"/>
  <c r="E3654" i="1" s="1"/>
  <c r="E3061" i="1"/>
  <c r="F2945" i="1"/>
  <c r="E2945" i="1" s="1"/>
  <c r="F2480" i="1"/>
  <c r="E2480" i="1" s="1"/>
  <c r="F541" i="1"/>
  <c r="E541" i="1" s="1"/>
  <c r="F301" i="1"/>
  <c r="E301" i="1" s="1"/>
  <c r="F4610" i="1"/>
  <c r="E4610" i="1" s="1"/>
  <c r="F2826" i="1"/>
  <c r="E2826" i="1" s="1"/>
  <c r="F2735" i="1"/>
  <c r="E2735" i="1" s="1"/>
  <c r="F2734" i="1"/>
  <c r="E2734" i="1" s="1"/>
  <c r="F2517" i="1"/>
  <c r="E2517" i="1" s="1"/>
  <c r="F2260" i="1"/>
  <c r="E2260" i="1" s="1"/>
  <c r="F869" i="1"/>
  <c r="E869" i="1" s="1"/>
  <c r="F743" i="1"/>
  <c r="E743" i="1" s="1"/>
  <c r="F839" i="1"/>
  <c r="E839" i="1" s="1"/>
  <c r="F764" i="1"/>
  <c r="E764" i="1" s="1"/>
  <c r="F203" i="1"/>
  <c r="E203" i="1" s="1"/>
  <c r="F1151" i="1"/>
  <c r="E1151" i="1" s="1"/>
  <c r="F930" i="1"/>
  <c r="E930" i="1" s="1"/>
  <c r="F4599" i="1"/>
  <c r="E4599" i="1" s="1"/>
  <c r="E4459" i="1"/>
  <c r="F3601" i="1"/>
  <c r="E3601" i="1" s="1"/>
  <c r="F2714" i="1"/>
  <c r="E2714" i="1" s="1"/>
  <c r="F2495" i="1"/>
  <c r="E2495" i="1" s="1"/>
  <c r="F860" i="1"/>
  <c r="E860" i="1" s="1"/>
  <c r="F729" i="1"/>
  <c r="E729" i="1" s="1"/>
  <c r="F282" i="1"/>
  <c r="E282" i="1" s="1"/>
  <c r="F2909" i="1"/>
  <c r="E2909" i="1" s="1"/>
  <c r="F4626" i="1"/>
  <c r="E4626" i="1" s="1"/>
  <c r="E4425" i="1"/>
  <c r="F4169" i="1"/>
  <c r="E4169" i="1" s="1"/>
  <c r="E1820" i="1"/>
  <c r="E2145" i="1"/>
  <c r="F4168" i="1"/>
  <c r="E4168" i="1" s="1"/>
  <c r="F4167" i="1"/>
  <c r="E4167" i="1" s="1"/>
  <c r="F4166" i="1"/>
  <c r="E4166" i="1" s="1"/>
  <c r="F1417" i="1"/>
  <c r="E1417" i="1" s="1"/>
  <c r="F929" i="1"/>
  <c r="E929" i="1" s="1"/>
  <c r="F928" i="1"/>
  <c r="E928" i="1" s="1"/>
  <c r="F2144" i="1"/>
  <c r="E2144" i="1" s="1"/>
  <c r="E2544" i="1"/>
  <c r="F3301" i="1"/>
  <c r="E3301" i="1" s="1"/>
  <c r="F2141" i="1"/>
  <c r="E2141" i="1" s="1"/>
  <c r="E725" i="1"/>
  <c r="F723" i="1"/>
  <c r="F3312" i="1"/>
  <c r="E3312" i="1" s="1"/>
  <c r="F2143" i="1"/>
  <c r="F3274" i="1"/>
  <c r="E3274" i="1" s="1"/>
  <c r="F4576" i="1"/>
  <c r="E4576" i="1" s="1"/>
  <c r="F1499" i="1"/>
  <c r="E1499" i="1" s="1"/>
  <c r="E2568" i="1"/>
  <c r="F2567" i="1"/>
  <c r="E2567" i="1" s="1"/>
  <c r="F1460" i="1"/>
  <c r="E1460" i="1" s="1"/>
  <c r="F3293" i="1"/>
  <c r="E3293" i="1" s="1"/>
  <c r="F3311" i="1"/>
  <c r="E3311" i="1" s="1"/>
  <c r="F3454" i="1"/>
  <c r="E3454" i="1" s="1"/>
  <c r="E1883" i="1"/>
  <c r="F4453" i="1"/>
  <c r="F2173" i="1"/>
  <c r="E2173" i="1" s="1"/>
  <c r="F4518" i="1"/>
  <c r="E4518" i="1" s="1"/>
  <c r="F1442" i="1"/>
  <c r="E1442" i="1" s="1"/>
  <c r="F3272" i="1"/>
  <c r="E3272" i="1" s="1"/>
  <c r="F1396" i="1"/>
  <c r="E1396" i="1" s="1"/>
  <c r="F659" i="1"/>
  <c r="E659" i="1" s="1"/>
  <c r="F1316" i="1"/>
  <c r="E1316" i="1" s="1"/>
  <c r="F1388" i="1"/>
  <c r="E1388" i="1" s="1"/>
  <c r="F1590" i="1"/>
  <c r="E1590" i="1" s="1"/>
  <c r="F927" i="1"/>
  <c r="E927" i="1" s="1"/>
  <c r="F926" i="1"/>
  <c r="E926" i="1" s="1"/>
  <c r="F290" i="1"/>
  <c r="E290" i="1" s="1"/>
  <c r="F4292" i="1"/>
  <c r="E4292" i="1" s="1"/>
  <c r="F1057" i="1"/>
  <c r="E1057" i="1" s="1"/>
  <c r="F4164" i="1"/>
  <c r="E4164" i="1" s="1"/>
  <c r="F558" i="1"/>
  <c r="E558" i="1" s="1"/>
  <c r="F3302" i="1"/>
  <c r="E3302" i="1" s="1"/>
  <c r="F567" i="1"/>
  <c r="E567" i="1" s="1"/>
  <c r="F2855" i="1"/>
  <c r="E2855" i="1" s="1"/>
  <c r="F4458" i="1"/>
  <c r="E4458" i="1" s="1"/>
  <c r="F2503" i="1"/>
  <c r="E2503" i="1" s="1"/>
  <c r="F4026" i="1"/>
  <c r="E4026" i="1" s="1"/>
  <c r="F4025" i="1"/>
  <c r="E4025" i="1" s="1"/>
  <c r="F768" i="1"/>
  <c r="E768" i="1" s="1"/>
  <c r="F2894" i="1"/>
  <c r="E2894" i="1" s="1"/>
  <c r="F2893" i="1"/>
  <c r="E2893" i="1" s="1"/>
  <c r="F412" i="1"/>
  <c r="E412" i="1" s="1"/>
  <c r="F370" i="1"/>
  <c r="E370" i="1" s="1"/>
  <c r="F309" i="1"/>
  <c r="E309" i="1" s="1"/>
  <c r="F1643" i="1"/>
  <c r="E1643" i="1" s="1"/>
  <c r="F1648" i="1"/>
  <c r="E1648" i="1" s="1"/>
  <c r="F1647" i="1"/>
  <c r="E1647" i="1" s="1"/>
  <c r="F1646" i="1"/>
  <c r="E1646" i="1" s="1"/>
  <c r="F1544" i="1"/>
  <c r="E1544" i="1" s="1"/>
  <c r="F425" i="1"/>
  <c r="E425" i="1" s="1"/>
  <c r="F2210" i="1"/>
  <c r="E2210" i="1" s="1"/>
  <c r="F4106" i="1"/>
  <c r="E4106" i="1" s="1"/>
  <c r="F2791" i="1"/>
  <c r="E2791" i="1" s="1"/>
  <c r="F836" i="1"/>
  <c r="E836" i="1" s="1"/>
  <c r="F204" i="1"/>
  <c r="E204" i="1" s="1"/>
  <c r="F566" i="1"/>
  <c r="E566" i="1" s="1"/>
  <c r="F4675" i="1"/>
  <c r="E4675" i="1" s="1"/>
  <c r="F4107" i="1"/>
  <c r="F1692" i="1"/>
  <c r="E1692" i="1" s="1"/>
  <c r="F1691" i="1"/>
  <c r="E1691" i="1" s="1"/>
  <c r="F655" i="1"/>
  <c r="E655" i="1" s="1"/>
  <c r="F1394" i="1"/>
  <c r="E1394" i="1" s="1"/>
  <c r="F1393" i="1"/>
  <c r="E1393" i="1" s="1"/>
  <c r="E487" i="1"/>
  <c r="F1779" i="1"/>
  <c r="E1779" i="1" s="1"/>
  <c r="F977" i="1"/>
  <c r="E977" i="1" s="1"/>
  <c r="F4260" i="1"/>
  <c r="E4260" i="1" s="1"/>
  <c r="E4511" i="1"/>
  <c r="F4259" i="1"/>
  <c r="E4259" i="1" s="1"/>
  <c r="F4446" i="1"/>
  <c r="E4446" i="1" s="1"/>
  <c r="F3333" i="1"/>
  <c r="E3333" i="1" s="1"/>
  <c r="F3332" i="1"/>
  <c r="E3332" i="1" s="1"/>
  <c r="F4204" i="1"/>
  <c r="E4204" i="1" s="1"/>
  <c r="F2201" i="1"/>
  <c r="E2201" i="1" s="1"/>
  <c r="F4203" i="1"/>
  <c r="F985" i="1"/>
  <c r="E985" i="1" s="1"/>
  <c r="F996" i="1"/>
  <c r="E996" i="1" s="1"/>
  <c r="F1780" i="1"/>
  <c r="E1780" i="1" s="1"/>
  <c r="F90" i="1"/>
  <c r="E90" i="1" s="1"/>
  <c r="F2027" i="1"/>
  <c r="E2027" i="1" s="1"/>
  <c r="F2384" i="1"/>
  <c r="E2384" i="1" s="1"/>
  <c r="F2379" i="1"/>
  <c r="E2379" i="1" s="1"/>
  <c r="F1213" i="1"/>
  <c r="E1213" i="1" s="1"/>
  <c r="F2562" i="1"/>
  <c r="E2562" i="1" s="1"/>
  <c r="F32" i="1"/>
  <c r="E32" i="1" s="1"/>
  <c r="F3196" i="1"/>
  <c r="E3196" i="1" s="1"/>
  <c r="F4023" i="1"/>
  <c r="E4023" i="1" s="1"/>
  <c r="F310" i="1"/>
  <c r="E310" i="1" s="1"/>
  <c r="F913" i="1"/>
  <c r="E913" i="1" s="1"/>
  <c r="F2892" i="1"/>
  <c r="E2892" i="1" s="1"/>
  <c r="F1783" i="1"/>
  <c r="E1783" i="1" s="1"/>
  <c r="F2674" i="1"/>
  <c r="E2674" i="1" s="1"/>
  <c r="F1782" i="1"/>
  <c r="E1782" i="1" s="1"/>
  <c r="F3788" i="1"/>
  <c r="E3788" i="1" s="1"/>
  <c r="F957" i="1"/>
  <c r="E957" i="1" s="1"/>
  <c r="F948" i="1"/>
  <c r="E948" i="1" s="1"/>
  <c r="F1055" i="1"/>
  <c r="E1055" i="1" s="1"/>
  <c r="F2067" i="1"/>
  <c r="E2067" i="1" s="1"/>
  <c r="E1570" i="1"/>
  <c r="F2123" i="1"/>
  <c r="E2123" i="1" s="1"/>
  <c r="F2122" i="1"/>
  <c r="E2122" i="1" s="1"/>
  <c r="F2121" i="1"/>
  <c r="E2121" i="1" s="1"/>
  <c r="F2110" i="1"/>
  <c r="E2110" i="1" s="1"/>
  <c r="F2109" i="1"/>
  <c r="E2109" i="1" s="1"/>
  <c r="F4044" i="1"/>
  <c r="E4044" i="1" s="1"/>
  <c r="F4043" i="1"/>
  <c r="E4043" i="1" s="1"/>
  <c r="E3809" i="1"/>
  <c r="F1530" i="1"/>
  <c r="E1530" i="1" s="1"/>
  <c r="F415" i="1"/>
  <c r="E415" i="1" s="1"/>
  <c r="F2108" i="1"/>
  <c r="E2108" i="1" s="1"/>
  <c r="F259" i="1"/>
  <c r="E259" i="1" s="1"/>
  <c r="F1138" i="1"/>
  <c r="E1138" i="1" s="1"/>
  <c r="F1120" i="1"/>
  <c r="E1120" i="1" s="1"/>
  <c r="F1161" i="1"/>
  <c r="E1161" i="1" s="1"/>
  <c r="F1175" i="1"/>
  <c r="E1175" i="1" s="1"/>
  <c r="E4583" i="1"/>
  <c r="F1906" i="1"/>
  <c r="E1906" i="1" s="1"/>
  <c r="F3113" i="1"/>
  <c r="E3113" i="1" s="1"/>
  <c r="F4108" i="1"/>
  <c r="E4108" i="1" s="1"/>
  <c r="F912" i="1"/>
  <c r="E912" i="1" s="1"/>
  <c r="F2104" i="1"/>
  <c r="E2104" i="1" s="1"/>
  <c r="F4291" i="1"/>
  <c r="E4291" i="1" s="1"/>
  <c r="F1174" i="1"/>
  <c r="E1174" i="1" s="1"/>
  <c r="F267" i="1"/>
  <c r="E267" i="1" s="1"/>
  <c r="F393" i="1"/>
  <c r="E393" i="1" s="1"/>
  <c r="F257" i="1"/>
  <c r="E257" i="1" s="1"/>
  <c r="F96" i="1"/>
  <c r="E96" i="1" s="1"/>
  <c r="F2026" i="1"/>
  <c r="E2026" i="1" s="1"/>
  <c r="F816" i="1"/>
  <c r="E816" i="1" s="1"/>
  <c r="F2066" i="1"/>
  <c r="E2066" i="1" s="1"/>
  <c r="F2417" i="1"/>
  <c r="E2417" i="1" s="1"/>
  <c r="F1150" i="1"/>
  <c r="E1150" i="1" s="1"/>
  <c r="F1160" i="1"/>
  <c r="E1160" i="1" s="1"/>
  <c r="F2025" i="1"/>
  <c r="E2025" i="1" s="1"/>
  <c r="F3997" i="1"/>
  <c r="E3997" i="1" s="1"/>
  <c r="F1149" i="1"/>
  <c r="E1149" i="1" s="1"/>
  <c r="F1226" i="1"/>
  <c r="E1226" i="1" s="1"/>
  <c r="F3996" i="1"/>
  <c r="E3996" i="1" s="1"/>
  <c r="F3247" i="1"/>
  <c r="E3247" i="1" s="1"/>
  <c r="F2405" i="1"/>
  <c r="E2405" i="1" s="1"/>
  <c r="F1159" i="1"/>
  <c r="E1159" i="1" s="1"/>
  <c r="E4582" i="1"/>
  <c r="F4356" i="1"/>
  <c r="E4356" i="1" s="1"/>
  <c r="F4357" i="1"/>
  <c r="E4357" i="1" s="1"/>
  <c r="F1173" i="1"/>
  <c r="E1173" i="1" s="1"/>
  <c r="F1158" i="1"/>
  <c r="E1158" i="1" s="1"/>
  <c r="F1119" i="1"/>
  <c r="E1119" i="1" s="1"/>
  <c r="F1238" i="1"/>
  <c r="E1238" i="1" s="1"/>
  <c r="F1236" i="1"/>
  <c r="E1236" i="1" s="1"/>
  <c r="F2805" i="1"/>
  <c r="E2805" i="1" s="1"/>
  <c r="F911" i="1"/>
  <c r="E911" i="1" s="1"/>
  <c r="F447" i="1"/>
  <c r="E447" i="1" s="1"/>
  <c r="F2375" i="1"/>
  <c r="E2375" i="1" s="1"/>
  <c r="F4117" i="1"/>
  <c r="E4117" i="1" s="1"/>
  <c r="F3262" i="1"/>
  <c r="E3262" i="1" s="1"/>
  <c r="F2561" i="1"/>
  <c r="E2561" i="1" s="1"/>
  <c r="F1634" i="1"/>
  <c r="E1634" i="1" s="1"/>
  <c r="F1172" i="1"/>
  <c r="E1172" i="1" s="1"/>
  <c r="F918" i="1"/>
  <c r="E918" i="1" s="1"/>
  <c r="F634" i="1"/>
  <c r="E634" i="1" s="1"/>
  <c r="F1269" i="1"/>
  <c r="E1269" i="1" s="1"/>
  <c r="F2383" i="1"/>
  <c r="E2383" i="1" s="1"/>
  <c r="F1999" i="1"/>
  <c r="E1999" i="1" s="1"/>
  <c r="F999" i="1"/>
  <c r="E999" i="1" s="1"/>
  <c r="F4022" i="1"/>
  <c r="F2107" i="1"/>
  <c r="E2107" i="1" s="1"/>
  <c r="F2899" i="1"/>
  <c r="E2899" i="1" s="1"/>
  <c r="F4020" i="1"/>
  <c r="E4020" i="1" s="1"/>
  <c r="F1118" i="1"/>
  <c r="E1118" i="1" s="1"/>
  <c r="F3995" i="1"/>
  <c r="E3995" i="1" s="1"/>
  <c r="F2842" i="1"/>
  <c r="E2842" i="1" s="1"/>
  <c r="F834" i="1"/>
  <c r="E834" i="1" s="1"/>
  <c r="F3430" i="1"/>
  <c r="E3430" i="1" s="1"/>
  <c r="F3431" i="1"/>
  <c r="E3431" i="1" s="1"/>
  <c r="F1957" i="1"/>
  <c r="E1957" i="1" s="1"/>
  <c r="F1956" i="1"/>
  <c r="E1956" i="1" s="1"/>
  <c r="F1412" i="1"/>
  <c r="E1412" i="1" s="1"/>
  <c r="E1411" i="1"/>
  <c r="F1543" i="1"/>
  <c r="E1543" i="1" s="1"/>
  <c r="F949" i="1"/>
  <c r="E949" i="1" s="1"/>
  <c r="F947" i="1"/>
  <c r="E947" i="1" s="1"/>
  <c r="F833" i="1"/>
  <c r="E833" i="1" s="1"/>
  <c r="F1471" i="1"/>
  <c r="E1471" i="1" s="1"/>
  <c r="E1470" i="1"/>
  <c r="F2514" i="1"/>
  <c r="E2514" i="1" s="1"/>
  <c r="F2513" i="1"/>
  <c r="E2513" i="1" s="1"/>
  <c r="F1955" i="1"/>
  <c r="E1955" i="1" s="1"/>
  <c r="F1954" i="1"/>
  <c r="E1954" i="1" s="1"/>
  <c r="F1623" i="1"/>
  <c r="E1623" i="1" s="1"/>
  <c r="F2403" i="1"/>
  <c r="E2403" i="1" s="1"/>
  <c r="F1761" i="1"/>
  <c r="E1761" i="1" s="1"/>
  <c r="F4163" i="1"/>
  <c r="E4163" i="1" s="1"/>
  <c r="F4423" i="1"/>
  <c r="E4423" i="1" s="1"/>
  <c r="F3328" i="1"/>
  <c r="E3328" i="1" s="1"/>
  <c r="F1529" i="1"/>
  <c r="E1529" i="1" s="1"/>
  <c r="E1817" i="1"/>
  <c r="F3825" i="1"/>
  <c r="E3825" i="1" s="1"/>
  <c r="F1569" i="1"/>
  <c r="E1569" i="1" s="1"/>
  <c r="F663" i="1"/>
  <c r="E663" i="1" s="1"/>
  <c r="F666" i="1"/>
  <c r="E666" i="1" s="1"/>
  <c r="E664" i="1"/>
  <c r="F4212" i="1"/>
  <c r="E4212" i="1" s="1"/>
  <c r="E4457" i="1"/>
  <c r="F642" i="1"/>
  <c r="E642" i="1" s="1"/>
  <c r="F1212" i="1"/>
  <c r="E1212" i="1" s="1"/>
  <c r="F814" i="1"/>
  <c r="E814" i="1" s="1"/>
  <c r="F1410" i="1"/>
  <c r="E1410" i="1" s="1"/>
  <c r="E4422" i="1"/>
  <c r="F4287" i="1"/>
  <c r="E4287" i="1" s="1"/>
  <c r="F762" i="1"/>
  <c r="E762" i="1" s="1"/>
  <c r="F1693" i="1"/>
  <c r="E1693" i="1" s="1"/>
  <c r="F4211" i="1"/>
  <c r="E4211" i="1" s="1"/>
  <c r="F3044" i="1"/>
  <c r="E3044" i="1" s="1"/>
  <c r="F1171" i="1"/>
  <c r="E1171" i="1" s="1"/>
  <c r="E373" i="1"/>
  <c r="F4160" i="1"/>
  <c r="E4160" i="1" s="1"/>
  <c r="F1148" i="1"/>
  <c r="E1148" i="1" s="1"/>
  <c r="F4081" i="1"/>
  <c r="E4081" i="1" s="1"/>
  <c r="F2103" i="1"/>
  <c r="E2103" i="1" s="1"/>
  <c r="F1951" i="1"/>
  <c r="E1951" i="1" s="1"/>
  <c r="F4128" i="1"/>
  <c r="E4128" i="1" s="1"/>
  <c r="F2064" i="1"/>
  <c r="E2064" i="1" s="1"/>
  <c r="F4042" i="1"/>
  <c r="E4042" i="1" s="1"/>
  <c r="F641" i="1"/>
  <c r="E641" i="1" s="1"/>
  <c r="F760" i="1"/>
  <c r="E760" i="1" s="1"/>
  <c r="F176" i="1"/>
  <c r="E176" i="1" s="1"/>
  <c r="F201" i="1"/>
  <c r="E201" i="1" s="1"/>
  <c r="F4158" i="1"/>
  <c r="E4158" i="1" s="1"/>
  <c r="F4157" i="1"/>
  <c r="E4157" i="1" s="1"/>
  <c r="E1816" i="1"/>
  <c r="F3093" i="1"/>
  <c r="E3093" i="1" s="1"/>
  <c r="F1760" i="1"/>
  <c r="E1760" i="1" s="1"/>
  <c r="F439" i="1"/>
  <c r="E439" i="1" s="1"/>
  <c r="F3244" i="1"/>
  <c r="E3244" i="1" s="1"/>
  <c r="F1950" i="1"/>
  <c r="E1950" i="1" s="1"/>
  <c r="F1949" i="1"/>
  <c r="E1949" i="1" s="1"/>
  <c r="F2760" i="1"/>
  <c r="E2760" i="1" s="1"/>
  <c r="F1996" i="1"/>
  <c r="E1996" i="1" s="1"/>
  <c r="F1506" i="1"/>
  <c r="E1506" i="1" s="1"/>
  <c r="F1082" i="1"/>
  <c r="E1082" i="1" s="1"/>
  <c r="E1815" i="1"/>
  <c r="F2944" i="1"/>
  <c r="E2944" i="1" s="1"/>
  <c r="F742" i="1"/>
  <c r="E742" i="1" s="1"/>
  <c r="F300" i="1"/>
  <c r="E300" i="1" s="1"/>
  <c r="F3653" i="1"/>
  <c r="E3653" i="1" s="1"/>
  <c r="F2259" i="1"/>
  <c r="E2259" i="1" s="1"/>
  <c r="F4041" i="1"/>
  <c r="E4041" i="1" s="1"/>
  <c r="F2898" i="1"/>
  <c r="E2898" i="1" s="1"/>
  <c r="F1568" i="1"/>
  <c r="E1568" i="1" s="1"/>
  <c r="F3830" i="1"/>
  <c r="E3830" i="1" s="1"/>
  <c r="F1904" i="1"/>
  <c r="E1904" i="1" s="1"/>
  <c r="F3444" i="1"/>
  <c r="E3444" i="1" s="1"/>
  <c r="F3212" i="1"/>
  <c r="E3212" i="1" s="1"/>
  <c r="F4352" i="1"/>
  <c r="E4352" i="1" s="1"/>
  <c r="F1170" i="1"/>
  <c r="E1170" i="1" s="1"/>
  <c r="F1504" i="1"/>
  <c r="E1504" i="1" s="1"/>
  <c r="E1903" i="1"/>
  <c r="F2967" i="1"/>
  <c r="E2967" i="1" s="1"/>
  <c r="F2414" i="1"/>
  <c r="E2414" i="1" s="1"/>
  <c r="F114" i="1"/>
  <c r="E114" i="1" s="1"/>
  <c r="F1680" i="1"/>
  <c r="E1680" i="1" s="1"/>
  <c r="F910" i="1"/>
  <c r="E910" i="1" s="1"/>
  <c r="F4156" i="1"/>
  <c r="E4156" i="1" s="1"/>
  <c r="F3551" i="1"/>
  <c r="E3551" i="1" s="1"/>
  <c r="F3554" i="1"/>
  <c r="E3554" i="1" s="1"/>
  <c r="F1197" i="1"/>
  <c r="E1197" i="1" s="1"/>
  <c r="F2759" i="1"/>
  <c r="E2759" i="1" s="1"/>
  <c r="F2252" i="1"/>
  <c r="E2252" i="1" s="1"/>
  <c r="F4286" i="1"/>
  <c r="E4286" i="1" s="1"/>
  <c r="F3429" i="1"/>
  <c r="E3429" i="1" s="1"/>
  <c r="F2413" i="1"/>
  <c r="E2413" i="1" s="1"/>
  <c r="F1194" i="1"/>
  <c r="E1194" i="1" s="1"/>
  <c r="F2758" i="1"/>
  <c r="E2758" i="1" s="1"/>
  <c r="F229" i="1"/>
  <c r="E229" i="1" s="1"/>
  <c r="F2757" i="1"/>
  <c r="E2757" i="1" s="1"/>
  <c r="F2560" i="1"/>
  <c r="E2560" i="1" s="1"/>
  <c r="F1695" i="1"/>
  <c r="E1695" i="1" s="1"/>
  <c r="F1169" i="1"/>
  <c r="E1169" i="1" s="1"/>
  <c r="E1304" i="1"/>
  <c r="F1944" i="1"/>
  <c r="E1944" i="1" s="1"/>
  <c r="F1225" i="1"/>
  <c r="E1225" i="1" s="1"/>
  <c r="F1117" i="1"/>
  <c r="E1117" i="1" s="1"/>
  <c r="F2891" i="1"/>
  <c r="E2891" i="1" s="1"/>
  <c r="F2786" i="1"/>
  <c r="E2786" i="1" s="1"/>
  <c r="F256" i="1"/>
  <c r="E256" i="1" s="1"/>
  <c r="F2024" i="1"/>
  <c r="E2024" i="1" s="1"/>
  <c r="F3845" i="1"/>
  <c r="E3845" i="1" s="1"/>
  <c r="F2841" i="1"/>
  <c r="E2841" i="1" s="1"/>
  <c r="F1633" i="1"/>
  <c r="E1633" i="1" s="1"/>
  <c r="E4203" i="1" l="1"/>
  <c r="E1690" i="1"/>
  <c r="E455" i="1"/>
  <c r="E1675" i="1"/>
  <c r="E915" i="1"/>
  <c r="E1681" i="1"/>
  <c r="F3220" i="1"/>
  <c r="E3220" i="1" s="1"/>
  <c r="F3215" i="1"/>
  <c r="E3215" i="1" s="1"/>
  <c r="F3207" i="1"/>
  <c r="E3207" i="1" s="1"/>
  <c r="F3227" i="1"/>
  <c r="E3227" i="1" s="1"/>
  <c r="F3172" i="1"/>
  <c r="E3172" i="1" s="1"/>
  <c r="F3170" i="1"/>
  <c r="E3170" i="1" s="1"/>
  <c r="F3169" i="1"/>
  <c r="E3169" i="1" s="1"/>
  <c r="F3176" i="1"/>
  <c r="E3176" i="1" s="1"/>
  <c r="F3174" i="1"/>
  <c r="E3174" i="1" s="1"/>
  <c r="F3168" i="1"/>
  <c r="E3168" i="1" s="1"/>
  <c r="F3171" i="1"/>
  <c r="E3171" i="1" s="1"/>
  <c r="F1561" i="1"/>
  <c r="E1561" i="1" s="1"/>
  <c r="F1556" i="1"/>
  <c r="E1556" i="1" s="1"/>
  <c r="F1566" i="1"/>
  <c r="E1566" i="1" s="1"/>
  <c r="F1552" i="1"/>
  <c r="E1552" i="1" s="1"/>
  <c r="F1565" i="1"/>
  <c r="E1565" i="1" s="1"/>
  <c r="F1563" i="1"/>
  <c r="E1563" i="1" s="1"/>
  <c r="F1558" i="1"/>
  <c r="E1558" i="1" s="1"/>
  <c r="F1557" i="1"/>
  <c r="E1557" i="1" s="1"/>
  <c r="F1564" i="1"/>
  <c r="E1564" i="1" s="1"/>
  <c r="F1562" i="1"/>
  <c r="E1562" i="1" s="1"/>
  <c r="F1010" i="1"/>
  <c r="E1010" i="1" s="1"/>
  <c r="F1007" i="1"/>
  <c r="E1007" i="1" s="1"/>
  <c r="F1239" i="1"/>
  <c r="E1239" i="1" s="1"/>
  <c r="F446" i="1"/>
  <c r="E446" i="1" s="1"/>
  <c r="F3214" i="1"/>
  <c r="E3214" i="1" s="1"/>
  <c r="F3216" i="1"/>
  <c r="E3216" i="1" s="1"/>
  <c r="F460" i="1"/>
  <c r="E460" i="1" s="1"/>
  <c r="F426" i="1"/>
  <c r="E426" i="1" s="1"/>
  <c r="F453" i="1"/>
  <c r="E453" i="1" s="1"/>
  <c r="E4225" i="1"/>
  <c r="E4462" i="1"/>
  <c r="F4443" i="1"/>
  <c r="E4443" i="1" s="1"/>
  <c r="F3181" i="1"/>
  <c r="E3181" i="1" s="1"/>
  <c r="F1009" i="1"/>
  <c r="E1009" i="1" s="1"/>
  <c r="F2223" i="1"/>
  <c r="E2223" i="1" s="1"/>
  <c r="F1781" i="1"/>
  <c r="E1781" i="1" s="1"/>
  <c r="F2222" i="1"/>
  <c r="E2222" i="1" s="1"/>
  <c r="F3182" i="1"/>
  <c r="E3182" i="1" s="1"/>
  <c r="F457" i="1"/>
  <c r="E457" i="1" s="1"/>
  <c r="F3180" i="1"/>
  <c r="E3180" i="1" s="1"/>
  <c r="F3183" i="1"/>
  <c r="E3183" i="1" s="1"/>
  <c r="F2219" i="1"/>
  <c r="E2219" i="1" s="1"/>
  <c r="F98" i="1"/>
  <c r="E98" i="1" s="1"/>
  <c r="F2221" i="1"/>
  <c r="E2221" i="1" s="1"/>
  <c r="F99" i="1"/>
  <c r="E99" i="1" s="1"/>
  <c r="F3225" i="1"/>
  <c r="E3225" i="1" s="1"/>
  <c r="F2793" i="1"/>
  <c r="E2793" i="1" s="1"/>
  <c r="E1310" i="1"/>
  <c r="F3217" i="1"/>
  <c r="E3217" i="1" s="1"/>
  <c r="F3179" i="1"/>
  <c r="E3179" i="1" s="1"/>
  <c r="F3221" i="1"/>
  <c r="E3221" i="1" s="1"/>
  <c r="F2218" i="1"/>
  <c r="E2218" i="1" s="1"/>
  <c r="F3219" i="1"/>
  <c r="E3219" i="1" s="1"/>
  <c r="F2220" i="1"/>
  <c r="E2220" i="1" s="1"/>
  <c r="F2217" i="1"/>
  <c r="E2217" i="1" s="1"/>
  <c r="F3178" i="1"/>
  <c r="E3178" i="1" s="1"/>
  <c r="F2216" i="1"/>
  <c r="E2216" i="1" s="1"/>
  <c r="F1237" i="1"/>
  <c r="E1237" i="1" s="1"/>
  <c r="F3177" i="1"/>
  <c r="E3177" i="1" s="1"/>
  <c r="F424" i="1"/>
  <c r="E424" i="1" s="1"/>
  <c r="F3175" i="1"/>
  <c r="E3175" i="1" s="1"/>
  <c r="F3173" i="1"/>
  <c r="E3173" i="1" s="1"/>
  <c r="F2211" i="1"/>
  <c r="E2211" i="1" s="1"/>
  <c r="F95" i="1"/>
  <c r="E95" i="1" s="1"/>
  <c r="E4497" i="1"/>
  <c r="F4210" i="1"/>
  <c r="E4210" i="1" s="1"/>
  <c r="F4284" i="1"/>
  <c r="E4284" i="1" s="1"/>
  <c r="F4209" i="1"/>
  <c r="E4209" i="1" s="1"/>
  <c r="F3428" i="1"/>
  <c r="E3428" i="1" s="1"/>
  <c r="F661" i="1"/>
  <c r="E661" i="1" s="1"/>
  <c r="F1329" i="1"/>
  <c r="E1329" i="1" s="1"/>
  <c r="F429" i="1"/>
  <c r="E429" i="1" s="1"/>
  <c r="F3808" i="1"/>
  <c r="E3808" i="1" s="1"/>
  <c r="F1528" i="1"/>
  <c r="E1528" i="1" s="1"/>
  <c r="F414" i="1"/>
  <c r="E414" i="1" s="1"/>
  <c r="E4421" i="1"/>
  <c r="F4155" i="1"/>
  <c r="E4155" i="1" s="1"/>
  <c r="F3327" i="1"/>
  <c r="E3327" i="1" s="1"/>
  <c r="F2188" i="1"/>
  <c r="E2188" i="1" s="1"/>
  <c r="F3210" i="1"/>
  <c r="E3210" i="1" s="1"/>
  <c r="F2897" i="1"/>
  <c r="E2897" i="1" s="1"/>
  <c r="F998" i="1"/>
  <c r="E998" i="1" s="1"/>
  <c r="F438" i="1"/>
  <c r="E438" i="1" s="1"/>
  <c r="F4040" i="1"/>
  <c r="E4040" i="1" s="1"/>
  <c r="E2143" i="1"/>
  <c r="E1886" i="1"/>
  <c r="F3553" i="1"/>
  <c r="E3553" i="1" s="1"/>
  <c r="F2731" i="1"/>
  <c r="E2731" i="1" s="1"/>
  <c r="F295" i="1"/>
  <c r="E295" i="1" s="1"/>
  <c r="F4350" i="1"/>
  <c r="E4350" i="1" s="1"/>
  <c r="F3146" i="1"/>
  <c r="E3146" i="1" s="1"/>
  <c r="F1204" i="1"/>
  <c r="E1204" i="1" s="1"/>
  <c r="F4349" i="1"/>
  <c r="E4349" i="1" s="1"/>
  <c r="F4348" i="1"/>
  <c r="E4348" i="1" s="1"/>
  <c r="F4347" i="1"/>
  <c r="E4347" i="1" s="1"/>
  <c r="F3727" i="1"/>
  <c r="E3727" i="1" s="1"/>
  <c r="E4107" i="1"/>
  <c r="E4420" i="1"/>
  <c r="E4444" i="1"/>
  <c r="F3726" i="1"/>
  <c r="E3726" i="1" s="1"/>
  <c r="F3600" i="1"/>
  <c r="E3600" i="1" s="1"/>
  <c r="F3325" i="1"/>
  <c r="E3325" i="1" s="1"/>
  <c r="F3326" i="1"/>
  <c r="E3326" i="1" s="1"/>
  <c r="F3145" i="1"/>
  <c r="E3145" i="1" s="1"/>
  <c r="F2966" i="1"/>
  <c r="E2966" i="1" s="1"/>
  <c r="F1527" i="1"/>
  <c r="E1527" i="1" s="1"/>
  <c r="F2908" i="1"/>
  <c r="E2908" i="1" s="1"/>
  <c r="F2756" i="1"/>
  <c r="E2756" i="1" s="1"/>
  <c r="E4154" i="1"/>
  <c r="F2240" i="1"/>
  <c r="E2240" i="1" s="1"/>
  <c r="F1658" i="1"/>
  <c r="E1658" i="1" s="1"/>
  <c r="F1328" i="1"/>
  <c r="E1328" i="1" s="1"/>
  <c r="F1116" i="1"/>
  <c r="E1116" i="1" s="1"/>
  <c r="F903" i="1"/>
  <c r="E903" i="1" s="1"/>
  <c r="F758" i="1"/>
  <c r="E758" i="1" s="1"/>
  <c r="F40" i="1"/>
  <c r="E40" i="1" s="1"/>
  <c r="F329" i="1"/>
  <c r="F228" i="1"/>
  <c r="E1288" i="1"/>
  <c r="F2652" i="1"/>
  <c r="E2652" i="1" s="1"/>
  <c r="F966" i="1"/>
  <c r="E966" i="1" s="1"/>
  <c r="F4283" i="1"/>
  <c r="E4283" i="1" s="1"/>
  <c r="F4281" i="1"/>
  <c r="E4281" i="1" s="1"/>
  <c r="F4282" i="1"/>
  <c r="E4282" i="1" s="1"/>
  <c r="E4577" i="1"/>
  <c r="F2175" i="1"/>
  <c r="E2175" i="1" s="1"/>
  <c r="E4454" i="1"/>
  <c r="F3753" i="1"/>
  <c r="E3753" i="1" s="1"/>
  <c r="F1795" i="1"/>
  <c r="E1795" i="1" s="1"/>
  <c r="F4245" i="1"/>
  <c r="E4245" i="1" s="1"/>
  <c r="F4346" i="1"/>
  <c r="E4346" i="1" s="1"/>
  <c r="F4279" i="1"/>
  <c r="E4279" i="1" s="1"/>
  <c r="E1812" i="1"/>
  <c r="E1811" i="1"/>
  <c r="F3599" i="1"/>
  <c r="E3599" i="1" s="1"/>
  <c r="F2965" i="1"/>
  <c r="E2965" i="1" s="1"/>
  <c r="F2755" i="1"/>
  <c r="E2755" i="1" s="1"/>
  <c r="F1943" i="1"/>
  <c r="E1943" i="1" s="1"/>
  <c r="F1657" i="1"/>
  <c r="E1657" i="1" s="1"/>
  <c r="F328" i="1"/>
  <c r="E328" i="1" s="1"/>
  <c r="F1115" i="1"/>
  <c r="E1115" i="1" s="1"/>
  <c r="F227" i="1"/>
  <c r="F1789" i="1"/>
  <c r="E1789" i="1" s="1"/>
  <c r="F1468" i="1"/>
  <c r="E1468" i="1" s="1"/>
  <c r="F1767" i="1"/>
  <c r="E1767" i="1" s="1"/>
  <c r="F255" i="1"/>
  <c r="E255" i="1" s="1"/>
  <c r="F789" i="1"/>
  <c r="E789" i="1" s="1"/>
  <c r="F755" i="1"/>
  <c r="E755" i="1" s="1"/>
  <c r="F756" i="1"/>
  <c r="E756" i="1" s="1"/>
  <c r="F1137" i="1"/>
  <c r="E1137" i="1" s="1"/>
  <c r="F965" i="1"/>
  <c r="E965" i="1" s="1"/>
  <c r="F1737" i="1"/>
  <c r="E1737" i="1" s="1"/>
  <c r="E4495" i="1"/>
  <c r="E1810" i="1"/>
  <c r="F437" i="1"/>
  <c r="E437" i="1" s="1"/>
  <c r="F3261" i="1"/>
  <c r="E3261" i="1" s="1"/>
  <c r="F26" i="1"/>
  <c r="E26" i="1" s="1"/>
  <c r="F3243" i="1"/>
  <c r="E3243" i="1" s="1"/>
  <c r="F2753" i="1"/>
  <c r="E2753" i="1" s="1"/>
  <c r="F1114" i="1"/>
  <c r="E1114" i="1" s="1"/>
  <c r="F3260" i="1"/>
  <c r="E3260" i="1" s="1"/>
  <c r="F1235" i="1"/>
  <c r="E1235" i="1" s="1"/>
  <c r="F1234" i="1"/>
  <c r="E1234" i="1" s="1"/>
  <c r="F1233" i="1"/>
  <c r="E1233" i="1" s="1"/>
  <c r="F1766" i="1"/>
  <c r="E1766" i="1" s="1"/>
  <c r="F2925" i="1"/>
  <c r="E2925" i="1" s="1"/>
  <c r="F803" i="1"/>
  <c r="E803" i="1" s="1"/>
  <c r="F3631" i="1"/>
  <c r="E3631" i="1" s="1"/>
  <c r="F3630" i="1"/>
  <c r="E3630" i="1" s="1"/>
  <c r="F3237" i="1"/>
  <c r="E3237" i="1" s="1"/>
  <c r="F2825" i="1"/>
  <c r="E2825" i="1" s="1"/>
  <c r="F2730" i="1"/>
  <c r="E2730" i="1" s="1"/>
  <c r="F2646" i="1"/>
  <c r="E2646" i="1" s="1"/>
  <c r="F2510" i="1"/>
  <c r="F2502" i="1"/>
  <c r="E2502" i="1" s="1"/>
  <c r="F1732" i="1"/>
  <c r="E1732" i="1" s="1"/>
  <c r="F1620" i="1"/>
  <c r="E1620" i="1" s="1"/>
  <c r="F895" i="1"/>
  <c r="E895" i="1" s="1"/>
  <c r="F889" i="1"/>
  <c r="E889" i="1" s="1"/>
  <c r="F738" i="1"/>
  <c r="E738" i="1" s="1"/>
  <c r="F289" i="1"/>
  <c r="E289" i="1" s="1"/>
  <c r="F676" i="1"/>
  <c r="E676" i="1" s="1"/>
  <c r="F200" i="1"/>
  <c r="E200" i="1" s="1"/>
  <c r="E3723" i="1"/>
  <c r="F2063" i="1"/>
  <c r="E2063" i="1" s="1"/>
  <c r="F4208" i="1"/>
  <c r="E4208" i="1" s="1"/>
  <c r="F4152" i="1"/>
  <c r="E4152" i="1" s="1"/>
  <c r="F3322" i="1"/>
  <c r="E3322" i="1" s="1"/>
  <c r="E4494" i="1"/>
  <c r="F2382" i="1"/>
  <c r="E2382" i="1" s="1"/>
  <c r="F1203" i="1"/>
  <c r="E1203" i="1" s="1"/>
  <c r="F2553" i="1"/>
  <c r="E2553" i="1" s="1"/>
  <c r="F1408" i="1"/>
  <c r="E1408" i="1" s="1"/>
  <c r="E1809" i="1"/>
  <c r="F3598" i="1"/>
  <c r="E3598" i="1" s="1"/>
  <c r="F3597" i="1"/>
  <c r="E3597" i="1" s="1"/>
  <c r="F2907" i="1"/>
  <c r="E2907" i="1" s="1"/>
  <c r="F3652" i="1"/>
  <c r="E3652" i="1" s="1"/>
  <c r="F2942" i="1"/>
  <c r="E2942" i="1" s="1"/>
  <c r="F1013" i="1"/>
  <c r="E1013" i="1" s="1"/>
  <c r="F1678" i="1"/>
  <c r="E1678" i="1" s="1"/>
  <c r="F1679" i="1"/>
  <c r="E1679" i="1" s="1"/>
  <c r="F1193" i="1"/>
  <c r="E1193" i="1" s="1"/>
  <c r="E1808" i="1"/>
  <c r="F1081" i="1"/>
  <c r="E1081" i="1" s="1"/>
  <c r="F3090" i="1"/>
  <c r="E3090" i="1" s="1"/>
  <c r="E1327" i="1"/>
  <c r="F1189" i="1"/>
  <c r="E1189" i="1" s="1"/>
  <c r="F1407" i="1"/>
  <c r="E1407" i="1" s="1"/>
  <c r="F4151" i="1"/>
  <c r="E4151" i="1" s="1"/>
  <c r="F3806" i="1"/>
  <c r="E3806" i="1" s="1"/>
  <c r="F1526" i="1"/>
  <c r="E1526" i="1" s="1"/>
  <c r="F2371" i="1"/>
  <c r="E2371" i="1" s="1"/>
  <c r="F1202" i="1"/>
  <c r="E1202" i="1" s="1"/>
  <c r="E1807" i="1"/>
  <c r="F4150" i="1"/>
  <c r="E4150" i="1" s="1"/>
  <c r="F484" i="1"/>
  <c r="E484" i="1" s="1"/>
  <c r="F3321" i="1"/>
  <c r="E3321" i="1" s="1"/>
  <c r="F23" i="1"/>
  <c r="E23" i="1" s="1"/>
  <c r="F3273" i="1"/>
  <c r="E3273" i="1" s="1"/>
  <c r="F1758" i="1"/>
  <c r="E1758" i="1" s="1"/>
  <c r="F436" i="1"/>
  <c r="E436" i="1" s="1"/>
  <c r="F4345" i="1"/>
  <c r="E4345" i="1" s="1"/>
  <c r="E4101" i="1"/>
  <c r="F4681" i="1"/>
  <c r="E4681" i="1" s="1"/>
  <c r="F4100" i="1"/>
  <c r="E4100" i="1" s="1"/>
  <c r="F906" i="1"/>
  <c r="E906" i="1" s="1"/>
  <c r="F2804" i="1"/>
  <c r="E2804" i="1" s="1"/>
  <c r="E3143" i="1"/>
  <c r="F1027" i="1"/>
  <c r="E1027" i="1" s="1"/>
  <c r="F3060" i="1"/>
  <c r="E3060" i="1" s="1"/>
  <c r="E4492" i="1"/>
  <c r="E4491" i="1"/>
  <c r="E4490" i="1"/>
  <c r="E4489" i="1"/>
  <c r="E4488" i="1"/>
  <c r="F4278" i="1"/>
  <c r="E4278" i="1" s="1"/>
  <c r="F3443" i="1"/>
  <c r="E3443" i="1" s="1"/>
  <c r="F4344" i="1"/>
  <c r="E4344" i="1" s="1"/>
  <c r="F2011" i="1"/>
  <c r="E2011" i="1" s="1"/>
  <c r="F1900" i="1"/>
  <c r="E1900" i="1" s="1"/>
  <c r="F1546" i="1"/>
  <c r="E1546" i="1" s="1"/>
  <c r="F435" i="1"/>
  <c r="E435" i="1" s="1"/>
  <c r="F1599" i="1"/>
  <c r="E1599" i="1" s="1"/>
  <c r="F4691" i="1"/>
  <c r="E4691" i="1" s="1"/>
  <c r="F2416" i="1"/>
  <c r="E2416" i="1" s="1"/>
  <c r="F1899" i="1"/>
  <c r="E1899" i="1" s="1"/>
  <c r="F1897" i="1"/>
  <c r="E1897" i="1" s="1"/>
  <c r="E1898" i="1"/>
  <c r="F3850" i="1"/>
  <c r="E3850" i="1" s="1"/>
  <c r="F3829" i="1"/>
  <c r="E3829" i="1" s="1"/>
  <c r="F3208" i="1"/>
  <c r="E3208" i="1" s="1"/>
  <c r="F1079" i="1"/>
  <c r="E1079" i="1" s="1"/>
  <c r="F917" i="1"/>
  <c r="E917" i="1" s="1"/>
  <c r="F445" i="1"/>
  <c r="E445" i="1" s="1"/>
  <c r="F2896" i="1"/>
  <c r="E2896" i="1" s="1"/>
  <c r="F406" i="1"/>
  <c r="E406" i="1" s="1"/>
  <c r="F4276" i="1"/>
  <c r="E4276" i="1" s="1"/>
  <c r="F4116" i="1"/>
  <c r="E4116" i="1" s="1"/>
  <c r="F2803" i="1"/>
  <c r="E2803" i="1" s="1"/>
  <c r="F2397" i="1"/>
  <c r="E2397" i="1" s="1"/>
  <c r="F3805" i="1"/>
  <c r="E3805" i="1" s="1"/>
  <c r="F1113" i="1"/>
  <c r="E1113" i="1" s="1"/>
  <c r="E4417" i="1"/>
  <c r="F1567" i="1"/>
  <c r="E1567" i="1" s="1"/>
  <c r="F4039" i="1"/>
  <c r="E4039" i="1" s="1"/>
  <c r="F4680" i="1"/>
  <c r="E4680" i="1" s="1"/>
  <c r="E4099" i="1"/>
  <c r="F4098" i="1"/>
  <c r="E4098" i="1" s="1"/>
  <c r="F905" i="1"/>
  <c r="E905" i="1" s="1"/>
  <c r="F198" i="1"/>
  <c r="E198" i="1" s="1"/>
  <c r="F3043" i="1"/>
  <c r="E3043" i="1" s="1"/>
  <c r="F326" i="1"/>
  <c r="E326" i="1" s="1"/>
  <c r="F3206" i="1"/>
  <c r="E3206" i="1" s="1"/>
  <c r="F3205" i="1"/>
  <c r="E3205" i="1" s="1"/>
  <c r="F3059" i="1"/>
  <c r="E3059" i="1" s="1"/>
  <c r="F4097" i="1"/>
  <c r="E4097" i="1" s="1"/>
  <c r="F2802" i="1"/>
  <c r="E2802" i="1" s="1"/>
  <c r="F1168" i="1"/>
  <c r="E1168" i="1" s="1"/>
  <c r="F4114" i="1"/>
  <c r="E4114" i="1" s="1"/>
  <c r="F1112" i="1"/>
  <c r="E1112" i="1" s="1"/>
  <c r="F405" i="1"/>
  <c r="E405" i="1" s="1"/>
  <c r="F3651" i="1"/>
  <c r="E3651" i="1" s="1"/>
  <c r="F3112" i="1"/>
  <c r="E3112" i="1" s="1"/>
  <c r="F266" i="1"/>
  <c r="E266" i="1" s="1"/>
  <c r="F2964" i="1"/>
  <c r="E2964" i="1" s="1"/>
  <c r="F4149" i="1"/>
  <c r="E4149" i="1" s="1"/>
  <c r="F1111" i="1"/>
  <c r="E1111" i="1" s="1"/>
  <c r="F3596" i="1"/>
  <c r="E3596" i="1" s="1"/>
  <c r="F324" i="1"/>
  <c r="E324" i="1" s="1"/>
  <c r="F1110" i="1"/>
  <c r="E1110" i="1" s="1"/>
  <c r="F323" i="1"/>
  <c r="E323" i="1" s="1"/>
  <c r="E1806" i="1"/>
  <c r="E4416" i="1"/>
  <c r="F2061" i="1"/>
  <c r="E2061" i="1" s="1"/>
  <c r="F2059" i="1"/>
  <c r="E2059" i="1" s="1"/>
  <c r="F1942" i="1"/>
  <c r="E1942" i="1" s="1"/>
  <c r="F557" i="1"/>
  <c r="E557" i="1" s="1"/>
  <c r="F1406" i="1"/>
  <c r="E1406" i="1" s="1"/>
  <c r="F3058" i="1"/>
  <c r="E3058" i="1" s="1"/>
  <c r="F3057" i="1"/>
  <c r="E3057" i="1" s="1"/>
  <c r="F3166" i="1"/>
  <c r="E3166" i="1" s="1"/>
  <c r="F34" i="1"/>
  <c r="E34" i="1" s="1"/>
  <c r="F1188" i="1"/>
  <c r="E1188" i="1" s="1"/>
  <c r="F1108" i="1"/>
  <c r="E1108" i="1" s="1"/>
  <c r="F1109" i="1"/>
  <c r="E1109" i="1" s="1"/>
  <c r="F2102" i="1"/>
  <c r="E2102" i="1" s="1"/>
  <c r="F2402" i="1"/>
  <c r="E2402" i="1" s="1"/>
  <c r="F4113" i="1"/>
  <c r="E4113" i="1" s="1"/>
  <c r="F3056" i="1"/>
  <c r="E3056" i="1" s="1"/>
  <c r="F1501" i="1"/>
  <c r="E1501" i="1" s="1"/>
  <c r="F2258" i="1"/>
  <c r="E2258" i="1" s="1"/>
  <c r="F3055" i="1"/>
  <c r="E3055" i="1" s="1"/>
  <c r="F4275" i="1"/>
  <c r="E4275" i="1" s="1"/>
  <c r="F2962" i="1"/>
  <c r="E2962" i="1" s="1"/>
  <c r="F1167" i="1"/>
  <c r="E1167" i="1" s="1"/>
  <c r="F2801" i="1"/>
  <c r="E2801" i="1" s="1"/>
  <c r="F1157" i="1"/>
  <c r="E1157" i="1" s="1"/>
  <c r="F964" i="1"/>
  <c r="E964" i="1" s="1"/>
  <c r="F4679" i="1"/>
  <c r="E4679" i="1" s="1"/>
  <c r="F1941" i="1"/>
  <c r="E1941" i="1" s="1"/>
  <c r="F1940" i="1"/>
  <c r="E1940" i="1" s="1"/>
  <c r="F2800" i="1"/>
  <c r="E2800" i="1" s="1"/>
  <c r="F829" i="1"/>
  <c r="E829" i="1" s="1"/>
  <c r="F321" i="1"/>
  <c r="E321" i="1" s="1"/>
  <c r="F556" i="1"/>
  <c r="E556" i="1" s="1"/>
  <c r="E2510" i="1" l="1"/>
  <c r="E1885" i="1"/>
  <c r="F3783" i="1"/>
  <c r="E3783" i="1" s="1"/>
  <c r="F3780" i="1"/>
  <c r="E3780" i="1" s="1"/>
  <c r="F3770" i="1"/>
  <c r="E3770" i="1" s="1"/>
  <c r="F3767" i="1"/>
  <c r="E3767" i="1" s="1"/>
  <c r="F3756" i="1"/>
  <c r="E3756" i="1" s="1"/>
  <c r="F3768" i="1"/>
  <c r="E3768" i="1" s="1"/>
  <c r="E4306" i="1"/>
  <c r="E4326" i="1"/>
  <c r="F3776" i="1"/>
  <c r="E3776" i="1" s="1"/>
  <c r="E3769" i="1"/>
  <c r="F3784" i="1"/>
  <c r="E3784" i="1" s="1"/>
  <c r="F3773" i="1"/>
  <c r="E3773" i="1" s="1"/>
  <c r="F3779" i="1"/>
  <c r="E3779" i="1" s="1"/>
  <c r="F3782" i="1"/>
  <c r="E3782" i="1" s="1"/>
  <c r="F3764" i="1"/>
  <c r="E3764" i="1" s="1"/>
  <c r="F3765" i="1"/>
  <c r="E3765" i="1" s="1"/>
  <c r="F3781" i="1"/>
  <c r="E3781" i="1" s="1"/>
  <c r="E4419" i="1"/>
  <c r="E4464" i="1"/>
  <c r="F3749" i="1"/>
  <c r="E3749" i="1" s="1"/>
  <c r="F3751" i="1"/>
  <c r="E3751" i="1" s="1"/>
  <c r="F3741" i="1"/>
  <c r="E3741" i="1" s="1"/>
  <c r="F3748" i="1"/>
  <c r="E3748" i="1" s="1"/>
  <c r="E4288" i="1"/>
  <c r="E4302" i="1"/>
  <c r="F3763" i="1"/>
  <c r="E3763" i="1" s="1"/>
  <c r="F3777" i="1"/>
  <c r="E3777" i="1" s="1"/>
  <c r="F3778" i="1"/>
  <c r="E3778" i="1" s="1"/>
  <c r="E4280" i="1"/>
  <c r="F3754" i="1"/>
  <c r="E3754" i="1" s="1"/>
  <c r="F3760" i="1"/>
  <c r="E3760" i="1" s="1"/>
  <c r="F3759" i="1"/>
  <c r="E3759" i="1" s="1"/>
  <c r="F3758" i="1"/>
  <c r="E3758" i="1" s="1"/>
  <c r="F3747" i="1"/>
  <c r="E3747" i="1" s="1"/>
  <c r="F3746" i="1"/>
  <c r="E3746" i="1" s="1"/>
  <c r="F3744" i="1"/>
  <c r="E3744" i="1" s="1"/>
  <c r="F3774" i="1"/>
  <c r="E3774" i="1" s="1"/>
  <c r="F3761" i="1"/>
  <c r="E3761" i="1" s="1"/>
  <c r="F3757" i="1"/>
  <c r="E3757" i="1" s="1"/>
  <c r="F3775" i="1"/>
  <c r="E3775" i="1" s="1"/>
  <c r="F3755" i="1"/>
  <c r="E3755" i="1" s="1"/>
  <c r="E4285" i="1"/>
  <c r="F3042" i="1"/>
  <c r="E3042" i="1" s="1"/>
  <c r="F371" i="1"/>
  <c r="E371" i="1" s="1"/>
  <c r="F2890" i="1"/>
  <c r="E2890" i="1" s="1"/>
  <c r="F4148" i="1"/>
  <c r="E4148" i="1" s="1"/>
  <c r="F4147" i="1"/>
  <c r="E4147" i="1" s="1"/>
  <c r="F4146" i="1"/>
  <c r="E4146" i="1" s="1"/>
  <c r="F752" i="1"/>
  <c r="E752" i="1" s="1"/>
  <c r="F2010" i="1"/>
  <c r="E2010" i="1" s="1"/>
  <c r="F3041" i="1"/>
  <c r="E3041" i="1" s="1"/>
  <c r="F294" i="1"/>
  <c r="E294" i="1" s="1"/>
  <c r="F2956" i="1"/>
  <c r="E2956" i="1" s="1"/>
  <c r="F2713" i="1"/>
  <c r="E2713" i="1" s="1"/>
  <c r="F3252" i="1"/>
  <c r="E3252" i="1" s="1"/>
  <c r="F2009" i="1"/>
  <c r="E2009" i="1" s="1"/>
  <c r="E2960" i="1"/>
  <c r="F3545" i="1"/>
  <c r="E3545" i="1" s="1"/>
  <c r="F4145" i="1"/>
  <c r="E4145" i="1" s="1"/>
  <c r="F2750" i="1"/>
  <c r="E2750" i="1" s="1"/>
  <c r="F2547" i="1"/>
  <c r="E2547" i="1" s="1"/>
  <c r="F224" i="1"/>
  <c r="E224" i="1" s="1"/>
  <c r="F1653" i="1"/>
  <c r="E1653" i="1" s="1"/>
  <c r="F1652" i="1"/>
  <c r="E1652" i="1" s="1"/>
  <c r="F223" i="1"/>
  <c r="E223" i="1" s="1"/>
  <c r="F320" i="1"/>
  <c r="E320" i="1" s="1"/>
  <c r="E1884" i="1"/>
  <c r="E1296" i="1"/>
  <c r="F997" i="1"/>
  <c r="E997" i="1" s="1"/>
  <c r="F1187" i="1"/>
  <c r="E1187" i="1" s="1"/>
  <c r="E1881" i="1"/>
  <c r="F3629" i="1"/>
  <c r="E3629" i="1" s="1"/>
  <c r="F3643" i="1"/>
  <c r="E3643" i="1" s="1"/>
  <c r="F3234" i="1"/>
  <c r="E3234" i="1" s="1"/>
  <c r="F2643" i="1"/>
  <c r="E2643" i="1" s="1"/>
  <c r="F2512" i="1"/>
  <c r="E2512" i="1" s="1"/>
  <c r="F2511" i="1"/>
  <c r="E2511" i="1" s="1"/>
  <c r="F2509" i="1"/>
  <c r="E2509" i="1" s="1"/>
  <c r="F1727" i="1"/>
  <c r="E1727" i="1" s="1"/>
  <c r="F1617" i="1"/>
  <c r="E1617" i="1" s="1"/>
  <c r="F886" i="1"/>
  <c r="E886" i="1" s="1"/>
  <c r="F737" i="1"/>
  <c r="E737" i="1" s="1"/>
  <c r="F3628" i="1"/>
  <c r="E3628" i="1" s="1"/>
  <c r="F3616" i="1"/>
  <c r="E3616" i="1" s="1"/>
  <c r="F3642" i="1"/>
  <c r="E3642" i="1" s="1"/>
  <c r="F288" i="1"/>
  <c r="E288" i="1" s="1"/>
  <c r="F4598" i="1"/>
  <c r="E4598" i="1" s="1"/>
  <c r="F2728" i="1"/>
  <c r="E2728" i="1" s="1"/>
  <c r="F1712" i="1"/>
  <c r="E1712" i="1" s="1"/>
  <c r="F1606" i="1"/>
  <c r="E1606" i="1" s="1"/>
  <c r="F875" i="1"/>
  <c r="E875" i="1" s="1"/>
  <c r="F859" i="1"/>
  <c r="E859" i="1" s="1"/>
  <c r="F281" i="1"/>
  <c r="E281" i="1" s="1"/>
  <c r="F2712" i="1"/>
  <c r="E2712" i="1" s="1"/>
  <c r="F858" i="1"/>
  <c r="E858" i="1" s="1"/>
  <c r="F728" i="1"/>
  <c r="E728" i="1" s="1"/>
  <c r="F280" i="1"/>
  <c r="E280" i="1" s="1"/>
  <c r="F1938" i="1"/>
  <c r="E1938" i="1" s="1"/>
  <c r="F4273" i="1"/>
  <c r="E4273" i="1" s="1"/>
  <c r="F3242" i="1"/>
  <c r="E3242" i="1" s="1"/>
  <c r="E673" i="1"/>
  <c r="F1937" i="1"/>
  <c r="E1937" i="1" s="1"/>
  <c r="F1936" i="1"/>
  <c r="E1936" i="1" s="1"/>
  <c r="F670" i="1"/>
  <c r="E670" i="1" s="1"/>
  <c r="F2905" i="1"/>
  <c r="E2905" i="1" s="1"/>
  <c r="F1326" i="1"/>
  <c r="E1326" i="1" s="1"/>
  <c r="F389" i="1"/>
  <c r="E389" i="1" s="1"/>
  <c r="F1405" i="1"/>
  <c r="E1405" i="1" s="1"/>
  <c r="F1935" i="1"/>
  <c r="E1935" i="1" s="1"/>
  <c r="F4238" i="1"/>
  <c r="E4238" i="1" s="1"/>
  <c r="F1677" i="1"/>
  <c r="E1677" i="1" s="1"/>
  <c r="F3641" i="1"/>
  <c r="E3641" i="1" s="1"/>
  <c r="F4272" i="1"/>
  <c r="E4272" i="1" s="1"/>
  <c r="F3038" i="1"/>
  <c r="E3038" i="1" s="1"/>
  <c r="F319" i="1"/>
  <c r="E319" i="1" s="1"/>
  <c r="E1848" i="1"/>
  <c r="F1404" i="1"/>
  <c r="E1404" i="1" s="1"/>
  <c r="F1934" i="1"/>
  <c r="E1934" i="1" s="1"/>
  <c r="F478" i="1"/>
  <c r="E478" i="1" s="1"/>
  <c r="F894" i="1"/>
  <c r="E894" i="1" s="1"/>
  <c r="F4239" i="1"/>
  <c r="E4239" i="1" s="1"/>
  <c r="E4482" i="1"/>
  <c r="F2792" i="1"/>
  <c r="E2792" i="1" s="1"/>
  <c r="F3849" i="1"/>
  <c r="E3849" i="1" s="1"/>
  <c r="F4018" i="1"/>
  <c r="E4018" i="1" s="1"/>
  <c r="F3259" i="1"/>
  <c r="E3259" i="1" s="1"/>
  <c r="E3593" i="1"/>
  <c r="F3037" i="1"/>
  <c r="E3037" i="1" s="1"/>
  <c r="F4343" i="1"/>
  <c r="E4343" i="1" s="1"/>
  <c r="F808" i="1"/>
  <c r="E808" i="1" s="1"/>
  <c r="F4340" i="1"/>
  <c r="E4340" i="1" s="1"/>
  <c r="F4341" i="1"/>
  <c r="E4341" i="1" s="1"/>
  <c r="E4453" i="1"/>
  <c r="F4452" i="1"/>
  <c r="E4452" i="1" s="1"/>
  <c r="E1846" i="1"/>
  <c r="E1847" i="1"/>
  <c r="F2161" i="1"/>
  <c r="E2161" i="1" s="1"/>
  <c r="F2162" i="1"/>
  <c r="E2162" i="1" s="1"/>
  <c r="E1844" i="1"/>
  <c r="E1325" i="1"/>
  <c r="F2840" i="1"/>
  <c r="E2840" i="1" s="1"/>
  <c r="F1107" i="1"/>
  <c r="E1107" i="1" s="1"/>
  <c r="E4481" i="1"/>
  <c r="F4271" i="1"/>
  <c r="E4271" i="1" s="1"/>
  <c r="F3427" i="1"/>
  <c r="E3427" i="1" s="1"/>
  <c r="F1464" i="1"/>
  <c r="E1464" i="1" s="1"/>
  <c r="F1463" i="1"/>
  <c r="E1463" i="1" s="1"/>
  <c r="F640" i="1"/>
  <c r="E640" i="1" s="1"/>
  <c r="F3193" i="1"/>
  <c r="E3193" i="1" s="1"/>
  <c r="F2051" i="1"/>
  <c r="E2051" i="1" s="1"/>
  <c r="E4105" i="1"/>
  <c r="F639" i="1"/>
  <c r="E639" i="1" s="1"/>
  <c r="F2848" i="1"/>
  <c r="E2848" i="1" s="1"/>
  <c r="F750" i="1"/>
  <c r="E750" i="1" s="1"/>
  <c r="F368" i="1"/>
  <c r="E368" i="1" s="1"/>
  <c r="F807" i="1"/>
  <c r="E807" i="1" s="1"/>
  <c r="F3550" i="1"/>
  <c r="E3550" i="1" s="1"/>
  <c r="F806" i="1"/>
  <c r="E806" i="1" s="1"/>
  <c r="F2749" i="1"/>
  <c r="E2749" i="1" s="1"/>
  <c r="F2022" i="1"/>
  <c r="E2022" i="1" s="1"/>
  <c r="F492" i="1"/>
  <c r="E492" i="1" s="1"/>
  <c r="F491" i="1"/>
  <c r="E491" i="1" s="1"/>
  <c r="F2748" i="1"/>
  <c r="E2748" i="1" s="1"/>
  <c r="F805" i="1"/>
  <c r="E805" i="1" s="1"/>
  <c r="F4017" i="1"/>
  <c r="E4017" i="1" s="1"/>
  <c r="F404" i="1"/>
  <c r="E404" i="1" s="1"/>
  <c r="F4339" i="1"/>
  <c r="E4339" i="1" s="1"/>
  <c r="F4237" i="1"/>
  <c r="E4237" i="1" s="1"/>
  <c r="F4144" i="1"/>
  <c r="E4144" i="1" s="1"/>
  <c r="E4413" i="1"/>
  <c r="F4143" i="1"/>
  <c r="E4143" i="1" s="1"/>
  <c r="F3320" i="1"/>
  <c r="E3320" i="1" s="1"/>
  <c r="F2179" i="1"/>
  <c r="E2179" i="1" s="1"/>
  <c r="F4142" i="1"/>
  <c r="E4142" i="1" s="1"/>
  <c r="E4412" i="1"/>
  <c r="F4016" i="1"/>
  <c r="E4016" i="1" s="1"/>
  <c r="F1989" i="1"/>
  <c r="E1989" i="1" s="1"/>
  <c r="F4112" i="1"/>
  <c r="E4112" i="1" s="1"/>
  <c r="F3053" i="1"/>
  <c r="E3053" i="1" s="1"/>
  <c r="F1217" i="1"/>
  <c r="E1217" i="1" s="1"/>
  <c r="F1012" i="1"/>
  <c r="E1012" i="1" s="1"/>
  <c r="E1896" i="1"/>
  <c r="F2389" i="1"/>
  <c r="E2389" i="1" s="1"/>
  <c r="F2895" i="1"/>
  <c r="E2895" i="1" s="1"/>
  <c r="E1895" i="1"/>
  <c r="F1988" i="1"/>
  <c r="E1988" i="1" s="1"/>
  <c r="F1987" i="1"/>
  <c r="E1987" i="1" s="1"/>
  <c r="F2847" i="1"/>
  <c r="E2847" i="1" s="1"/>
  <c r="F2118" i="1"/>
  <c r="E2118" i="1" s="1"/>
  <c r="F828" i="1"/>
  <c r="E828" i="1" s="1"/>
  <c r="F572" i="1"/>
  <c r="E572" i="1" s="1"/>
  <c r="F741" i="1"/>
  <c r="E741" i="1" s="1"/>
  <c r="F3241" i="1"/>
  <c r="E3241" i="1" s="1"/>
  <c r="F909" i="1"/>
  <c r="E909" i="1" s="1"/>
  <c r="F2492" i="1"/>
  <c r="E2492" i="1" s="1"/>
  <c r="F1403" i="1"/>
  <c r="E1403" i="1" s="1"/>
  <c r="F1402" i="1"/>
  <c r="E1402" i="1" s="1"/>
  <c r="F1401" i="1"/>
  <c r="E1401" i="1" s="1"/>
  <c r="F1400" i="1"/>
  <c r="E1400" i="1" s="1"/>
  <c r="F1644" i="1"/>
  <c r="E1644" i="1" s="1"/>
  <c r="F477" i="1"/>
  <c r="E477" i="1" s="1"/>
  <c r="F4609" i="1"/>
  <c r="E4609" i="1" s="1"/>
  <c r="F3236" i="1"/>
  <c r="E3236" i="1" s="1"/>
  <c r="F2645" i="1"/>
  <c r="E2645" i="1" s="1"/>
  <c r="F2508" i="1"/>
  <c r="E2508" i="1" s="1"/>
  <c r="F1731" i="1"/>
  <c r="E1731" i="1" s="1"/>
  <c r="F1619" i="1"/>
  <c r="E1619" i="1" s="1"/>
  <c r="F888" i="1"/>
  <c r="E888" i="1" s="1"/>
  <c r="F868" i="1"/>
  <c r="E868" i="1" s="1"/>
  <c r="E4338" i="1"/>
  <c r="F2799" i="1"/>
  <c r="E2799" i="1" s="1"/>
  <c r="F2790" i="1"/>
  <c r="E2790" i="1" s="1"/>
  <c r="E254" i="1"/>
  <c r="F476" i="1"/>
  <c r="E476" i="1" s="1"/>
  <c r="F4067" i="1"/>
  <c r="E4067" i="1" s="1"/>
  <c r="F4066" i="1"/>
  <c r="E4066" i="1" s="1"/>
  <c r="F4065" i="1"/>
  <c r="E4065" i="1" s="1"/>
  <c r="F2477" i="1"/>
  <c r="E2477" i="1" s="1"/>
  <c r="F2257" i="1"/>
  <c r="E2257" i="1" s="1"/>
  <c r="F475" i="1"/>
  <c r="E475" i="1" s="1"/>
  <c r="F3640" i="1"/>
  <c r="E3640" i="1" s="1"/>
  <c r="F3848" i="1"/>
  <c r="E3848" i="1" s="1"/>
  <c r="F3136" i="1"/>
  <c r="E3136" i="1" s="1"/>
  <c r="F2415" i="1"/>
  <c r="E2415" i="1" s="1"/>
  <c r="F102" i="1"/>
  <c r="E102" i="1" s="1"/>
  <c r="F101" i="1"/>
  <c r="E101" i="1" s="1"/>
  <c r="F100" i="1"/>
  <c r="E100" i="1" s="1"/>
  <c r="F1324" i="1"/>
  <c r="E1324" i="1" s="1"/>
  <c r="E4411" i="1"/>
  <c r="E1444" i="1"/>
  <c r="E1399" i="1"/>
  <c r="F1323" i="1"/>
  <c r="E1323" i="1" s="1"/>
  <c r="F1106" i="1"/>
  <c r="E1106" i="1" s="1"/>
  <c r="F2546" i="1"/>
  <c r="E2546" i="1" s="1"/>
  <c r="F2436" i="1"/>
  <c r="E2436" i="1" s="1"/>
  <c r="F2238" i="1"/>
  <c r="E2238" i="1" s="1"/>
  <c r="F465" i="1"/>
  <c r="E465" i="1" s="1"/>
  <c r="F2021" i="1"/>
  <c r="E2021" i="1" s="1"/>
  <c r="F2048" i="1"/>
  <c r="E2048" i="1" s="1"/>
  <c r="F674" i="1"/>
  <c r="E674" i="1" s="1"/>
  <c r="F571" i="1"/>
  <c r="E571" i="1" s="1"/>
  <c r="F2932" i="1"/>
  <c r="E2932" i="1" s="1"/>
  <c r="E515" i="1"/>
  <c r="E527" i="1"/>
  <c r="F528" i="1"/>
  <c r="E528" i="1" s="1"/>
  <c r="F526" i="1"/>
  <c r="E526" i="1" s="1"/>
  <c r="F194" i="1"/>
  <c r="E194" i="1" s="1"/>
  <c r="F94" i="1"/>
  <c r="E94" i="1" s="1"/>
  <c r="E1800" i="1"/>
  <c r="F22" i="1"/>
  <c r="E22" i="1" s="1"/>
  <c r="F16" i="1"/>
  <c r="E16" i="1" s="1"/>
  <c r="F3626" i="1"/>
  <c r="E3626" i="1" s="1"/>
  <c r="F3615" i="1"/>
  <c r="E3615" i="1" s="1"/>
  <c r="F2861" i="1"/>
  <c r="E2861" i="1" s="1"/>
  <c r="F2860" i="1"/>
  <c r="E2860" i="1" s="1"/>
  <c r="F2859" i="1"/>
  <c r="E2859" i="1" s="1"/>
  <c r="F3233" i="1"/>
  <c r="E3233" i="1" s="1"/>
  <c r="F2642" i="1"/>
  <c r="E2642" i="1" s="1"/>
  <c r="F1726" i="1"/>
  <c r="E1726" i="1" s="1"/>
  <c r="F1616" i="1"/>
  <c r="E1616" i="1" s="1"/>
  <c r="F885" i="1"/>
  <c r="E885" i="1" s="1"/>
  <c r="F3235" i="1"/>
  <c r="E3235" i="1" s="1"/>
  <c r="F2644" i="1"/>
  <c r="E2644" i="1" s="1"/>
  <c r="F1730" i="1"/>
  <c r="E1730" i="1" s="1"/>
  <c r="F1618" i="1"/>
  <c r="E1618" i="1" s="1"/>
  <c r="F887" i="1"/>
  <c r="E887" i="1" s="1"/>
  <c r="F3625" i="1"/>
  <c r="E3625" i="1" s="1"/>
  <c r="F253" i="1"/>
  <c r="E253" i="1" s="1"/>
  <c r="F4058" i="1"/>
  <c r="E4058" i="1" s="1"/>
  <c r="F2462" i="1"/>
  <c r="E2462" i="1" s="1"/>
  <c r="F93" i="1"/>
  <c r="E93" i="1" s="1"/>
  <c r="F2785" i="1"/>
  <c r="E2785" i="1" s="1"/>
  <c r="E4410" i="1"/>
  <c r="F4141" i="1"/>
  <c r="E4141" i="1" s="1"/>
  <c r="F2142" i="1"/>
  <c r="E2142" i="1" s="1"/>
  <c r="F222" i="1"/>
  <c r="E222" i="1" s="1"/>
  <c r="F2846" i="1"/>
  <c r="E2846" i="1" s="1"/>
  <c r="F2501" i="1"/>
  <c r="E2501" i="1" s="1"/>
  <c r="F1718" i="1"/>
  <c r="E1718" i="1" s="1"/>
  <c r="F1611" i="1"/>
  <c r="E1611" i="1" s="1"/>
  <c r="F893" i="1"/>
  <c r="E893" i="1" s="1"/>
  <c r="F880" i="1"/>
  <c r="E880" i="1" s="1"/>
  <c r="F1192" i="1"/>
  <c r="E1192" i="1" s="1"/>
  <c r="F3549" i="1"/>
  <c r="E3549" i="1" s="1"/>
  <c r="F1676" i="1"/>
  <c r="E1676" i="1" s="1"/>
  <c r="F565" i="1"/>
  <c r="E565" i="1" s="1"/>
  <c r="E4409" i="1"/>
  <c r="F4140" i="1"/>
  <c r="E4140" i="1" s="1"/>
  <c r="F4266" i="1"/>
  <c r="E4266" i="1" s="1"/>
  <c r="F4270" i="1"/>
  <c r="E4270" i="1" s="1"/>
  <c r="E4479" i="1"/>
  <c r="F4269" i="1"/>
  <c r="E4269" i="1" s="1"/>
  <c r="F3240" i="1"/>
  <c r="E3240" i="1" s="1"/>
  <c r="F4139" i="1"/>
  <c r="E4139" i="1" s="1"/>
  <c r="F4138" i="1"/>
  <c r="E4138" i="1" s="1"/>
  <c r="F3258" i="1"/>
  <c r="E3258" i="1" s="1"/>
  <c r="F4268" i="1"/>
  <c r="E4268" i="1" s="1"/>
  <c r="F1322" i="1"/>
  <c r="E1322" i="1" s="1"/>
  <c r="F4337" i="1"/>
  <c r="E4337" i="1" s="1"/>
  <c r="F1321" i="1"/>
  <c r="E1321" i="1" s="1"/>
  <c r="F1319" i="1"/>
  <c r="E1319" i="1" s="1"/>
  <c r="F4267" i="1"/>
  <c r="E4267" i="1" s="1"/>
  <c r="F279" i="1"/>
  <c r="E279" i="1" s="1"/>
  <c r="E1320" i="1"/>
  <c r="F2412" i="1"/>
  <c r="E2412" i="1" s="1"/>
  <c r="F4336" i="1"/>
  <c r="E4336" i="1" s="1"/>
  <c r="F4207" i="1"/>
  <c r="E4207" i="1" s="1"/>
  <c r="F1461" i="1"/>
  <c r="E1461" i="1" s="1"/>
  <c r="F3188" i="1"/>
  <c r="E3188" i="1" s="1"/>
  <c r="F3187" i="1"/>
  <c r="E3187" i="1" s="1"/>
  <c r="F3232" i="1"/>
  <c r="E3232" i="1" s="1"/>
  <c r="F2641" i="1"/>
  <c r="E2641" i="1" s="1"/>
  <c r="F1725" i="1"/>
  <c r="E1725" i="1" s="1"/>
  <c r="F1615" i="1"/>
  <c r="E1615" i="1" s="1"/>
  <c r="F884" i="1"/>
  <c r="E884" i="1" s="1"/>
  <c r="F3186" i="1"/>
  <c r="E3186" i="1" s="1"/>
  <c r="F3639" i="1"/>
  <c r="E3639" i="1" s="1"/>
  <c r="F2931" i="1"/>
  <c r="E2931" i="1" s="1"/>
  <c r="E1799" i="1"/>
  <c r="F4206" i="1"/>
  <c r="E4206" i="1" s="1"/>
  <c r="F4205" i="1"/>
  <c r="E4205" i="1" s="1"/>
  <c r="E4235" i="1"/>
  <c r="F3257" i="1"/>
  <c r="E3257" i="1" s="1"/>
  <c r="F1398" i="1"/>
  <c r="E1398" i="1" s="1"/>
  <c r="F1397" i="1"/>
  <c r="E1397" i="1" s="1"/>
  <c r="F1443" i="1"/>
  <c r="E1443" i="1" s="1"/>
  <c r="E19" i="1"/>
  <c r="F898" i="1"/>
  <c r="E898" i="1" s="1"/>
  <c r="E1879" i="1"/>
  <c r="F2166" i="1"/>
  <c r="E2166" i="1" s="1"/>
  <c r="E4408" i="1"/>
  <c r="F1894" i="1"/>
  <c r="E1894" i="1" s="1"/>
  <c r="F4335" i="1"/>
  <c r="E4335" i="1" s="1"/>
  <c r="E4407" i="1"/>
  <c r="E4406" i="1"/>
  <c r="F1011" i="1"/>
  <c r="E1011" i="1" s="1"/>
  <c r="F193" i="1"/>
  <c r="E193" i="1" s="1"/>
  <c r="E4405" i="1"/>
  <c r="E1798" i="1"/>
  <c r="F1986" i="1"/>
  <c r="E1986" i="1" s="1"/>
  <c r="F1985" i="1"/>
  <c r="E1985" i="1" s="1"/>
  <c r="F3051" i="1"/>
  <c r="E3051" i="1" s="1"/>
  <c r="F25" i="1"/>
  <c r="E25" i="1" s="1"/>
  <c r="F3204" i="1"/>
  <c r="E3204" i="1" s="1"/>
  <c r="F1631" i="1"/>
  <c r="E1631" i="1" s="1"/>
  <c r="F316" i="1"/>
  <c r="E316" i="1" s="1"/>
  <c r="F1694" i="1"/>
  <c r="E1694" i="1" s="1"/>
  <c r="F428" i="1"/>
  <c r="E428" i="1" s="1"/>
  <c r="F2046" i="1"/>
  <c r="E2046" i="1" s="1"/>
  <c r="F2798" i="1"/>
  <c r="E2798" i="1" s="1"/>
  <c r="F2797" i="1"/>
  <c r="E2797" i="1" s="1"/>
  <c r="F4132" i="1"/>
  <c r="E4132" i="1" s="1"/>
  <c r="F4110" i="1"/>
  <c r="E4110" i="1" s="1"/>
  <c r="F3239" i="1"/>
  <c r="E3239" i="1" s="1"/>
  <c r="F900" i="1"/>
  <c r="E900" i="1" s="1"/>
  <c r="F3650" i="1"/>
  <c r="E3650" i="1" s="1"/>
  <c r="F4233" i="1"/>
  <c r="E4233" i="1" s="1"/>
  <c r="E4477" i="1"/>
  <c r="E4476" i="1"/>
  <c r="F4265" i="1"/>
  <c r="E4265" i="1" s="1"/>
  <c r="F4334" i="1"/>
  <c r="E4334" i="1" s="1"/>
  <c r="F4333" i="1"/>
  <c r="E4333" i="1" s="1"/>
  <c r="F4332" i="1"/>
  <c r="E4332" i="1" s="1"/>
  <c r="F4263" i="1"/>
  <c r="E4263" i="1" s="1"/>
  <c r="F4514" i="1"/>
  <c r="E4514" i="1" s="1"/>
  <c r="F3426" i="1"/>
  <c r="E3426" i="1" s="1"/>
  <c r="F2209" i="1"/>
  <c r="E2209" i="1" s="1"/>
  <c r="E4404" i="1"/>
  <c r="F3271" i="1"/>
  <c r="E3271" i="1" s="1"/>
  <c r="F4137" i="1"/>
  <c r="E4137" i="1" s="1"/>
  <c r="F2256" i="1"/>
  <c r="E2256" i="1" s="1"/>
  <c r="F2255" i="1"/>
  <c r="E2255" i="1" s="1"/>
  <c r="F2411" i="1"/>
  <c r="E2411" i="1" s="1"/>
  <c r="F2727" i="1"/>
  <c r="E2727" i="1" s="1"/>
  <c r="F2460" i="1"/>
  <c r="E2460" i="1" s="1"/>
  <c r="F1597" i="1"/>
  <c r="E1597" i="1" s="1"/>
  <c r="F292" i="1"/>
  <c r="E292" i="1" s="1"/>
  <c r="E221" i="1"/>
  <c r="F472" i="1"/>
  <c r="E472" i="1" s="1"/>
  <c r="F4037" i="1"/>
  <c r="E4037" i="1" s="1"/>
  <c r="F2045" i="1"/>
  <c r="E2045" i="1" s="1"/>
  <c r="F727" i="1"/>
  <c r="E727" i="1" s="1"/>
  <c r="F4015" i="1"/>
  <c r="E4015" i="1" s="1"/>
  <c r="F555" i="1"/>
  <c r="E555" i="1" s="1"/>
  <c r="F1459" i="1"/>
  <c r="E1459" i="1" s="1"/>
  <c r="F490" i="1"/>
  <c r="E490" i="1" s="1"/>
  <c r="F2835" i="1"/>
  <c r="E2835" i="1" s="1"/>
  <c r="E4574" i="1"/>
  <c r="F4331" i="1"/>
  <c r="E4331" i="1" s="1"/>
  <c r="F2824" i="1"/>
  <c r="E2824" i="1" s="1"/>
  <c r="F2044" i="1"/>
  <c r="E2044" i="1" s="1"/>
  <c r="F540" i="1"/>
  <c r="E540" i="1" s="1"/>
  <c r="F4036" i="1"/>
  <c r="E4036" i="1" s="1"/>
  <c r="F3256" i="1"/>
  <c r="E3256" i="1" s="1"/>
  <c r="F43" i="1"/>
  <c r="E43" i="1" s="1"/>
  <c r="F2117" i="1"/>
  <c r="E2117" i="1" s="1"/>
  <c r="F2116" i="1"/>
  <c r="E2116" i="1" s="1"/>
  <c r="F2007" i="1"/>
  <c r="E2007" i="1" s="1"/>
  <c r="F4330" i="1"/>
  <c r="E4330" i="1" s="1"/>
  <c r="F4232" i="1"/>
  <c r="E4232" i="1" s="1"/>
  <c r="F3638" i="1"/>
  <c r="E3638" i="1" s="1"/>
  <c r="F1136" i="1"/>
  <c r="E1136" i="1" s="1"/>
  <c r="F3803" i="1"/>
  <c r="E3803" i="1" s="1"/>
  <c r="F1642" i="1"/>
  <c r="E1642" i="1" s="1"/>
  <c r="F1318" i="1"/>
  <c r="E1318" i="1" s="1"/>
  <c r="F1105" i="1"/>
  <c r="E1105" i="1" s="1"/>
  <c r="F1104" i="1"/>
  <c r="E1104" i="1" s="1"/>
  <c r="F220" i="1"/>
  <c r="E220" i="1" s="1"/>
  <c r="F3785" i="1"/>
  <c r="E3785" i="1" s="1"/>
  <c r="F2559" i="1"/>
  <c r="E2559" i="1" s="1"/>
  <c r="F1147" i="1"/>
  <c r="E1147" i="1" s="1"/>
  <c r="F252" i="1"/>
  <c r="E252" i="1" s="1"/>
  <c r="F2784" i="1"/>
  <c r="F2783" i="1"/>
  <c r="E2783" i="1" s="1"/>
  <c r="F2789" i="1"/>
  <c r="E2789" i="1" s="1"/>
  <c r="F1201" i="1"/>
  <c r="E1201" i="1" s="1"/>
  <c r="F3141" i="1"/>
  <c r="E3141" i="1" s="1"/>
  <c r="F2733" i="1"/>
  <c r="E2733" i="1" s="1"/>
  <c r="F3637" i="1"/>
  <c r="E3637" i="1" s="1"/>
  <c r="F3636" i="1"/>
  <c r="E3636" i="1" s="1"/>
  <c r="F4607" i="1"/>
  <c r="E4607" i="1" s="1"/>
  <c r="F3649" i="1"/>
  <c r="E3649" i="1" s="1"/>
  <c r="F2941" i="1"/>
  <c r="E2941" i="1" s="1"/>
  <c r="F2823" i="1"/>
  <c r="E2823" i="1" s="1"/>
  <c r="F3635" i="1"/>
  <c r="E3635" i="1" s="1"/>
  <c r="F2516" i="1"/>
  <c r="E2516" i="1" s="1"/>
  <c r="F867" i="1"/>
  <c r="E867" i="1" s="1"/>
  <c r="F736" i="1"/>
  <c r="E736" i="1" s="1"/>
  <c r="F740" i="1"/>
  <c r="E740" i="1" s="1"/>
  <c r="F539" i="1"/>
  <c r="E539" i="1" s="1"/>
  <c r="F474" i="1"/>
  <c r="F299" i="1"/>
  <c r="E299" i="1" s="1"/>
  <c r="F2940" i="1"/>
  <c r="E2940" i="1" s="1"/>
  <c r="F650" i="1"/>
  <c r="E650" i="1" s="1"/>
  <c r="F3648" i="1"/>
  <c r="E3648" i="1" s="1"/>
  <c r="F3251" i="1"/>
  <c r="E3251" i="1" s="1"/>
  <c r="F31" i="1"/>
  <c r="E31" i="1" s="1"/>
  <c r="F1156" i="1"/>
  <c r="E1156" i="1" s="1"/>
  <c r="F30" i="1"/>
  <c r="E30" i="1" s="1"/>
  <c r="F3270" i="1"/>
  <c r="E3270" i="1" s="1"/>
  <c r="F3269" i="1"/>
  <c r="E3269" i="1" s="1"/>
  <c r="F3250" i="1"/>
  <c r="E3250" i="1" s="1"/>
  <c r="F4674" i="1"/>
  <c r="E4674" i="1" s="1"/>
  <c r="F1146" i="1"/>
  <c r="E1146" i="1" s="1"/>
  <c r="F2839" i="1"/>
  <c r="E2839" i="1" s="1"/>
  <c r="F3994" i="1"/>
  <c r="E3994" i="1" s="1"/>
  <c r="F4261" i="1"/>
  <c r="E4261" i="1" s="1"/>
  <c r="F3184" i="1"/>
  <c r="E3184" i="1" s="1"/>
  <c r="F2381" i="1"/>
  <c r="E2381" i="1" s="1"/>
  <c r="F1068" i="1"/>
  <c r="E1068" i="1" s="1"/>
  <c r="F1928" i="1"/>
  <c r="E1928" i="1" s="1"/>
  <c r="F3034" i="1"/>
  <c r="E3034" i="1" s="1"/>
  <c r="F2781" i="1"/>
  <c r="E2781" i="1" s="1"/>
  <c r="F2782" i="1"/>
  <c r="E2782" i="1" s="1"/>
  <c r="F385" i="1"/>
  <c r="E385" i="1" s="1"/>
  <c r="F315" i="1"/>
  <c r="E315" i="1" s="1"/>
  <c r="F4230" i="1"/>
  <c r="E4230" i="1" s="1"/>
  <c r="F2115" i="1"/>
  <c r="E2115" i="1" s="1"/>
  <c r="F4127" i="1"/>
  <c r="E4127" i="1" s="1"/>
  <c r="F2930" i="1"/>
  <c r="E2930" i="1" s="1"/>
  <c r="F2924" i="1"/>
  <c r="E2924" i="1" s="1"/>
  <c r="E514" i="1"/>
  <c r="F525" i="1"/>
  <c r="E525" i="1" s="1"/>
  <c r="E524" i="1"/>
  <c r="F523" i="1"/>
  <c r="E523" i="1" s="1"/>
  <c r="E3718" i="1"/>
  <c r="F963" i="1"/>
  <c r="E963" i="1" s="1"/>
  <c r="F3624" i="1"/>
  <c r="E3624" i="1" s="1"/>
  <c r="F2923" i="1"/>
  <c r="E2923" i="1" s="1"/>
  <c r="F2726" i="1"/>
  <c r="E2726" i="1" s="1"/>
  <c r="F2506" i="1"/>
  <c r="E2506" i="1" s="1"/>
  <c r="F735" i="1"/>
  <c r="E735" i="1" s="1"/>
  <c r="E513" i="1"/>
  <c r="F522" i="1"/>
  <c r="E522" i="1" s="1"/>
  <c r="E521" i="1"/>
  <c r="F520" i="1"/>
  <c r="E520" i="1" s="1"/>
  <c r="F471" i="1"/>
  <c r="E471" i="1" s="1"/>
  <c r="F468" i="1"/>
  <c r="E468" i="1" s="1"/>
  <c r="F1765" i="1"/>
  <c r="E1765" i="1" s="1"/>
  <c r="F916" i="1"/>
  <c r="E916" i="1" s="1"/>
  <c r="F306" i="1"/>
  <c r="E306" i="1" s="1"/>
  <c r="F4689" i="1"/>
  <c r="E4689" i="1" s="1"/>
  <c r="F1757" i="1"/>
  <c r="E1757" i="1" s="1"/>
  <c r="F1630" i="1"/>
  <c r="E1630" i="1" s="1"/>
  <c r="F314" i="1"/>
  <c r="E314" i="1" s="1"/>
  <c r="F1629" i="1"/>
  <c r="E1629" i="1" s="1"/>
  <c r="E1313" i="1"/>
  <c r="E1312" i="1"/>
  <c r="F2020" i="1"/>
  <c r="E2020" i="1" s="1"/>
  <c r="F2006" i="1"/>
  <c r="E2006" i="1" s="1"/>
  <c r="F3647" i="1"/>
  <c r="E3647" i="1" s="1"/>
  <c r="F2515" i="1"/>
  <c r="E2515" i="1" s="1"/>
  <c r="F739" i="1"/>
  <c r="E739" i="1" s="1"/>
  <c r="F298" i="1"/>
  <c r="E298" i="1" s="1"/>
  <c r="F2958" i="1"/>
  <c r="E2958" i="1" s="1"/>
  <c r="F427" i="1"/>
  <c r="E427" i="1" s="1"/>
  <c r="F2038" i="1"/>
  <c r="E2038" i="1" s="1"/>
  <c r="F3032" i="1"/>
  <c r="E3032" i="1" s="1"/>
  <c r="E1685" i="1" l="1"/>
  <c r="E2784" i="1"/>
  <c r="E2787" i="1"/>
  <c r="F3" i="1"/>
  <c r="E3" i="1" s="1"/>
  <c r="F6" i="1"/>
  <c r="E6" i="1" s="1"/>
  <c r="F3405" i="1"/>
  <c r="E3405" i="1" s="1"/>
  <c r="F3365" i="1"/>
  <c r="E3365" i="1" s="1"/>
  <c r="F3413" i="1"/>
  <c r="E3413" i="1" s="1"/>
  <c r="F3389" i="1"/>
  <c r="E3389" i="1" s="1"/>
  <c r="F3374" i="1"/>
  <c r="E3374" i="1" s="1"/>
  <c r="F3409" i="1"/>
  <c r="E3409" i="1" s="1"/>
  <c r="F3369" i="1"/>
  <c r="E3369" i="1" s="1"/>
  <c r="F3417" i="1"/>
  <c r="E3417" i="1" s="1"/>
  <c r="F3393" i="1"/>
  <c r="E3393" i="1" s="1"/>
  <c r="F3377" i="1"/>
  <c r="E3377" i="1" s="1"/>
  <c r="E4573" i="1"/>
  <c r="E4572" i="1"/>
  <c r="E4530" i="1"/>
  <c r="E4528" i="1"/>
  <c r="E4571" i="1"/>
  <c r="E4562" i="1"/>
  <c r="E4311" i="1"/>
  <c r="E4328" i="1"/>
  <c r="E4570" i="1"/>
  <c r="E4563" i="1"/>
  <c r="E4569" i="1"/>
  <c r="E4567" i="1"/>
  <c r="E4557" i="1"/>
  <c r="E4566" i="1"/>
  <c r="E4322" i="1"/>
  <c r="E4565" i="1"/>
  <c r="E4554" i="1"/>
  <c r="E4558" i="1"/>
  <c r="E4561" i="1"/>
  <c r="E4559" i="1"/>
  <c r="E4556" i="1"/>
  <c r="E4560" i="1"/>
  <c r="E4555" i="1"/>
  <c r="E4553" i="1"/>
  <c r="E4552" i="1"/>
  <c r="E4549" i="1"/>
  <c r="E4548" i="1"/>
  <c r="E4550" i="1"/>
  <c r="E4551" i="1"/>
  <c r="F3425" i="1"/>
  <c r="E3425" i="1" s="1"/>
  <c r="F3421" i="1"/>
  <c r="E3421" i="1" s="1"/>
  <c r="E4544" i="1"/>
  <c r="E4547" i="1"/>
  <c r="E4524" i="1"/>
  <c r="E474" i="1"/>
  <c r="F3401" i="1"/>
  <c r="E3401" i="1" s="1"/>
  <c r="F3395" i="1"/>
  <c r="E3395" i="1" s="1"/>
  <c r="E4540" i="1"/>
  <c r="E4543" i="1"/>
  <c r="E4541" i="1"/>
  <c r="E4542" i="1"/>
  <c r="E4537" i="1"/>
  <c r="E4534" i="1"/>
  <c r="E4536" i="1"/>
  <c r="E4456" i="1"/>
  <c r="E4455" i="1"/>
  <c r="E4529" i="1"/>
  <c r="E4533" i="1"/>
  <c r="E4525" i="1"/>
  <c r="E4531" i="1"/>
  <c r="E4512" i="1"/>
  <c r="E4523" i="1"/>
  <c r="E4521" i="1"/>
  <c r="E4520" i="1"/>
  <c r="F3385" i="1"/>
  <c r="E3385" i="1" s="1"/>
  <c r="F3382" i="1"/>
  <c r="E3382" i="1" s="1"/>
  <c r="E4519" i="1"/>
  <c r="E4516" i="1"/>
  <c r="E4517" i="1"/>
  <c r="E4449" i="1"/>
  <c r="E4515" i="1"/>
  <c r="E4448" i="1"/>
  <c r="E4451" i="1"/>
  <c r="E4450" i="1"/>
  <c r="E4513" i="1"/>
  <c r="F1103" i="1"/>
  <c r="E1103" i="1" s="1"/>
  <c r="F2796" i="1"/>
  <c r="E2796" i="1" s="1"/>
  <c r="F1067" i="1"/>
  <c r="E1067" i="1" s="1"/>
  <c r="F2818" i="1"/>
  <c r="E2818" i="1" s="1"/>
  <c r="F2278" i="1"/>
  <c r="E2278" i="1" s="1"/>
  <c r="F4013" i="1"/>
  <c r="E4013" i="1" s="1"/>
  <c r="F162" i="1"/>
  <c r="E162" i="1" s="1"/>
  <c r="F2404" i="1"/>
  <c r="E2404" i="1" s="1"/>
  <c r="F1778" i="1"/>
  <c r="E1778" i="1" s="1"/>
  <c r="F3771" i="1"/>
  <c r="E3771" i="1" s="1"/>
  <c r="F2877" i="1"/>
  <c r="E2877" i="1" s="1"/>
  <c r="F2879" i="1"/>
  <c r="E2879" i="1" s="1"/>
  <c r="F2878" i="1"/>
  <c r="E2878" i="1" s="1"/>
  <c r="F995" i="1"/>
  <c r="E995" i="1" s="1"/>
  <c r="F983" i="1"/>
  <c r="E983" i="1" s="1"/>
  <c r="F4684" i="1"/>
  <c r="E4684" i="1" s="1"/>
  <c r="F4103" i="1"/>
  <c r="E4103" i="1" s="1"/>
  <c r="F2922" i="1"/>
  <c r="E2922" i="1" s="1"/>
  <c r="F3343" i="1"/>
  <c r="E3343" i="1" s="1"/>
  <c r="F1387" i="1"/>
  <c r="E1387" i="1" s="1"/>
  <c r="F251" i="1"/>
  <c r="E251" i="1" s="1"/>
  <c r="F1145" i="1"/>
  <c r="E1145" i="1" s="1"/>
  <c r="E4526" i="1" l="1"/>
  <c r="E4522" i="1"/>
  <c r="E4527" i="1"/>
  <c r="E1683" i="1"/>
  <c r="E4535" i="1"/>
  <c r="E4538" i="1"/>
  <c r="F1992" i="1"/>
  <c r="E1992" i="1" s="1"/>
  <c r="F1994" i="1"/>
  <c r="E1994" i="1" s="1"/>
  <c r="F1997" i="1"/>
  <c r="E1997" i="1" s="1"/>
  <c r="F1981" i="1"/>
  <c r="E1981" i="1" s="1"/>
  <c r="F2000" i="1"/>
  <c r="E2000" i="1" s="1"/>
  <c r="F1993" i="1"/>
  <c r="E1993" i="1" s="1"/>
  <c r="F1995" i="1"/>
  <c r="E1995" i="1" s="1"/>
  <c r="F2001" i="1"/>
  <c r="E2001" i="1" s="1"/>
  <c r="F1982" i="1"/>
  <c r="E1982" i="1" s="1"/>
  <c r="F1998" i="1"/>
  <c r="E1998" i="1" s="1"/>
  <c r="F3620" i="1"/>
  <c r="E3620" i="1" s="1"/>
  <c r="F3619" i="1"/>
  <c r="E3619" i="1" s="1"/>
  <c r="F800" i="1"/>
  <c r="E800" i="1" s="1"/>
  <c r="F794" i="1"/>
  <c r="E794" i="1" s="1"/>
  <c r="F798" i="1"/>
  <c r="E798" i="1" s="1"/>
  <c r="F1093" i="1"/>
  <c r="E1093" i="1" s="1"/>
  <c r="F1083" i="1"/>
  <c r="E1083" i="1" s="1"/>
  <c r="F1089" i="1"/>
  <c r="E1089" i="1" s="1"/>
  <c r="F1080" i="1"/>
  <c r="E1080" i="1" s="1"/>
  <c r="F1096" i="1"/>
  <c r="F3019" i="1"/>
  <c r="E3019" i="1" s="1"/>
  <c r="F3002" i="1"/>
  <c r="E3002" i="1" s="1"/>
  <c r="F3012" i="1"/>
  <c r="E3012" i="1" s="1"/>
  <c r="F3017" i="1"/>
  <c r="E3017" i="1" s="1"/>
  <c r="F3009" i="1"/>
  <c r="E3009" i="1" s="1"/>
  <c r="F2990" i="1"/>
  <c r="E2990" i="1" s="1"/>
  <c r="F3011" i="1"/>
  <c r="E3011" i="1" s="1"/>
  <c r="F2987" i="1"/>
  <c r="E2987" i="1" s="1"/>
  <c r="F3016" i="1"/>
  <c r="E3016" i="1" s="1"/>
  <c r="F2997" i="1"/>
  <c r="E2997" i="1" s="1"/>
  <c r="F2989" i="1"/>
  <c r="E2989" i="1" s="1"/>
  <c r="F3014" i="1"/>
  <c r="E3014" i="1" s="1"/>
  <c r="F2999" i="1"/>
  <c r="E2999" i="1" s="1"/>
  <c r="F2988" i="1"/>
  <c r="E2988" i="1" s="1"/>
  <c r="F2998" i="1"/>
  <c r="E2998" i="1" s="1"/>
  <c r="F3013" i="1"/>
  <c r="E3013" i="1" s="1"/>
  <c r="F2996" i="1"/>
  <c r="E2996" i="1" s="1"/>
  <c r="F3018" i="1"/>
  <c r="E3018" i="1" s="1"/>
  <c r="F2995" i="1"/>
  <c r="E2995" i="1" s="1"/>
  <c r="F2991" i="1"/>
  <c r="E2991" i="1" s="1"/>
  <c r="F3007" i="1"/>
  <c r="E3007" i="1" s="1"/>
  <c r="F3010" i="1"/>
  <c r="E3010" i="1" s="1"/>
  <c r="F2281" i="1"/>
  <c r="E2281" i="1" s="1"/>
  <c r="F2279" i="1"/>
  <c r="E2279" i="1" s="1"/>
  <c r="F2285" i="1"/>
  <c r="E2285" i="1" s="1"/>
  <c r="F2283" i="1"/>
  <c r="E2283" i="1" s="1"/>
  <c r="F2295" i="1"/>
  <c r="E2295" i="1" s="1"/>
  <c r="F2292" i="1"/>
  <c r="E2292" i="1" s="1"/>
  <c r="F2299" i="1"/>
  <c r="E2299" i="1" s="1"/>
  <c r="F2309" i="1"/>
  <c r="E2309" i="1" s="1"/>
  <c r="F2300" i="1"/>
  <c r="E2300" i="1" s="1"/>
  <c r="F2306" i="1"/>
  <c r="E2306" i="1" s="1"/>
  <c r="F2315" i="1"/>
  <c r="E2315" i="1" s="1"/>
  <c r="F507" i="1"/>
  <c r="E507" i="1" s="1"/>
  <c r="F503" i="1"/>
  <c r="E503" i="1" s="1"/>
  <c r="F2780" i="1"/>
  <c r="E2780" i="1" s="1"/>
  <c r="F2994" i="1"/>
  <c r="E2994" i="1" s="1"/>
  <c r="F3005" i="1"/>
  <c r="E3005" i="1" s="1"/>
  <c r="F2284" i="1"/>
  <c r="E2284" i="1" s="1"/>
  <c r="F2288" i="1"/>
  <c r="E2288" i="1" s="1"/>
  <c r="F2286" i="1"/>
  <c r="E2286" i="1" s="1"/>
  <c r="F2287" i="1"/>
  <c r="E2287" i="1" s="1"/>
  <c r="F1430" i="1"/>
  <c r="E1430" i="1" s="1"/>
  <c r="F1438" i="1"/>
  <c r="E1438" i="1" s="1"/>
  <c r="F1439" i="1"/>
  <c r="E1439" i="1" s="1"/>
  <c r="E2296" i="1"/>
  <c r="F2307" i="1"/>
  <c r="E2307" i="1" s="1"/>
  <c r="F2313" i="1"/>
  <c r="E2313" i="1" s="1"/>
  <c r="F2312" i="1"/>
  <c r="E2312" i="1" s="1"/>
  <c r="F508" i="1"/>
  <c r="E508" i="1" s="1"/>
  <c r="F509" i="1"/>
  <c r="E509" i="1" s="1"/>
  <c r="F982" i="1"/>
  <c r="E982" i="1" s="1"/>
  <c r="F981" i="1"/>
  <c r="E981" i="1" s="1"/>
  <c r="F1139" i="1"/>
  <c r="E1139" i="1" s="1"/>
  <c r="F1143" i="1"/>
  <c r="E1143" i="1" s="1"/>
  <c r="F1144" i="1"/>
  <c r="E1144" i="1" s="1"/>
  <c r="F1140" i="1"/>
  <c r="E1140" i="1" s="1"/>
  <c r="F1142" i="1"/>
  <c r="E1142" i="1" s="1"/>
  <c r="F150" i="1"/>
  <c r="E150" i="1" s="1"/>
  <c r="F156" i="1"/>
  <c r="E156" i="1" s="1"/>
  <c r="F157" i="1"/>
  <c r="E157" i="1" s="1"/>
  <c r="F154" i="1"/>
  <c r="E154" i="1" s="1"/>
  <c r="F1381" i="1"/>
  <c r="E1381" i="1" s="1"/>
  <c r="F1435" i="1"/>
  <c r="E1435" i="1" s="1"/>
  <c r="F4010" i="1"/>
  <c r="E4010" i="1" s="1"/>
  <c r="F4011" i="1"/>
  <c r="E4011" i="1" s="1"/>
  <c r="F3003" i="1"/>
  <c r="E3003" i="1" s="1"/>
  <c r="F3008" i="1"/>
  <c r="E3008" i="1" s="1"/>
  <c r="F3015" i="1"/>
  <c r="E3015" i="1" s="1"/>
  <c r="F993" i="1"/>
  <c r="E993" i="1" s="1"/>
  <c r="F992" i="1"/>
  <c r="E992" i="1" s="1"/>
  <c r="F2294" i="1"/>
  <c r="E2294" i="1" s="1"/>
  <c r="F2293" i="1"/>
  <c r="E2293" i="1" s="1"/>
  <c r="F1755" i="1"/>
  <c r="E1755" i="1" s="1"/>
  <c r="F1754" i="1"/>
  <c r="E1754" i="1" s="1"/>
  <c r="F2276" i="1"/>
  <c r="E2276" i="1" s="1"/>
  <c r="F2275" i="1"/>
  <c r="E2275" i="1" s="1"/>
  <c r="F2277" i="1"/>
  <c r="E2277" i="1" s="1"/>
  <c r="F2273" i="1"/>
  <c r="E2273" i="1" s="1"/>
  <c r="F2274" i="1"/>
  <c r="E2274" i="1" s="1"/>
  <c r="F247" i="1"/>
  <c r="E247" i="1" s="1"/>
  <c r="F249" i="1"/>
  <c r="E249" i="1" s="1"/>
  <c r="F248" i="1"/>
  <c r="E248" i="1" s="1"/>
  <c r="F250" i="1"/>
  <c r="E250" i="1" s="1"/>
  <c r="F978" i="1"/>
  <c r="E978" i="1" s="1"/>
  <c r="F979" i="1"/>
  <c r="E979" i="1" s="1"/>
  <c r="F980" i="1"/>
  <c r="E980" i="1" s="1"/>
  <c r="F506" i="1"/>
  <c r="E506" i="1" s="1"/>
  <c r="F504" i="1"/>
  <c r="E504" i="1" s="1"/>
  <c r="F505" i="1"/>
  <c r="E505" i="1" s="1"/>
  <c r="F1360" i="1"/>
  <c r="E1360" i="1" s="1"/>
  <c r="F1372" i="1"/>
  <c r="E1372" i="1" s="1"/>
  <c r="F795" i="1"/>
  <c r="E795" i="1" s="1"/>
  <c r="F797" i="1"/>
  <c r="E797" i="1" s="1"/>
  <c r="F989" i="1"/>
  <c r="E989" i="1" s="1"/>
  <c r="F990" i="1"/>
  <c r="E990" i="1" s="1"/>
  <c r="F501" i="1"/>
  <c r="E501" i="1" s="1"/>
  <c r="F502" i="1"/>
  <c r="E502" i="1" s="1"/>
  <c r="F4682" i="1"/>
  <c r="E4682" i="1" s="1"/>
  <c r="F4683" i="1"/>
  <c r="E4683" i="1" s="1"/>
  <c r="F2269" i="1"/>
  <c r="E2269" i="1" s="1"/>
  <c r="F2270" i="1"/>
  <c r="E2270" i="1" s="1"/>
  <c r="F1555" i="1"/>
  <c r="E1555" i="1" s="1"/>
  <c r="F1560" i="1"/>
  <c r="E1560" i="1" s="1"/>
  <c r="F1559" i="1"/>
  <c r="E1559" i="1" s="1"/>
  <c r="F1395" i="1"/>
  <c r="E1395" i="1" s="1"/>
  <c r="F1335" i="1"/>
  <c r="E1335" i="1" s="1"/>
  <c r="F1334" i="1"/>
  <c r="E1334" i="1" s="1"/>
  <c r="F1340" i="1"/>
  <c r="E1340" i="1" s="1"/>
  <c r="F1338" i="1"/>
  <c r="E1338" i="1" s="1"/>
  <c r="F1333" i="1"/>
  <c r="E1333" i="1" s="1"/>
  <c r="F1354" i="1"/>
  <c r="E1354" i="1" s="1"/>
  <c r="F1337" i="1"/>
  <c r="E1337" i="1" s="1"/>
  <c r="F1332" i="1"/>
  <c r="E1332" i="1" s="1"/>
  <c r="F1349" i="1"/>
  <c r="E1349" i="1" s="1"/>
  <c r="F1350" i="1"/>
  <c r="E1350" i="1" s="1"/>
  <c r="F1358" i="1"/>
  <c r="E1358" i="1" s="1"/>
  <c r="F1344" i="1"/>
  <c r="E1344" i="1" s="1"/>
  <c r="F1345" i="1"/>
  <c r="E1345" i="1" s="1"/>
  <c r="F1331" i="1"/>
  <c r="E1331" i="1" s="1"/>
  <c r="F1343" i="1"/>
  <c r="E1343" i="1" s="1"/>
  <c r="F2305" i="1"/>
  <c r="E2305" i="1" s="1"/>
  <c r="F2308" i="1"/>
  <c r="E2308" i="1" s="1"/>
  <c r="F2311" i="1"/>
  <c r="E2311" i="1" s="1"/>
  <c r="F2310" i="1"/>
  <c r="E2310" i="1" s="1"/>
  <c r="F3614" i="1"/>
  <c r="E3614" i="1" s="1"/>
  <c r="F3618" i="1"/>
  <c r="E3618" i="1" s="1"/>
  <c r="F2298" i="1"/>
  <c r="E2298" i="1" s="1"/>
  <c r="F2304" i="1"/>
  <c r="E2304" i="1" s="1"/>
  <c r="F2302" i="1"/>
  <c r="E2302" i="1" s="1"/>
  <c r="F2301" i="1"/>
  <c r="E2301" i="1" s="1"/>
  <c r="F2303" i="1"/>
  <c r="E2303" i="1" s="1"/>
  <c r="F2290" i="1"/>
  <c r="E2290" i="1" s="1"/>
  <c r="F2291" i="1"/>
  <c r="E2291" i="1" s="1"/>
  <c r="F987" i="1"/>
  <c r="E987" i="1" s="1"/>
  <c r="F988" i="1"/>
  <c r="E988" i="1" s="1"/>
  <c r="F791" i="1"/>
  <c r="E791" i="1" s="1"/>
  <c r="F792" i="1"/>
  <c r="E792" i="1" s="1"/>
  <c r="F793" i="1"/>
  <c r="E793" i="1" s="1"/>
  <c r="F3000" i="1"/>
  <c r="E3000" i="1" s="1"/>
  <c r="F3001" i="1"/>
  <c r="E3001" i="1" s="1"/>
  <c r="F2280" i="1"/>
  <c r="E2280" i="1" s="1"/>
  <c r="F2282" i="1"/>
  <c r="E2282" i="1" s="1"/>
  <c r="F1752" i="1"/>
  <c r="E1752" i="1" s="1"/>
  <c r="F1753" i="1"/>
  <c r="E1753" i="1" s="1"/>
  <c r="F2268" i="1"/>
  <c r="E2268" i="1" s="1"/>
  <c r="F2267" i="1"/>
  <c r="E2267" i="1" s="1"/>
  <c r="F759" i="1"/>
  <c r="E759" i="1" s="1"/>
  <c r="F784" i="1"/>
  <c r="E784" i="1" s="1"/>
  <c r="F790" i="1"/>
  <c r="E790" i="1" s="1"/>
  <c r="F2779" i="1"/>
  <c r="E2779" i="1" s="1"/>
  <c r="F2778" i="1"/>
  <c r="E2778" i="1" s="1"/>
  <c r="F2777" i="1"/>
  <c r="E2777" i="1" s="1"/>
  <c r="F2920" i="1"/>
  <c r="E2920" i="1" s="1"/>
  <c r="F2921" i="1"/>
  <c r="E2921" i="1" s="1"/>
  <c r="F1774" i="1"/>
  <c r="E1774" i="1" s="1"/>
  <c r="F1777" i="1"/>
  <c r="E1777" i="1" s="1"/>
  <c r="F1773" i="1"/>
  <c r="E1773" i="1" s="1"/>
  <c r="F1776" i="1"/>
  <c r="E1776" i="1" s="1"/>
  <c r="F1775" i="1"/>
  <c r="E1775" i="1" s="1"/>
  <c r="F1772" i="1"/>
  <c r="E1772" i="1" s="1"/>
  <c r="F1553" i="1"/>
  <c r="E1553" i="1" s="1"/>
  <c r="F1554" i="1"/>
  <c r="E1554" i="1" s="1"/>
  <c r="F244" i="1"/>
  <c r="E244" i="1" s="1"/>
  <c r="F245" i="1"/>
  <c r="E245" i="1" s="1"/>
  <c r="F246" i="1"/>
  <c r="E246" i="1" s="1"/>
  <c r="F2992" i="1"/>
  <c r="E2992" i="1" s="1"/>
  <c r="F2993" i="1"/>
  <c r="E2993" i="1" s="1"/>
  <c r="F2265" i="1"/>
  <c r="E2265" i="1" s="1"/>
  <c r="F2266" i="1"/>
  <c r="E2266" i="1" s="1"/>
  <c r="F1983" i="1"/>
  <c r="E1983" i="1" s="1"/>
  <c r="F1990" i="1"/>
  <c r="E1990" i="1" s="1"/>
  <c r="F1984" i="1"/>
  <c r="E1984" i="1" s="1"/>
  <c r="F1991" i="1"/>
  <c r="E1991" i="1" s="1"/>
  <c r="F242" i="1"/>
  <c r="E242" i="1" s="1"/>
  <c r="F243" i="1"/>
  <c r="E243" i="1" s="1"/>
  <c r="E1096" i="1" l="1"/>
  <c r="E1688" i="1"/>
  <c r="B5" i="5"/>
  <c r="C7" i="5"/>
  <c r="B7" i="5" s="1"/>
  <c r="C6" i="5"/>
  <c r="B6" i="5" s="1"/>
  <c r="C3" i="5"/>
  <c r="C2" i="5"/>
  <c r="C8" i="5" l="1"/>
  <c r="B8" i="5" s="1"/>
</calcChain>
</file>

<file path=xl/sharedStrings.xml><?xml version="1.0" encoding="utf-8"?>
<sst xmlns="http://schemas.openxmlformats.org/spreadsheetml/2006/main" count="40830" uniqueCount="7541">
  <si>
    <t>Unit</t>
  </si>
  <si>
    <t>Symbol</t>
  </si>
  <si>
    <t>Physical Quantity</t>
  </si>
  <si>
    <t>Dimensions</t>
  </si>
  <si>
    <t>Conversion Factor</t>
  </si>
  <si>
    <t>System</t>
  </si>
  <si>
    <t>a.u.</t>
  </si>
  <si>
    <t>action, angular momentum</t>
  </si>
  <si>
    <t>quantity of electricity, electric charge</t>
  </si>
  <si>
    <t>energy, work, heat</t>
  </si>
  <si>
    <t>I</t>
  </si>
  <si>
    <t>Unit Name</t>
  </si>
  <si>
    <t>C</t>
  </si>
  <si>
    <t>A</t>
  </si>
  <si>
    <t>m</t>
  </si>
  <si>
    <t>J</t>
  </si>
  <si>
    <t>length, distance</t>
  </si>
  <si>
    <t>mass</t>
  </si>
  <si>
    <t>force, weight</t>
  </si>
  <si>
    <t>L</t>
  </si>
  <si>
    <t>M</t>
  </si>
  <si>
    <t>T</t>
  </si>
  <si>
    <t>s</t>
  </si>
  <si>
    <t>kg</t>
  </si>
  <si>
    <t>N</t>
  </si>
  <si>
    <t>aW</t>
  </si>
  <si>
    <t>-</t>
  </si>
  <si>
    <t>electric capacitance</t>
  </si>
  <si>
    <t>electric inductance</t>
  </si>
  <si>
    <t>electric conductance</t>
  </si>
  <si>
    <t>electric resistance</t>
  </si>
  <si>
    <t>power</t>
  </si>
  <si>
    <r>
      <t>L</t>
    </r>
    <r>
      <rPr>
        <vertAlign val="superscript"/>
        <sz val="11"/>
        <color theme="1"/>
        <rFont val="Calibri"/>
        <family val="2"/>
        <scheme val="minor"/>
      </rPr>
      <t>3</t>
    </r>
  </si>
  <si>
    <r>
      <t>m</t>
    </r>
    <r>
      <rPr>
        <vertAlign val="superscript"/>
        <sz val="11"/>
        <color theme="1"/>
        <rFont val="Calibri"/>
        <family val="2"/>
        <scheme val="minor"/>
      </rPr>
      <t>3</t>
    </r>
  </si>
  <si>
    <t>F</t>
  </si>
  <si>
    <t>Dutch</t>
  </si>
  <si>
    <t>cgs</t>
  </si>
  <si>
    <t>capacity, volume</t>
  </si>
  <si>
    <r>
      <t>L</t>
    </r>
    <r>
      <rPr>
        <vertAlign val="superscript"/>
        <sz val="11"/>
        <color theme="1"/>
        <rFont val="Calibri"/>
        <family val="2"/>
        <scheme val="minor"/>
      </rPr>
      <t>2</t>
    </r>
  </si>
  <si>
    <r>
      <t>m</t>
    </r>
    <r>
      <rPr>
        <vertAlign val="superscript"/>
        <sz val="11"/>
        <color theme="1"/>
        <rFont val="Calibri"/>
        <family val="2"/>
        <scheme val="minor"/>
      </rPr>
      <t>2</t>
    </r>
  </si>
  <si>
    <t>Roman</t>
  </si>
  <si>
    <t>Indian</t>
  </si>
  <si>
    <t>SI</t>
  </si>
  <si>
    <t>Arabic</t>
  </si>
  <si>
    <t>Austrian</t>
  </si>
  <si>
    <t>acre</t>
  </si>
  <si>
    <t>UK</t>
  </si>
  <si>
    <t>US</t>
  </si>
  <si>
    <t>aldan</t>
  </si>
  <si>
    <t>Spanish</t>
  </si>
  <si>
    <t>Attic</t>
  </si>
  <si>
    <t>Swedish</t>
  </si>
  <si>
    <t>Portuguese</t>
  </si>
  <si>
    <t>ampere</t>
  </si>
  <si>
    <t>ampere-hour</t>
  </si>
  <si>
    <t>ampere-tum</t>
  </si>
  <si>
    <t>angstrom</t>
  </si>
  <si>
    <t>Persian</t>
  </si>
  <si>
    <t>INT</t>
  </si>
  <si>
    <t>German</t>
  </si>
  <si>
    <t>Russian</t>
  </si>
  <si>
    <t>apostilb</t>
  </si>
  <si>
    <t>a</t>
  </si>
  <si>
    <t>asb</t>
  </si>
  <si>
    <t>Egyptian</t>
  </si>
  <si>
    <t>French</t>
  </si>
  <si>
    <t>MKpS</t>
  </si>
  <si>
    <r>
      <t>atm, A</t>
    </r>
    <r>
      <rPr>
        <vertAlign val="subscript"/>
        <sz val="11"/>
        <color theme="1"/>
        <rFont val="Calibri"/>
        <family val="2"/>
        <scheme val="minor"/>
      </rPr>
      <t>n</t>
    </r>
  </si>
  <si>
    <t>at</t>
  </si>
  <si>
    <t>am</t>
  </si>
  <si>
    <t>aune</t>
  </si>
  <si>
    <t>number of entities per amount of substance</t>
  </si>
  <si>
    <t>exposure</t>
  </si>
  <si>
    <t>balmer</t>
  </si>
  <si>
    <t>bar</t>
  </si>
  <si>
    <t>barad</t>
  </si>
  <si>
    <t>pressure, stress</t>
  </si>
  <si>
    <t>Italian</t>
  </si>
  <si>
    <t>barn</t>
  </si>
  <si>
    <t>baromil</t>
  </si>
  <si>
    <t>b</t>
  </si>
  <si>
    <t>UK, US</t>
  </si>
  <si>
    <r>
      <t>m</t>
    </r>
    <r>
      <rPr>
        <vertAlign val="superscript"/>
        <sz val="11"/>
        <color theme="1"/>
        <rFont val="Calibri"/>
        <family val="2"/>
        <scheme val="minor"/>
      </rPr>
      <t>4</t>
    </r>
  </si>
  <si>
    <r>
      <t>L</t>
    </r>
    <r>
      <rPr>
        <vertAlign val="superscript"/>
        <sz val="11"/>
        <color theme="1"/>
        <rFont val="Calibri"/>
        <family val="2"/>
        <scheme val="minor"/>
      </rPr>
      <t>4</t>
    </r>
  </si>
  <si>
    <t>bboe</t>
  </si>
  <si>
    <t>baud</t>
  </si>
  <si>
    <t>bd</t>
  </si>
  <si>
    <t>Hebrew</t>
  </si>
  <si>
    <t>becquerel</t>
  </si>
  <si>
    <t>Bq</t>
  </si>
  <si>
    <t>radioactivity</t>
  </si>
  <si>
    <t>B</t>
  </si>
  <si>
    <t>benz</t>
  </si>
  <si>
    <t>biot</t>
  </si>
  <si>
    <t>BeV</t>
  </si>
  <si>
    <t>mm</t>
  </si>
  <si>
    <t>bit</t>
  </si>
  <si>
    <t>blink</t>
  </si>
  <si>
    <t>Bi</t>
  </si>
  <si>
    <r>
      <t>ft</t>
    </r>
    <r>
      <rPr>
        <vertAlign val="superscript"/>
        <sz val="11"/>
        <color theme="1"/>
        <rFont val="Calibri"/>
        <family val="2"/>
        <scheme val="minor"/>
      </rPr>
      <t>4</t>
    </r>
  </si>
  <si>
    <r>
      <t>in</t>
    </r>
    <r>
      <rPr>
        <vertAlign val="superscript"/>
        <sz val="11"/>
        <color theme="1"/>
        <rFont val="Calibri"/>
        <family val="2"/>
        <scheme val="minor"/>
      </rPr>
      <t>4</t>
    </r>
  </si>
  <si>
    <t>blondel</t>
  </si>
  <si>
    <t>bole</t>
  </si>
  <si>
    <t>bi</t>
  </si>
  <si>
    <t>cd</t>
  </si>
  <si>
    <t>brewster</t>
  </si>
  <si>
    <t>bn</t>
  </si>
  <si>
    <t>entropy</t>
  </si>
  <si>
    <t>Japanese</t>
  </si>
  <si>
    <t xml:space="preserve">Cal, kcal </t>
  </si>
  <si>
    <t>candela</t>
  </si>
  <si>
    <t>c</t>
  </si>
  <si>
    <t>luminous flux</t>
  </si>
  <si>
    <t>cd.sr</t>
  </si>
  <si>
    <t>carat</t>
  </si>
  <si>
    <t>ct</t>
  </si>
  <si>
    <t>unitless</t>
  </si>
  <si>
    <t>FPS</t>
  </si>
  <si>
    <t>carcel</t>
  </si>
  <si>
    <t>carnot</t>
  </si>
  <si>
    <t>celo</t>
  </si>
  <si>
    <t>acceleration</t>
  </si>
  <si>
    <t>temperature</t>
  </si>
  <si>
    <t>Q</t>
  </si>
  <si>
    <t>cm</t>
  </si>
  <si>
    <t>H</t>
  </si>
  <si>
    <t>centipoise</t>
  </si>
  <si>
    <t>centistokes</t>
  </si>
  <si>
    <t>cP, cPo</t>
  </si>
  <si>
    <t>cSt</t>
  </si>
  <si>
    <t>velocity, speed</t>
  </si>
  <si>
    <t>centrad</t>
  </si>
  <si>
    <t>ch</t>
  </si>
  <si>
    <t>rad</t>
  </si>
  <si>
    <t>Chinese</t>
  </si>
  <si>
    <t>cicero</t>
  </si>
  <si>
    <t>circumference</t>
  </si>
  <si>
    <t>clo</t>
  </si>
  <si>
    <t>Cl</t>
  </si>
  <si>
    <t>clusec</t>
  </si>
  <si>
    <t>coulomb</t>
  </si>
  <si>
    <t>IEUS</t>
  </si>
  <si>
    <t>A.s</t>
  </si>
  <si>
    <t>crinal</t>
  </si>
  <si>
    <t>crocodile</t>
  </si>
  <si>
    <t>cron</t>
  </si>
  <si>
    <t>crosa</t>
  </si>
  <si>
    <t>cran</t>
  </si>
  <si>
    <t>Si</t>
  </si>
  <si>
    <t>cu</t>
  </si>
  <si>
    <t>curie</t>
  </si>
  <si>
    <t>cumec</t>
  </si>
  <si>
    <t>Ci</t>
  </si>
  <si>
    <t>cusec</t>
  </si>
  <si>
    <t>Ci/l</t>
  </si>
  <si>
    <t>frequency</t>
  </si>
  <si>
    <t>daraf</t>
  </si>
  <si>
    <t>darce</t>
  </si>
  <si>
    <t>darey</t>
  </si>
  <si>
    <t>u, uma, Da</t>
  </si>
  <si>
    <t>d</t>
  </si>
  <si>
    <t>debye</t>
  </si>
  <si>
    <t>decade</t>
  </si>
  <si>
    <t>decastere</t>
  </si>
  <si>
    <t>D</t>
  </si>
  <si>
    <t>dam</t>
  </si>
  <si>
    <t>dast</t>
  </si>
  <si>
    <t>mas</t>
  </si>
  <si>
    <t>MTS</t>
  </si>
  <si>
    <t>decistere</t>
  </si>
  <si>
    <t>degree</t>
  </si>
  <si>
    <t>dm</t>
  </si>
  <si>
    <t>dst</t>
  </si>
  <si>
    <r>
      <rPr>
        <vertAlign val="superscript"/>
        <sz val="11"/>
        <color theme="1"/>
        <rFont val="Calibri"/>
        <family val="2"/>
        <scheme val="minor"/>
      </rPr>
      <t>o</t>
    </r>
    <r>
      <rPr>
        <sz val="11"/>
        <color theme="1"/>
        <rFont val="Calibri"/>
        <family val="2"/>
        <scheme val="minor"/>
      </rPr>
      <t xml:space="preserve">THF, </t>
    </r>
    <r>
      <rPr>
        <vertAlign val="superscript"/>
        <sz val="11"/>
        <color theme="1"/>
        <rFont val="Calibri"/>
        <family val="2"/>
        <scheme val="minor"/>
      </rPr>
      <t>o</t>
    </r>
    <r>
      <rPr>
        <sz val="11"/>
        <color theme="1"/>
        <rFont val="Calibri"/>
        <family val="2"/>
        <scheme val="minor"/>
      </rPr>
      <t>f</t>
    </r>
  </si>
  <si>
    <t>g</t>
  </si>
  <si>
    <t>demal</t>
  </si>
  <si>
    <t>denier</t>
  </si>
  <si>
    <t>dioptre</t>
  </si>
  <si>
    <t>donkey</t>
  </si>
  <si>
    <r>
      <t>m</t>
    </r>
    <r>
      <rPr>
        <vertAlign val="superscript"/>
        <sz val="11"/>
        <color theme="1"/>
        <rFont val="Calibri"/>
        <family val="2"/>
        <scheme val="minor"/>
      </rPr>
      <t>2</t>
    </r>
    <r>
      <rPr>
        <sz val="11"/>
        <color theme="1"/>
        <rFont val="Calibri"/>
        <family val="2"/>
        <scheme val="minor"/>
      </rPr>
      <t>.A</t>
    </r>
  </si>
  <si>
    <t>drex</t>
  </si>
  <si>
    <t>dyn</t>
  </si>
  <si>
    <r>
      <t>r</t>
    </r>
    <r>
      <rPr>
        <vertAlign val="subscript"/>
        <sz val="11"/>
        <color theme="1"/>
        <rFont val="Calibri"/>
        <family val="2"/>
        <scheme val="minor"/>
      </rPr>
      <t>e</t>
    </r>
  </si>
  <si>
    <r>
      <t>m</t>
    </r>
    <r>
      <rPr>
        <vertAlign val="subscript"/>
        <sz val="11"/>
        <color theme="1"/>
        <rFont val="Calibri"/>
        <family val="2"/>
        <scheme val="minor"/>
      </rPr>
      <t>o</t>
    </r>
    <r>
      <rPr>
        <sz val="11"/>
        <color theme="1"/>
        <rFont val="Calibri"/>
        <family val="2"/>
        <scheme val="minor"/>
      </rPr>
      <t>, m</t>
    </r>
    <r>
      <rPr>
        <vertAlign val="subscript"/>
        <sz val="11"/>
        <color theme="1"/>
        <rFont val="Calibri"/>
        <family val="2"/>
        <scheme val="minor"/>
      </rPr>
      <t>e</t>
    </r>
  </si>
  <si>
    <t>eV</t>
  </si>
  <si>
    <t>eman</t>
  </si>
  <si>
    <t>eon</t>
  </si>
  <si>
    <t>erg</t>
  </si>
  <si>
    <t>statmho</t>
  </si>
  <si>
    <t>s.A</t>
  </si>
  <si>
    <t>e-unit</t>
  </si>
  <si>
    <t>statohm</t>
  </si>
  <si>
    <t>farad</t>
  </si>
  <si>
    <t>fathom</t>
  </si>
  <si>
    <t>fg</t>
  </si>
  <si>
    <t>Hungarian</t>
  </si>
  <si>
    <t>fermi</t>
  </si>
  <si>
    <t>F, f</t>
  </si>
  <si>
    <t>FU</t>
  </si>
  <si>
    <t>FLOP</t>
  </si>
  <si>
    <t>foot</t>
  </si>
  <si>
    <t>fu</t>
  </si>
  <si>
    <t>@</t>
  </si>
  <si>
    <t>illuminance</t>
  </si>
  <si>
    <t>fourier</t>
  </si>
  <si>
    <t>franklin</t>
  </si>
  <si>
    <t>fresnel</t>
  </si>
  <si>
    <t>FEU, FEQ</t>
  </si>
  <si>
    <t>Fr</t>
  </si>
  <si>
    <t>f</t>
  </si>
  <si>
    <t>frigorie</t>
  </si>
  <si>
    <t>fur</t>
  </si>
  <si>
    <t>gaillarde</t>
  </si>
  <si>
    <t>Gal, gal</t>
  </si>
  <si>
    <t>CAN</t>
  </si>
  <si>
    <t>gpdpc</t>
  </si>
  <si>
    <t>gamma</t>
  </si>
  <si>
    <t>gauss</t>
  </si>
  <si>
    <t>gavyuti</t>
  </si>
  <si>
    <t>gemmbo</t>
  </si>
  <si>
    <t>gibbs</t>
  </si>
  <si>
    <t>slug</t>
  </si>
  <si>
    <t>gilbert</t>
  </si>
  <si>
    <t>Gb</t>
  </si>
  <si>
    <t>bytes</t>
  </si>
  <si>
    <t>glug</t>
  </si>
  <si>
    <t>gr</t>
  </si>
  <si>
    <t>gram</t>
  </si>
  <si>
    <t>gram-rad</t>
  </si>
  <si>
    <t>gray</t>
  </si>
  <si>
    <t>Gy</t>
  </si>
  <si>
    <t>hd</t>
  </si>
  <si>
    <t>hectare</t>
  </si>
  <si>
    <t>HFU</t>
  </si>
  <si>
    <t>bits</t>
  </si>
  <si>
    <t>henry</t>
  </si>
  <si>
    <t>hertz</t>
  </si>
  <si>
    <t>Hz</t>
  </si>
  <si>
    <t>hdd</t>
  </si>
  <si>
    <t>hhd, hgs</t>
  </si>
  <si>
    <t>magnetic permeability</t>
  </si>
  <si>
    <t>hour</t>
  </si>
  <si>
    <t>h</t>
  </si>
  <si>
    <t>BHP, hp</t>
  </si>
  <si>
    <t>hubble</t>
  </si>
  <si>
    <t>inch</t>
  </si>
  <si>
    <t>l</t>
  </si>
  <si>
    <t>K</t>
  </si>
  <si>
    <t>inferno</t>
  </si>
  <si>
    <t>UI, IU</t>
  </si>
  <si>
    <t>enzymatic activity</t>
  </si>
  <si>
    <t>jacobi</t>
  </si>
  <si>
    <t>jar</t>
  </si>
  <si>
    <t>joule</t>
  </si>
  <si>
    <t>kanne</t>
  </si>
  <si>
    <t>line</t>
  </si>
  <si>
    <t>katal</t>
  </si>
  <si>
    <t>kayser</t>
  </si>
  <si>
    <t>kat</t>
  </si>
  <si>
    <t>Ky</t>
  </si>
  <si>
    <t>kelvin</t>
  </si>
  <si>
    <t>kerma</t>
  </si>
  <si>
    <t>kilogram</t>
  </si>
  <si>
    <t>kgfm</t>
  </si>
  <si>
    <t>kine</t>
  </si>
  <si>
    <t>kip</t>
  </si>
  <si>
    <t>koku</t>
  </si>
  <si>
    <t>kyne</t>
  </si>
  <si>
    <t>lambda</t>
  </si>
  <si>
    <t>lambert</t>
  </si>
  <si>
    <t>langley</t>
  </si>
  <si>
    <t>lenz</t>
  </si>
  <si>
    <t>leo</t>
  </si>
  <si>
    <t>ligne</t>
  </si>
  <si>
    <t>latm</t>
  </si>
  <si>
    <t>lumen</t>
  </si>
  <si>
    <t>lm</t>
  </si>
  <si>
    <t>lusec</t>
  </si>
  <si>
    <t>lux</t>
  </si>
  <si>
    <t>lx</t>
  </si>
  <si>
    <t>magnum</t>
  </si>
  <si>
    <t>Mx</t>
  </si>
  <si>
    <t>maxwell</t>
  </si>
  <si>
    <t>mayer</t>
  </si>
  <si>
    <t>mesh</t>
  </si>
  <si>
    <t>met</t>
  </si>
  <si>
    <t>metric</t>
  </si>
  <si>
    <t>mho</t>
  </si>
  <si>
    <t>mug</t>
  </si>
  <si>
    <t>mic</t>
  </si>
  <si>
    <t>microinch</t>
  </si>
  <si>
    <t>micron</t>
  </si>
  <si>
    <t>mignonne</t>
  </si>
  <si>
    <t>mil</t>
  </si>
  <si>
    <t>mpy</t>
  </si>
  <si>
    <t>millenium</t>
  </si>
  <si>
    <t>millidarcy</t>
  </si>
  <si>
    <t>mbar</t>
  </si>
  <si>
    <t>MIM</t>
  </si>
  <si>
    <t>minute</t>
  </si>
  <si>
    <t>mole</t>
  </si>
  <si>
    <t>mol</t>
  </si>
  <si>
    <t>momme</t>
  </si>
  <si>
    <t>mon</t>
  </si>
  <si>
    <t>molarity, molar concentration</t>
  </si>
  <si>
    <t>morgan</t>
  </si>
  <si>
    <t>myriagram</t>
  </si>
  <si>
    <t>newton</t>
  </si>
  <si>
    <t>nit</t>
  </si>
  <si>
    <t>MKSA</t>
  </si>
  <si>
    <r>
      <t>g</t>
    </r>
    <r>
      <rPr>
        <vertAlign val="subscript"/>
        <sz val="11"/>
        <color theme="1"/>
        <rFont val="Calibri"/>
        <family val="2"/>
        <scheme val="minor"/>
      </rPr>
      <t>n</t>
    </r>
  </si>
  <si>
    <t>nox</t>
  </si>
  <si>
    <t>oersted</t>
  </si>
  <si>
    <t>CE, ce</t>
  </si>
  <si>
    <t>ohm</t>
  </si>
  <si>
    <t>W</t>
  </si>
  <si>
    <t>plm</t>
  </si>
  <si>
    <t>par</t>
  </si>
  <si>
    <t>parsec</t>
  </si>
  <si>
    <t>pc</t>
  </si>
  <si>
    <t>pascal</t>
  </si>
  <si>
    <t>Pa</t>
  </si>
  <si>
    <t>rd</t>
  </si>
  <si>
    <t>percent</t>
  </si>
  <si>
    <t>perm</t>
  </si>
  <si>
    <t>permeability</t>
  </si>
  <si>
    <t>permicron</t>
  </si>
  <si>
    <t>pH</t>
  </si>
  <si>
    <t>philosophla</t>
  </si>
  <si>
    <t>phot</t>
  </si>
  <si>
    <t>ph</t>
  </si>
  <si>
    <t>pied</t>
  </si>
  <si>
    <t>pmp</t>
  </si>
  <si>
    <t>pixel</t>
  </si>
  <si>
    <t>planck</t>
  </si>
  <si>
    <t>poise</t>
  </si>
  <si>
    <t>P, Po</t>
  </si>
  <si>
    <t>poiseuille</t>
  </si>
  <si>
    <t>poncelet</t>
  </si>
  <si>
    <t>p</t>
  </si>
  <si>
    <t>poumar</t>
  </si>
  <si>
    <t>R</t>
  </si>
  <si>
    <t>Swiss</t>
  </si>
  <si>
    <t>lbmol</t>
  </si>
  <si>
    <t>pdl</t>
  </si>
  <si>
    <t>poundal</t>
  </si>
  <si>
    <t>praoersted</t>
  </si>
  <si>
    <t>preece</t>
  </si>
  <si>
    <t>prony</t>
  </si>
  <si>
    <t>prout</t>
  </si>
  <si>
    <t>puff</t>
  </si>
  <si>
    <t>pyron</t>
  </si>
  <si>
    <t>quad</t>
  </si>
  <si>
    <t>quadrant</t>
  </si>
  <si>
    <t>q</t>
  </si>
  <si>
    <t>R-value</t>
  </si>
  <si>
    <t>radian</t>
  </si>
  <si>
    <t>rayl</t>
  </si>
  <si>
    <t>rayleigh</t>
  </si>
  <si>
    <t>ream</t>
  </si>
  <si>
    <t>roc</t>
  </si>
  <si>
    <t>rom</t>
  </si>
  <si>
    <t>rem</t>
  </si>
  <si>
    <t>revolution</t>
  </si>
  <si>
    <t>rep</t>
  </si>
  <si>
    <t>rev</t>
  </si>
  <si>
    <t>REN</t>
  </si>
  <si>
    <t>round</t>
  </si>
  <si>
    <t>rowland</t>
  </si>
  <si>
    <t>rutherford</t>
  </si>
  <si>
    <t>rydberg</t>
  </si>
  <si>
    <t>Ry</t>
  </si>
  <si>
    <t>second</t>
  </si>
  <si>
    <t>Greek</t>
  </si>
  <si>
    <t>shake</t>
  </si>
  <si>
    <t>shaku</t>
  </si>
  <si>
    <t>shed</t>
  </si>
  <si>
    <t>sho</t>
  </si>
  <si>
    <t>shu</t>
  </si>
  <si>
    <t>siemens</t>
  </si>
  <si>
    <t>S</t>
  </si>
  <si>
    <t>sievert</t>
  </si>
  <si>
    <t>sigma</t>
  </si>
  <si>
    <t>sign</t>
  </si>
  <si>
    <t>Sv</t>
  </si>
  <si>
    <t>siriusweit</t>
  </si>
  <si>
    <t>skein</t>
  </si>
  <si>
    <t>skot</t>
  </si>
  <si>
    <t>sp</t>
  </si>
  <si>
    <t>spat</t>
  </si>
  <si>
    <r>
      <t>a</t>
    </r>
    <r>
      <rPr>
        <vertAlign val="subscript"/>
        <sz val="11"/>
        <color theme="1"/>
        <rFont val="Calibri"/>
        <family val="2"/>
        <scheme val="minor"/>
      </rPr>
      <t>o</t>
    </r>
    <r>
      <rPr>
        <vertAlign val="superscript"/>
        <sz val="11"/>
        <color theme="1"/>
        <rFont val="Calibri"/>
        <family val="2"/>
        <scheme val="minor"/>
      </rPr>
      <t>2</t>
    </r>
  </si>
  <si>
    <t>sr</t>
  </si>
  <si>
    <r>
      <t>F</t>
    </r>
    <r>
      <rPr>
        <vertAlign val="superscript"/>
        <sz val="11"/>
        <color theme="1"/>
        <rFont val="Calibri"/>
        <family val="2"/>
        <scheme val="minor"/>
      </rPr>
      <t>2</t>
    </r>
  </si>
  <si>
    <t>atm</t>
  </si>
  <si>
    <t>stat</t>
  </si>
  <si>
    <t>steradian</t>
  </si>
  <si>
    <t>stere</t>
  </si>
  <si>
    <t>st</t>
  </si>
  <si>
    <t>stilb</t>
  </si>
  <si>
    <t>sb</t>
  </si>
  <si>
    <t>sverdup</t>
  </si>
  <si>
    <t>t</t>
  </si>
  <si>
    <t>tce</t>
  </si>
  <si>
    <t>techma</t>
  </si>
  <si>
    <t>tesla</t>
  </si>
  <si>
    <t>tex</t>
  </si>
  <si>
    <t>toe</t>
  </si>
  <si>
    <t>tog</t>
  </si>
  <si>
    <t>townsend</t>
  </si>
  <si>
    <t>Td</t>
  </si>
  <si>
    <t>TPI</t>
  </si>
  <si>
    <t>turn</t>
  </si>
  <si>
    <t>typp</t>
  </si>
  <si>
    <t>TEU, TEQ</t>
  </si>
  <si>
    <t>U-factor</t>
  </si>
  <si>
    <t>USI</t>
  </si>
  <si>
    <t>violle</t>
  </si>
  <si>
    <t>vistati</t>
  </si>
  <si>
    <t>volt</t>
  </si>
  <si>
    <t>V</t>
  </si>
  <si>
    <t>weber</t>
  </si>
  <si>
    <t>week</t>
  </si>
  <si>
    <t>w</t>
  </si>
  <si>
    <t>Wb</t>
  </si>
  <si>
    <t>watt</t>
  </si>
  <si>
    <t>VA</t>
  </si>
  <si>
    <t>var</t>
  </si>
  <si>
    <t>wheatstone</t>
  </si>
  <si>
    <t>whizz</t>
  </si>
  <si>
    <t>wink</t>
  </si>
  <si>
    <t>worsted</t>
  </si>
  <si>
    <t>yard</t>
  </si>
  <si>
    <t>yodjana</t>
  </si>
  <si>
    <t>yn</t>
  </si>
  <si>
    <t>zhu</t>
  </si>
  <si>
    <t>Danish</t>
  </si>
  <si>
    <t>Argentinian</t>
  </si>
  <si>
    <t>Chilean</t>
  </si>
  <si>
    <t>Mexican</t>
  </si>
  <si>
    <t>Guinean</t>
  </si>
  <si>
    <t>Yugoslavian</t>
  </si>
  <si>
    <t>Ethiopian</t>
  </si>
  <si>
    <t>Icelandic</t>
  </si>
  <si>
    <t>Cypriot</t>
  </si>
  <si>
    <t>Balearic</t>
  </si>
  <si>
    <t>Paraguayan</t>
  </si>
  <si>
    <t>Brazilian</t>
  </si>
  <si>
    <t>Turkmenian</t>
  </si>
  <si>
    <t>Latvian</t>
  </si>
  <si>
    <t>Thai</t>
  </si>
  <si>
    <t>Philippine</t>
  </si>
  <si>
    <t>Abyssinian</t>
  </si>
  <si>
    <t>Belgian</t>
  </si>
  <si>
    <t>Peruvian</t>
  </si>
  <si>
    <t>Colombian</t>
  </si>
  <si>
    <t>Estonian</t>
  </si>
  <si>
    <t>Moroccan</t>
  </si>
  <si>
    <t>Indonesian</t>
  </si>
  <si>
    <t>Mozambican</t>
  </si>
  <si>
    <t>bl</t>
  </si>
  <si>
    <t>Burmese</t>
  </si>
  <si>
    <t>BCM</t>
  </si>
  <si>
    <t>Haitian</t>
  </si>
  <si>
    <t>Maltese</t>
  </si>
  <si>
    <t>Libyan</t>
  </si>
  <si>
    <t>bbl</t>
  </si>
  <si>
    <t>Irish</t>
  </si>
  <si>
    <t>Scottish</t>
  </si>
  <si>
    <t>BOPCD, bopcd</t>
  </si>
  <si>
    <t>Turkish</t>
  </si>
  <si>
    <t>bell</t>
  </si>
  <si>
    <t>biennium</t>
  </si>
  <si>
    <t>bcm, bcmsi</t>
  </si>
  <si>
    <t>Annamese</t>
  </si>
  <si>
    <t>Cuban</t>
  </si>
  <si>
    <t>Guatemalan</t>
  </si>
  <si>
    <t>Honduran</t>
  </si>
  <si>
    <t>Nicaraguan</t>
  </si>
  <si>
    <t>Salvadoran</t>
  </si>
  <si>
    <t>bourgeois</t>
  </si>
  <si>
    <t>brevier</t>
  </si>
  <si>
    <t>brill</t>
  </si>
  <si>
    <t>brilliant</t>
  </si>
  <si>
    <t>B, BU</t>
  </si>
  <si>
    <t>Mass</t>
  </si>
  <si>
    <t>bdl</t>
  </si>
  <si>
    <t>Costa-Rican</t>
  </si>
  <si>
    <t>Eritrean</t>
  </si>
  <si>
    <t>Somalian</t>
  </si>
  <si>
    <t>Algerian</t>
  </si>
  <si>
    <t>Polish</t>
  </si>
  <si>
    <t>Ceylon</t>
  </si>
  <si>
    <t>canon</t>
  </si>
  <si>
    <t>Romanian</t>
  </si>
  <si>
    <t>Syrian</t>
  </si>
  <si>
    <t>Tunisian</t>
  </si>
  <si>
    <t>Venezuelan</t>
  </si>
  <si>
    <t>Mauritius</t>
  </si>
  <si>
    <t>Chu, chu, CHU</t>
  </si>
  <si>
    <t>chd</t>
  </si>
  <si>
    <t>character</t>
  </si>
  <si>
    <t>Cambodian</t>
  </si>
  <si>
    <r>
      <rPr>
        <vertAlign val="superscript"/>
        <sz val="11"/>
        <color theme="1"/>
        <rFont val="Calibri"/>
        <family val="2"/>
        <scheme val="minor"/>
      </rPr>
      <t>o</t>
    </r>
    <r>
      <rPr>
        <sz val="11"/>
        <color theme="1"/>
        <rFont val="Calibri"/>
        <family val="2"/>
        <scheme val="minor"/>
      </rPr>
      <t>Chl</t>
    </r>
  </si>
  <si>
    <r>
      <rPr>
        <vertAlign val="superscript"/>
        <sz val="11"/>
        <color theme="1"/>
        <rFont val="Calibri"/>
        <family val="2"/>
        <scheme val="minor"/>
      </rPr>
      <t>o</t>
    </r>
    <r>
      <rPr>
        <sz val="11"/>
        <color theme="1"/>
        <rFont val="Calibri"/>
        <family val="2"/>
        <scheme val="minor"/>
      </rPr>
      <t xml:space="preserve">THB, </t>
    </r>
    <r>
      <rPr>
        <vertAlign val="superscript"/>
        <sz val="11"/>
        <color theme="1"/>
        <rFont val="Calibri"/>
        <family val="2"/>
        <scheme val="minor"/>
      </rPr>
      <t>o</t>
    </r>
    <r>
      <rPr>
        <sz val="11"/>
        <color theme="1"/>
        <rFont val="Calibri"/>
        <family val="2"/>
        <scheme val="minor"/>
      </rPr>
      <t xml:space="preserve">e, </t>
    </r>
    <r>
      <rPr>
        <vertAlign val="superscript"/>
        <sz val="11"/>
        <color theme="1"/>
        <rFont val="Calibri"/>
        <family val="2"/>
        <scheme val="minor"/>
      </rPr>
      <t>o</t>
    </r>
    <r>
      <rPr>
        <sz val="11"/>
        <color theme="1"/>
        <rFont val="Calibri"/>
        <family val="2"/>
        <scheme val="minor"/>
      </rPr>
      <t>Clarke</t>
    </r>
  </si>
  <si>
    <t>count</t>
  </si>
  <si>
    <t>daniell</t>
  </si>
  <si>
    <t>dash</t>
  </si>
  <si>
    <t>dekan</t>
  </si>
  <si>
    <t>dsp</t>
  </si>
  <si>
    <t>dspf</t>
  </si>
  <si>
    <t>dimigrade</t>
  </si>
  <si>
    <t>dmgr</t>
  </si>
  <si>
    <t>douzieme</t>
  </si>
  <si>
    <t>dozen</t>
  </si>
  <si>
    <t>doz, dz</t>
  </si>
  <si>
    <t>dp</t>
  </si>
  <si>
    <t>electronvolt</t>
  </si>
  <si>
    <t>emerald</t>
  </si>
  <si>
    <t>EF</t>
  </si>
  <si>
    <t>english</t>
  </si>
  <si>
    <t>excelsior</t>
  </si>
  <si>
    <t>fgt</t>
  </si>
  <si>
    <t>Ceylonese</t>
  </si>
  <si>
    <t>fatt</t>
  </si>
  <si>
    <t>fit</t>
  </si>
  <si>
    <t>flag</t>
  </si>
  <si>
    <t>Norwegian</t>
  </si>
  <si>
    <t>ft</t>
  </si>
  <si>
    <t>french</t>
  </si>
  <si>
    <t>gpf, GPF</t>
  </si>
  <si>
    <t>galvat</t>
  </si>
  <si>
    <t>gammil</t>
  </si>
  <si>
    <t>ga</t>
  </si>
  <si>
    <t>gee</t>
  </si>
  <si>
    <t>glass</t>
  </si>
  <si>
    <t>gross</t>
  </si>
  <si>
    <t>dimensionless  unit  of quantity</t>
  </si>
  <si>
    <t>hebdo</t>
  </si>
  <si>
    <t>MKS</t>
  </si>
  <si>
    <t>horsepower</t>
  </si>
  <si>
    <t>HP, hp</t>
  </si>
  <si>
    <t>house</t>
  </si>
  <si>
    <t>jerk</t>
  </si>
  <si>
    <t>jiffy</t>
  </si>
  <si>
    <t>Czech</t>
  </si>
  <si>
    <t>pt</t>
  </si>
  <si>
    <t>Finnish</t>
  </si>
  <si>
    <t>Bulgarian</t>
  </si>
  <si>
    <t>Far East</t>
  </si>
  <si>
    <t>Welsh</t>
  </si>
  <si>
    <t>lustrum</t>
  </si>
  <si>
    <t>Luxemburg</t>
  </si>
  <si>
    <t>meridian</t>
  </si>
  <si>
    <t>mickey</t>
  </si>
  <si>
    <t>milliard</t>
  </si>
  <si>
    <r>
      <t>m</t>
    </r>
    <r>
      <rPr>
        <vertAlign val="subscript"/>
        <sz val="11"/>
        <color theme="1"/>
        <rFont val="Calibri"/>
        <family val="2"/>
        <scheme val="minor"/>
      </rPr>
      <t>a</t>
    </r>
  </si>
  <si>
    <r>
      <t>m</t>
    </r>
    <r>
      <rPr>
        <vertAlign val="subscript"/>
        <sz val="11"/>
        <color theme="1"/>
        <rFont val="Calibri"/>
        <family val="2"/>
        <scheme val="minor"/>
      </rPr>
      <t>r</t>
    </r>
  </si>
  <si>
    <r>
      <t>m</t>
    </r>
    <r>
      <rPr>
        <vertAlign val="subscript"/>
        <sz val="11"/>
        <color theme="1"/>
        <rFont val="Calibri"/>
        <family val="2"/>
        <scheme val="minor"/>
      </rPr>
      <t>v</t>
    </r>
  </si>
  <si>
    <t>milline</t>
  </si>
  <si>
    <t>minion</t>
  </si>
  <si>
    <t>mips</t>
  </si>
  <si>
    <t>MIPS</t>
  </si>
  <si>
    <t>Computer</t>
  </si>
  <si>
    <t>molar</t>
  </si>
  <si>
    <t>mounce</t>
  </si>
  <si>
    <t>ni</t>
  </si>
  <si>
    <t>nonpareil</t>
  </si>
  <si>
    <t>octant</t>
  </si>
  <si>
    <t>olympiad</t>
  </si>
  <si>
    <t>owu</t>
  </si>
  <si>
    <t>oz</t>
  </si>
  <si>
    <t>ouncedal</t>
  </si>
  <si>
    <t>odl</t>
  </si>
  <si>
    <t>pk</t>
  </si>
  <si>
    <t>paragon</t>
  </si>
  <si>
    <t>pfu</t>
  </si>
  <si>
    <t>pearl</t>
  </si>
  <si>
    <t>piece</t>
  </si>
  <si>
    <t>pik</t>
  </si>
  <si>
    <t>pot</t>
  </si>
  <si>
    <t>lb</t>
  </si>
  <si>
    <t>quadrennium</t>
  </si>
  <si>
    <t>qt</t>
  </si>
  <si>
    <t>quintant</t>
  </si>
  <si>
    <t>radiation</t>
  </si>
  <si>
    <t>z</t>
  </si>
  <si>
    <t>rune</t>
  </si>
  <si>
    <t>r</t>
  </si>
  <si>
    <t>salomon</t>
  </si>
  <si>
    <t>ssp</t>
  </si>
  <si>
    <t>saros</t>
  </si>
  <si>
    <t>semester</t>
  </si>
  <si>
    <t>sem</t>
  </si>
  <si>
    <t>sennight</t>
  </si>
  <si>
    <t>sextant</t>
  </si>
  <si>
    <t>shaftment</t>
  </si>
  <si>
    <t>slinch</t>
  </si>
  <si>
    <t>snu</t>
  </si>
  <si>
    <t>solomon</t>
  </si>
  <si>
    <t>sphere</t>
  </si>
  <si>
    <t>sd</t>
  </si>
  <si>
    <t>sq</t>
  </si>
  <si>
    <t>stk</t>
  </si>
  <si>
    <t>std</t>
  </si>
  <si>
    <t>stedian</t>
  </si>
  <si>
    <t>stop</t>
  </si>
  <si>
    <t>strob</t>
  </si>
  <si>
    <t>sturgeon</t>
  </si>
  <si>
    <t>Asian</t>
  </si>
  <si>
    <t>tcf</t>
  </si>
  <si>
    <t>tspf</t>
  </si>
  <si>
    <t>timber</t>
  </si>
  <si>
    <t>tondal</t>
  </si>
  <si>
    <t>tdl</t>
  </si>
  <si>
    <t>triennium</t>
  </si>
  <si>
    <t>tumblerful</t>
  </si>
  <si>
    <t>vac</t>
  </si>
  <si>
    <t>voxel</t>
  </si>
  <si>
    <t>watch</t>
  </si>
  <si>
    <t>wc</t>
  </si>
  <si>
    <t>word</t>
  </si>
  <si>
    <t>yoke</t>
  </si>
  <si>
    <t>yrneh</t>
  </si>
  <si>
    <t>E</t>
  </si>
  <si>
    <t>Name</t>
  </si>
  <si>
    <t>Length</t>
  </si>
  <si>
    <t>Time</t>
  </si>
  <si>
    <t>Temperature</t>
  </si>
  <si>
    <t>Amount of Substance</t>
  </si>
  <si>
    <t>Electric Current Intensity</t>
  </si>
  <si>
    <t>Luminous Intensity</t>
  </si>
  <si>
    <t>Plane Angle</t>
  </si>
  <si>
    <t>Solid Angle</t>
  </si>
  <si>
    <t>Absorbed does of radiation, kerma, specific energy imparted</t>
  </si>
  <si>
    <t>kt</t>
  </si>
  <si>
    <t>Po</t>
  </si>
  <si>
    <t>absolute viscosity</t>
  </si>
  <si>
    <t>does equivalent, does equivalent index</t>
  </si>
  <si>
    <t>induction field, magenetic flux density</t>
  </si>
  <si>
    <t>electric potential, electromotive force, potential difference</t>
  </si>
  <si>
    <t>power, radiant flux</t>
  </si>
  <si>
    <t>induction magnetic flux</t>
  </si>
  <si>
    <t>prefix</t>
  </si>
  <si>
    <t>Factor</t>
  </si>
  <si>
    <t>yotta</t>
  </si>
  <si>
    <t>zetta</t>
  </si>
  <si>
    <t>exa</t>
  </si>
  <si>
    <t>peta</t>
  </si>
  <si>
    <t>tera</t>
  </si>
  <si>
    <t>giga</t>
  </si>
  <si>
    <t>mega</t>
  </si>
  <si>
    <t>kilo</t>
  </si>
  <si>
    <t>hecto</t>
  </si>
  <si>
    <t>deca</t>
  </si>
  <si>
    <t>Y</t>
  </si>
  <si>
    <t>Z</t>
  </si>
  <si>
    <t>P</t>
  </si>
  <si>
    <t>G</t>
  </si>
  <si>
    <t>k</t>
  </si>
  <si>
    <t>da</t>
  </si>
  <si>
    <t>deci</t>
  </si>
  <si>
    <t>centi</t>
  </si>
  <si>
    <t>milli</t>
  </si>
  <si>
    <t>micro</t>
  </si>
  <si>
    <t>nano</t>
  </si>
  <si>
    <t>pico</t>
  </si>
  <si>
    <t>femto</t>
  </si>
  <si>
    <t>atto</t>
  </si>
  <si>
    <t>zepto</t>
  </si>
  <si>
    <t>yocto</t>
  </si>
  <si>
    <t>y</t>
  </si>
  <si>
    <t>n</t>
  </si>
  <si>
    <r>
      <t>10</t>
    </r>
    <r>
      <rPr>
        <vertAlign val="superscript"/>
        <sz val="11"/>
        <color theme="1"/>
        <rFont val="Calibri"/>
        <family val="2"/>
        <scheme val="minor"/>
      </rPr>
      <t>24</t>
    </r>
  </si>
  <si>
    <r>
      <t>10</t>
    </r>
    <r>
      <rPr>
        <vertAlign val="superscript"/>
        <sz val="11"/>
        <color theme="1"/>
        <rFont val="Calibri"/>
        <family val="2"/>
        <scheme val="minor"/>
      </rPr>
      <t>21</t>
    </r>
  </si>
  <si>
    <r>
      <t>10</t>
    </r>
    <r>
      <rPr>
        <vertAlign val="superscript"/>
        <sz val="11"/>
        <color theme="1"/>
        <rFont val="Calibri"/>
        <family val="2"/>
        <scheme val="minor"/>
      </rPr>
      <t>18</t>
    </r>
  </si>
  <si>
    <r>
      <t>10</t>
    </r>
    <r>
      <rPr>
        <vertAlign val="superscript"/>
        <sz val="11"/>
        <color theme="1"/>
        <rFont val="Calibri"/>
        <family val="2"/>
        <scheme val="minor"/>
      </rPr>
      <t>15</t>
    </r>
  </si>
  <si>
    <r>
      <t>10</t>
    </r>
    <r>
      <rPr>
        <vertAlign val="superscript"/>
        <sz val="11"/>
        <color theme="1"/>
        <rFont val="Calibri"/>
        <family val="2"/>
        <scheme val="minor"/>
      </rPr>
      <t>12</t>
    </r>
  </si>
  <si>
    <r>
      <t>10</t>
    </r>
    <r>
      <rPr>
        <vertAlign val="superscript"/>
        <sz val="11"/>
        <color theme="1"/>
        <rFont val="Calibri"/>
        <family val="2"/>
        <scheme val="minor"/>
      </rPr>
      <t>9</t>
    </r>
  </si>
  <si>
    <r>
      <t>10</t>
    </r>
    <r>
      <rPr>
        <vertAlign val="superscript"/>
        <sz val="11"/>
        <color theme="1"/>
        <rFont val="Calibri"/>
        <family val="2"/>
        <scheme val="minor"/>
      </rPr>
      <t>6</t>
    </r>
  </si>
  <si>
    <r>
      <t>10</t>
    </r>
    <r>
      <rPr>
        <vertAlign val="superscript"/>
        <sz val="11"/>
        <color theme="1"/>
        <rFont val="Calibri"/>
        <family val="2"/>
        <scheme val="minor"/>
      </rPr>
      <t>3</t>
    </r>
  </si>
  <si>
    <r>
      <t>10</t>
    </r>
    <r>
      <rPr>
        <vertAlign val="superscript"/>
        <sz val="11"/>
        <color theme="1"/>
        <rFont val="Calibri"/>
        <family val="2"/>
        <scheme val="minor"/>
      </rPr>
      <t>2</t>
    </r>
  </si>
  <si>
    <t>10</t>
  </si>
  <si>
    <r>
      <t>10</t>
    </r>
    <r>
      <rPr>
        <vertAlign val="superscript"/>
        <sz val="11"/>
        <color theme="1"/>
        <rFont val="Calibri"/>
        <family val="2"/>
        <scheme val="minor"/>
      </rPr>
      <t>-2</t>
    </r>
  </si>
  <si>
    <r>
      <t>10</t>
    </r>
    <r>
      <rPr>
        <vertAlign val="superscript"/>
        <sz val="11"/>
        <color theme="1"/>
        <rFont val="Calibri"/>
        <family val="2"/>
        <scheme val="minor"/>
      </rPr>
      <t>-3</t>
    </r>
  </si>
  <si>
    <r>
      <t>10</t>
    </r>
    <r>
      <rPr>
        <vertAlign val="superscript"/>
        <sz val="11"/>
        <color theme="1"/>
        <rFont val="Calibri"/>
        <family val="2"/>
        <scheme val="minor"/>
      </rPr>
      <t>-6</t>
    </r>
  </si>
  <si>
    <r>
      <t>10</t>
    </r>
    <r>
      <rPr>
        <vertAlign val="superscript"/>
        <sz val="11"/>
        <color theme="1"/>
        <rFont val="Calibri"/>
        <family val="2"/>
        <scheme val="minor"/>
      </rPr>
      <t>-1</t>
    </r>
  </si>
  <si>
    <r>
      <t>10</t>
    </r>
    <r>
      <rPr>
        <vertAlign val="superscript"/>
        <sz val="11"/>
        <color theme="1"/>
        <rFont val="Calibri"/>
        <family val="2"/>
        <scheme val="minor"/>
      </rPr>
      <t>-9</t>
    </r>
  </si>
  <si>
    <r>
      <t>10</t>
    </r>
    <r>
      <rPr>
        <vertAlign val="superscript"/>
        <sz val="11"/>
        <color theme="1"/>
        <rFont val="Calibri"/>
        <family val="2"/>
        <scheme val="minor"/>
      </rPr>
      <t>-12</t>
    </r>
  </si>
  <si>
    <r>
      <t>10</t>
    </r>
    <r>
      <rPr>
        <vertAlign val="superscript"/>
        <sz val="11"/>
        <color theme="1"/>
        <rFont val="Calibri"/>
        <family val="2"/>
        <scheme val="minor"/>
      </rPr>
      <t>-15</t>
    </r>
  </si>
  <si>
    <r>
      <t>10</t>
    </r>
    <r>
      <rPr>
        <vertAlign val="superscript"/>
        <sz val="11"/>
        <color theme="1"/>
        <rFont val="Calibri"/>
        <family val="2"/>
        <scheme val="minor"/>
      </rPr>
      <t>-18</t>
    </r>
  </si>
  <si>
    <r>
      <t>10</t>
    </r>
    <r>
      <rPr>
        <vertAlign val="superscript"/>
        <sz val="11"/>
        <color theme="1"/>
        <rFont val="Calibri"/>
        <family val="2"/>
        <scheme val="minor"/>
      </rPr>
      <t>-21</t>
    </r>
  </si>
  <si>
    <r>
      <t>10</t>
    </r>
    <r>
      <rPr>
        <vertAlign val="superscript"/>
        <sz val="11"/>
        <color theme="1"/>
        <rFont val="Calibri"/>
        <family val="2"/>
        <scheme val="minor"/>
      </rPr>
      <t>-24</t>
    </r>
  </si>
  <si>
    <t>Value</t>
  </si>
  <si>
    <t>nibble</t>
  </si>
  <si>
    <t>byte</t>
  </si>
  <si>
    <t>kb</t>
  </si>
  <si>
    <t>Mb</t>
  </si>
  <si>
    <t>Tb</t>
  </si>
  <si>
    <t>Pb</t>
  </si>
  <si>
    <t>Eb</t>
  </si>
  <si>
    <t>Zb</t>
  </si>
  <si>
    <t>Yb</t>
  </si>
  <si>
    <t>Astronomical Units</t>
  </si>
  <si>
    <t>UK and US Apothecaries</t>
  </si>
  <si>
    <t>Canadian Units</t>
  </si>
  <si>
    <t>Foot-Pound-Second Units</t>
  </si>
  <si>
    <t>International use</t>
  </si>
  <si>
    <t>MKpS or MKfS Units</t>
  </si>
  <si>
    <t>SI Units</t>
  </si>
  <si>
    <t>IEUS Units</t>
  </si>
  <si>
    <t>UK and US Troy</t>
  </si>
  <si>
    <t>WMA</t>
  </si>
  <si>
    <t>Weights and Measures Act</t>
  </si>
  <si>
    <t>Old Abyssinian Units</t>
  </si>
  <si>
    <t>Old Algerian Units</t>
  </si>
  <si>
    <t>Old Annamese Units</t>
  </si>
  <si>
    <t>Old Arabic Units</t>
  </si>
  <si>
    <t>Old Argentinan Units</t>
  </si>
  <si>
    <t>Old Greek Units</t>
  </si>
  <si>
    <t>Old Austrian Units</t>
  </si>
  <si>
    <t>Belearic</t>
  </si>
  <si>
    <t>Old Belgian Units</t>
  </si>
  <si>
    <t>Old Belearic Units</t>
  </si>
  <si>
    <t>Old Brazilian Units</t>
  </si>
  <si>
    <t>Old Burmese Units</t>
  </si>
  <si>
    <t>Old Cambodian Units</t>
  </si>
  <si>
    <t>Old Ceylonese Units</t>
  </si>
  <si>
    <t>Old Chinese Units</t>
  </si>
  <si>
    <t>Old Chilean Units</t>
  </si>
  <si>
    <t>Old Costa Rican Units</t>
  </si>
  <si>
    <t>Old Cuban Units</t>
  </si>
  <si>
    <t>Old Cypriot Units</t>
  </si>
  <si>
    <t>Old Czechoslovakian Units</t>
  </si>
  <si>
    <t>Old Danish Units</t>
  </si>
  <si>
    <t>Old Dutch Units</t>
  </si>
  <si>
    <t>Old Egyptian Units</t>
  </si>
  <si>
    <t>Old Eritrean Units</t>
  </si>
  <si>
    <t>Old Ethiopian Units</t>
  </si>
  <si>
    <t>Old Finnish Units</t>
  </si>
  <si>
    <t>Old French Units</t>
  </si>
  <si>
    <t>Old German Units</t>
  </si>
  <si>
    <t>Old Guatemalan Units</t>
  </si>
  <si>
    <t>Old Guinean Units</t>
  </si>
  <si>
    <t>Old Haitian Units</t>
  </si>
  <si>
    <t>Old Honduran Units</t>
  </si>
  <si>
    <t>Old Hungarian Units</t>
  </si>
  <si>
    <t>Old Icelandic Units</t>
  </si>
  <si>
    <t>Old Indian Units</t>
  </si>
  <si>
    <t>Old Indonesian Units</t>
  </si>
  <si>
    <t>Old Irish Units</t>
  </si>
  <si>
    <t>Old Italian Units</t>
  </si>
  <si>
    <t>Old Japanese Units</t>
  </si>
  <si>
    <t>Old Latvian Units</t>
  </si>
  <si>
    <t>Old Libyan Units</t>
  </si>
  <si>
    <t>Old Maltese Units</t>
  </si>
  <si>
    <t>Old Mexican Units</t>
  </si>
  <si>
    <t>Old Mozambican Units</t>
  </si>
  <si>
    <t>Old Moroccan Units</t>
  </si>
  <si>
    <t>Old Nicaraguan Units</t>
  </si>
  <si>
    <t>Old Norwegian Units</t>
  </si>
  <si>
    <t>Old Paraguayan Units</t>
  </si>
  <si>
    <t>Old Persian Units</t>
  </si>
  <si>
    <t>Old Peruvian Units</t>
  </si>
  <si>
    <t>Old Philippine Units</t>
  </si>
  <si>
    <t>Old Polish Units</t>
  </si>
  <si>
    <t>Old Portuguese Units</t>
  </si>
  <si>
    <t>Old Puerto Rican Units</t>
  </si>
  <si>
    <t>Old Roman Units</t>
  </si>
  <si>
    <t>Old Romanian Units</t>
  </si>
  <si>
    <t>Old Russian Units</t>
  </si>
  <si>
    <t>Old Salvadoran Units</t>
  </si>
  <si>
    <t>Old Saudi Arabian Units</t>
  </si>
  <si>
    <t>Old Scottish Units</t>
  </si>
  <si>
    <t>Old Somalian Units</t>
  </si>
  <si>
    <t>Old Spanish Units</t>
  </si>
  <si>
    <t>Old Swedish Units</t>
  </si>
  <si>
    <t>Old Swiss Units</t>
  </si>
  <si>
    <t>Old Syrian Units</t>
  </si>
  <si>
    <t>Old Thai Units</t>
  </si>
  <si>
    <t>Old Tunisian Units</t>
  </si>
  <si>
    <t>Old Turkish Units</t>
  </si>
  <si>
    <t>Old Turkmenian Units</t>
  </si>
  <si>
    <t>Old Venezuelan Units</t>
  </si>
  <si>
    <t>Old Yugoslavian Units</t>
  </si>
  <si>
    <t>Abrevation</t>
  </si>
  <si>
    <t>Weight</t>
  </si>
  <si>
    <t>Capacity (Liquid)</t>
  </si>
  <si>
    <t>Capacity (Dry)</t>
  </si>
  <si>
    <t>Area</t>
  </si>
  <si>
    <t>tchi</t>
  </si>
  <si>
    <t>meou</t>
  </si>
  <si>
    <t>jin</t>
  </si>
  <si>
    <t>cheng</t>
  </si>
  <si>
    <t>pala</t>
  </si>
  <si>
    <t>hasta</t>
  </si>
  <si>
    <t>drona</t>
  </si>
  <si>
    <t>pekeis</t>
  </si>
  <si>
    <t>deben</t>
  </si>
  <si>
    <t>khar</t>
  </si>
  <si>
    <t>Units</t>
  </si>
  <si>
    <t>zereth</t>
  </si>
  <si>
    <t>gar</t>
  </si>
  <si>
    <t>talent</t>
  </si>
  <si>
    <t>amphora</t>
  </si>
  <si>
    <t xml:space="preserve">Old Hebrew Units </t>
  </si>
  <si>
    <t>pous</t>
  </si>
  <si>
    <t>cotyle</t>
  </si>
  <si>
    <t>modius</t>
  </si>
  <si>
    <t>sextarius</t>
  </si>
  <si>
    <t>feddan</t>
  </si>
  <si>
    <t>rotl</t>
  </si>
  <si>
    <t>cafiz</t>
  </si>
  <si>
    <t>toise</t>
  </si>
  <si>
    <t>setier</t>
  </si>
  <si>
    <t>pinte</t>
  </si>
  <si>
    <t>livre</t>
  </si>
  <si>
    <t>perche</t>
  </si>
  <si>
    <t>fuss</t>
  </si>
  <si>
    <t>gallon</t>
  </si>
  <si>
    <t>pound</t>
  </si>
  <si>
    <t>libbra</t>
  </si>
  <si>
    <t>vara</t>
  </si>
  <si>
    <t>libra</t>
  </si>
  <si>
    <t>fanega</t>
  </si>
  <si>
    <t>pe</t>
  </si>
  <si>
    <t>almude</t>
  </si>
  <si>
    <t>fanga</t>
  </si>
  <si>
    <t>canna</t>
  </si>
  <si>
    <t>rottolo</t>
  </si>
  <si>
    <t>salma</t>
  </si>
  <si>
    <t>baril</t>
  </si>
  <si>
    <t>caffiso</t>
  </si>
  <si>
    <t>quartin</t>
  </si>
  <si>
    <t>quartera</t>
  </si>
  <si>
    <t>oka</t>
  </si>
  <si>
    <t>pic</t>
  </si>
  <si>
    <t>scala</t>
  </si>
  <si>
    <t>oke</t>
  </si>
  <si>
    <t>ell</t>
  </si>
  <si>
    <t>joch</t>
  </si>
  <si>
    <t>pfund</t>
  </si>
  <si>
    <t>metzel</t>
  </si>
  <si>
    <t>quart</t>
  </si>
  <si>
    <t>metzen</t>
  </si>
  <si>
    <t>stopa</t>
  </si>
  <si>
    <t>merice</t>
  </si>
  <si>
    <t>faust</t>
  </si>
  <si>
    <t>eimer</t>
  </si>
  <si>
    <t>halibiu</t>
  </si>
  <si>
    <t>viacka</t>
  </si>
  <si>
    <t>dimerla</t>
  </si>
  <si>
    <t>cantar</t>
  </si>
  <si>
    <t>voeten</t>
  </si>
  <si>
    <t>schepel</t>
  </si>
  <si>
    <t>mingelen</t>
  </si>
  <si>
    <t>fod</t>
  </si>
  <si>
    <t>korntonde</t>
  </si>
  <si>
    <t>tondelande</t>
  </si>
  <si>
    <t>pund</t>
  </si>
  <si>
    <t>funt</t>
  </si>
  <si>
    <t>kwarta</t>
  </si>
  <si>
    <t>fot</t>
  </si>
  <si>
    <t>kvadratfot</t>
  </si>
  <si>
    <t>skalpund</t>
  </si>
  <si>
    <t>kanna</t>
  </si>
  <si>
    <t>mal</t>
  </si>
  <si>
    <t>skaalpund</t>
  </si>
  <si>
    <t>tunna</t>
  </si>
  <si>
    <t>fet</t>
  </si>
  <si>
    <t>ferfaomur</t>
  </si>
  <si>
    <t>pottar</t>
  </si>
  <si>
    <t>arshine</t>
  </si>
  <si>
    <t>hulmit</t>
  </si>
  <si>
    <t>lofstelle</t>
  </si>
  <si>
    <t>tonnland</t>
  </si>
  <si>
    <t>elle</t>
  </si>
  <si>
    <t>kapp</t>
  </si>
  <si>
    <t>stoof</t>
  </si>
  <si>
    <t>faden</t>
  </si>
  <si>
    <t>foute</t>
  </si>
  <si>
    <t>doli</t>
  </si>
  <si>
    <t>garnetz</t>
  </si>
  <si>
    <t>vedro</t>
  </si>
  <si>
    <t>rotal</t>
  </si>
  <si>
    <t>mud</t>
  </si>
  <si>
    <t>khoul</t>
  </si>
  <si>
    <t>metalli</t>
  </si>
  <si>
    <t>ukkia</t>
  </si>
  <si>
    <t>uckir</t>
  </si>
  <si>
    <t>cafisso</t>
  </si>
  <si>
    <t>barile</t>
  </si>
  <si>
    <t>orba</t>
  </si>
  <si>
    <t>diraa</t>
  </si>
  <si>
    <t>keddah</t>
  </si>
  <si>
    <t>madega</t>
  </si>
  <si>
    <t>Old Estonian Units</t>
  </si>
  <si>
    <t>cubi</t>
  </si>
  <si>
    <t>messe</t>
  </si>
  <si>
    <t>kend</t>
  </si>
  <si>
    <t>top</t>
  </si>
  <si>
    <t>chela</t>
  </si>
  <si>
    <t>benda</t>
  </si>
  <si>
    <t>farsakh</t>
  </si>
  <si>
    <t>maund</t>
  </si>
  <si>
    <t>nusfiah</t>
  </si>
  <si>
    <t>teman</t>
  </si>
  <si>
    <t>chenica</t>
  </si>
  <si>
    <t>rottel</t>
  </si>
  <si>
    <t>hasch/altschin</t>
  </si>
  <si>
    <t>parah</t>
  </si>
  <si>
    <t>seer</t>
  </si>
  <si>
    <t>sandong</t>
  </si>
  <si>
    <t>catty</t>
  </si>
  <si>
    <t>byee</t>
  </si>
  <si>
    <t>hao</t>
  </si>
  <si>
    <t>dong</t>
  </si>
  <si>
    <t>muoi</t>
  </si>
  <si>
    <t>neal</t>
  </si>
  <si>
    <t>sesep</t>
  </si>
  <si>
    <t>wah</t>
  </si>
  <si>
    <t>tchang</t>
  </si>
  <si>
    <t>depa</t>
  </si>
  <si>
    <t>kan</t>
  </si>
  <si>
    <t>picul</t>
  </si>
  <si>
    <t>balita</t>
  </si>
  <si>
    <t>kaban</t>
  </si>
  <si>
    <t>tsubo</t>
  </si>
  <si>
    <t>kwan</t>
  </si>
  <si>
    <t>cabaliera</t>
  </si>
  <si>
    <t>bocoy</t>
  </si>
  <si>
    <t>manzana</t>
  </si>
  <si>
    <t>Old Colombian Units</t>
  </si>
  <si>
    <t>bara</t>
  </si>
  <si>
    <t>pie</t>
  </si>
  <si>
    <t>fanegada</t>
  </si>
  <si>
    <t>topo</t>
  </si>
  <si>
    <t>cuartillo</t>
  </si>
  <si>
    <t>Base</t>
  </si>
  <si>
    <t>Constant Name</t>
  </si>
  <si>
    <t>MTS Units</t>
  </si>
  <si>
    <t>tonne</t>
  </si>
  <si>
    <t>sextario</t>
  </si>
  <si>
    <t>bahar</t>
  </si>
  <si>
    <t>frasco</t>
  </si>
  <si>
    <t>day</t>
  </si>
  <si>
    <t>ares</t>
  </si>
  <si>
    <t>carreau</t>
  </si>
  <si>
    <t>Old Mauritius Units</t>
  </si>
  <si>
    <t>cash</t>
  </si>
  <si>
    <t>cawnie</t>
  </si>
  <si>
    <t>century</t>
  </si>
  <si>
    <t>ground</t>
  </si>
  <si>
    <t>kani</t>
  </si>
  <si>
    <t>chahar</t>
  </si>
  <si>
    <t>chenix</t>
  </si>
  <si>
    <t>cuerda</t>
  </si>
  <si>
    <t>danskmil</t>
  </si>
  <si>
    <t>ounce</t>
  </si>
  <si>
    <t>roentgen</t>
  </si>
  <si>
    <t>South Afican</t>
  </si>
  <si>
    <t>giornata</t>
  </si>
  <si>
    <t>klafter</t>
  </si>
  <si>
    <t>jug</t>
  </si>
  <si>
    <t>kulimet</t>
  </si>
  <si>
    <t>kulmet</t>
  </si>
  <si>
    <t>fortin</t>
  </si>
  <si>
    <t>millimeter</t>
  </si>
  <si>
    <t>centimeter</t>
  </si>
  <si>
    <t>dyne</t>
  </si>
  <si>
    <t>amma</t>
  </si>
  <si>
    <t>decimeter</t>
  </si>
  <si>
    <t>picotins</t>
  </si>
  <si>
    <t>e</t>
  </si>
  <si>
    <t>morgen</t>
  </si>
  <si>
    <t>Eastern Mediterranean</t>
  </si>
  <si>
    <t>metze</t>
  </si>
  <si>
    <t>pott</t>
  </si>
  <si>
    <t>stremma</t>
  </si>
  <si>
    <t>tael</t>
  </si>
  <si>
    <t>zollpfund</t>
  </si>
  <si>
    <t>myl</t>
  </si>
  <si>
    <t>fjardingsvag</t>
  </si>
  <si>
    <t>Scientific</t>
  </si>
  <si>
    <t>Angle</t>
  </si>
  <si>
    <t>African</t>
  </si>
  <si>
    <t>land</t>
  </si>
  <si>
    <t>tu</t>
  </si>
  <si>
    <t>room</t>
  </si>
  <si>
    <t>hundred</t>
  </si>
  <si>
    <t>unity</t>
  </si>
  <si>
    <t>point</t>
  </si>
  <si>
    <t>than</t>
  </si>
  <si>
    <t>dau</t>
  </si>
  <si>
    <t>thon</t>
  </si>
  <si>
    <t>ngu</t>
  </si>
  <si>
    <t>Myanmar</t>
  </si>
  <si>
    <t>taung</t>
  </si>
  <si>
    <t>aseittha</t>
  </si>
  <si>
    <t>hkwet</t>
  </si>
  <si>
    <t>jalka</t>
  </si>
  <si>
    <t>kannunala</t>
  </si>
  <si>
    <t>naula</t>
  </si>
  <si>
    <t>tuoppi</t>
  </si>
  <si>
    <t>bahoe</t>
  </si>
  <si>
    <t>troighid</t>
  </si>
  <si>
    <t>achar</t>
  </si>
  <si>
    <t>penginn</t>
  </si>
  <si>
    <t>meisrin</t>
  </si>
  <si>
    <t>og</t>
  </si>
  <si>
    <t>monme</t>
  </si>
  <si>
    <t>tomna</t>
  </si>
  <si>
    <t>talampakan</t>
  </si>
  <si>
    <t>palma</t>
  </si>
  <si>
    <t>font</t>
  </si>
  <si>
    <t>litra</t>
  </si>
  <si>
    <t>posta</t>
  </si>
  <si>
    <t>darat</t>
  </si>
  <si>
    <t>arpent</t>
  </si>
  <si>
    <t>arroba</t>
  </si>
  <si>
    <t>pond</t>
  </si>
  <si>
    <t>gantang</t>
  </si>
  <si>
    <t>firkin</t>
  </si>
  <si>
    <t>Welch</t>
  </si>
  <si>
    <t>palf</t>
  </si>
  <si>
    <t>hestawr</t>
  </si>
  <si>
    <t>chek</t>
  </si>
  <si>
    <t>mau5</t>
  </si>
  <si>
    <t>cyut3</t>
  </si>
  <si>
    <t>chipte</t>
  </si>
  <si>
    <t>geris</t>
  </si>
  <si>
    <t>pouce</t>
  </si>
  <si>
    <t>Sri Lanka</t>
  </si>
  <si>
    <t>paramaanuwa</t>
  </si>
  <si>
    <t>anu</t>
  </si>
  <si>
    <t>thajjaari</t>
  </si>
  <si>
    <t>ratharenu</t>
  </si>
  <si>
    <t>likkha</t>
  </si>
  <si>
    <t>ukha</t>
  </si>
  <si>
    <t>dhannamaasa</t>
  </si>
  <si>
    <t>aangula</t>
  </si>
  <si>
    <t>laaha</t>
  </si>
  <si>
    <t>paela</t>
  </si>
  <si>
    <t>kuruni</t>
  </si>
  <si>
    <t>amuna</t>
  </si>
  <si>
    <t>kiriya</t>
  </si>
  <si>
    <t>kareesa</t>
  </si>
  <si>
    <t>gunja</t>
  </si>
  <si>
    <t>veeha</t>
  </si>
  <si>
    <t>maasaka</t>
  </si>
  <si>
    <t>aka</t>
  </si>
  <si>
    <t>swarna</t>
  </si>
  <si>
    <t>chundoo</t>
  </si>
  <si>
    <t>velocity, Speed</t>
  </si>
  <si>
    <t>energy per degree</t>
  </si>
  <si>
    <t>min</t>
  </si>
  <si>
    <t>doz</t>
  </si>
  <si>
    <t>Btu</t>
  </si>
  <si>
    <t>time</t>
  </si>
  <si>
    <t>WGS-84</t>
  </si>
  <si>
    <r>
      <rPr>
        <sz val="11"/>
        <color theme="1"/>
        <rFont val="Symbol"/>
        <family val="1"/>
        <charset val="2"/>
      </rPr>
      <t>e</t>
    </r>
    <r>
      <rPr>
        <vertAlign val="subscript"/>
        <sz val="11"/>
        <color theme="1"/>
        <rFont val="Calibri"/>
        <family val="2"/>
        <scheme val="minor"/>
      </rPr>
      <t>o</t>
    </r>
  </si>
  <si>
    <r>
      <rPr>
        <sz val="11"/>
        <color theme="1"/>
        <rFont val="Symbol"/>
        <family val="1"/>
        <charset val="2"/>
      </rPr>
      <t>m</t>
    </r>
    <r>
      <rPr>
        <vertAlign val="subscript"/>
        <sz val="11"/>
        <color theme="1"/>
        <rFont val="Calibri"/>
        <family val="2"/>
        <scheme val="minor"/>
      </rPr>
      <t>o</t>
    </r>
  </si>
  <si>
    <r>
      <t>m</t>
    </r>
    <r>
      <rPr>
        <vertAlign val="subscript"/>
        <sz val="11"/>
        <color theme="1"/>
        <rFont val="Calibri"/>
        <family val="2"/>
        <scheme val="minor"/>
      </rPr>
      <t>e</t>
    </r>
  </si>
  <si>
    <r>
      <t>a</t>
    </r>
    <r>
      <rPr>
        <vertAlign val="subscript"/>
        <sz val="11"/>
        <color theme="1"/>
        <rFont val="Calibri"/>
        <family val="2"/>
        <scheme val="minor"/>
      </rPr>
      <t>o</t>
    </r>
  </si>
  <si>
    <r>
      <t>n</t>
    </r>
    <r>
      <rPr>
        <vertAlign val="subscript"/>
        <sz val="11"/>
        <color theme="1"/>
        <rFont val="Calibri"/>
        <family val="2"/>
        <scheme val="minor"/>
      </rPr>
      <t>o</t>
    </r>
  </si>
  <si>
    <t>Da, u</t>
  </si>
  <si>
    <r>
      <t>m</t>
    </r>
    <r>
      <rPr>
        <vertAlign val="subscript"/>
        <sz val="11"/>
        <color theme="1"/>
        <rFont val="Calibri"/>
        <family val="2"/>
        <scheme val="minor"/>
      </rPr>
      <t>p</t>
    </r>
  </si>
  <si>
    <r>
      <rPr>
        <sz val="11"/>
        <color theme="1"/>
        <rFont val="Symbol"/>
        <family val="1"/>
        <charset val="2"/>
      </rPr>
      <t>s</t>
    </r>
    <r>
      <rPr>
        <vertAlign val="subscript"/>
        <sz val="11"/>
        <color theme="1"/>
        <rFont val="Calibri"/>
        <family val="2"/>
        <scheme val="minor"/>
      </rPr>
      <t>t</t>
    </r>
  </si>
  <si>
    <t>mass density</t>
  </si>
  <si>
    <t>density</t>
  </si>
  <si>
    <t>electric permittivity</t>
  </si>
  <si>
    <r>
      <t>s</t>
    </r>
    <r>
      <rPr>
        <vertAlign val="superscript"/>
        <sz val="11"/>
        <color theme="1"/>
        <rFont val="Calibri"/>
        <family val="2"/>
        <scheme val="minor"/>
      </rPr>
      <t>4</t>
    </r>
    <r>
      <rPr>
        <sz val="11"/>
        <color theme="1"/>
        <rFont val="Calibri"/>
        <family val="2"/>
        <scheme val="minor"/>
      </rPr>
      <t>.A</t>
    </r>
    <r>
      <rPr>
        <vertAlign val="superscript"/>
        <sz val="11"/>
        <color theme="1"/>
        <rFont val="Calibri"/>
        <family val="2"/>
        <scheme val="minor"/>
      </rPr>
      <t>2</t>
    </r>
    <r>
      <rPr>
        <sz val="11"/>
        <color theme="1"/>
        <rFont val="Calibri"/>
        <family val="2"/>
        <scheme val="minor"/>
      </rPr>
      <t>/kg.m</t>
    </r>
    <r>
      <rPr>
        <vertAlign val="superscript"/>
        <sz val="11"/>
        <color theme="1"/>
        <rFont val="Calibri"/>
        <family val="2"/>
        <scheme val="minor"/>
      </rPr>
      <t>3</t>
    </r>
  </si>
  <si>
    <r>
      <t>kg.m/s</t>
    </r>
    <r>
      <rPr>
        <vertAlign val="superscript"/>
        <sz val="11"/>
        <color theme="1"/>
        <rFont val="Calibri"/>
        <family val="2"/>
        <scheme val="minor"/>
      </rPr>
      <t>2</t>
    </r>
    <r>
      <rPr>
        <sz val="11"/>
        <color theme="1"/>
        <rFont val="Calibri"/>
        <family val="2"/>
        <scheme val="minor"/>
      </rPr>
      <t>.A</t>
    </r>
    <r>
      <rPr>
        <vertAlign val="superscript"/>
        <sz val="11"/>
        <color theme="1"/>
        <rFont val="Calibri"/>
        <family val="2"/>
        <scheme val="minor"/>
      </rPr>
      <t>2</t>
    </r>
  </si>
  <si>
    <r>
      <t>kg/m</t>
    </r>
    <r>
      <rPr>
        <vertAlign val="superscript"/>
        <sz val="11"/>
        <color theme="1"/>
        <rFont val="Calibri"/>
        <family val="2"/>
        <scheme val="minor"/>
      </rPr>
      <t>3</t>
    </r>
  </si>
  <si>
    <r>
      <t>1/m</t>
    </r>
    <r>
      <rPr>
        <vertAlign val="superscript"/>
        <sz val="11"/>
        <color theme="1"/>
        <rFont val="Calibri"/>
        <family val="2"/>
        <scheme val="minor"/>
      </rPr>
      <t>3</t>
    </r>
  </si>
  <si>
    <t>A.s/kg</t>
  </si>
  <si>
    <t>kg/m</t>
  </si>
  <si>
    <r>
      <t>kg/m.s</t>
    </r>
    <r>
      <rPr>
        <vertAlign val="superscript"/>
        <sz val="11"/>
        <color theme="1"/>
        <rFont val="Calibri"/>
        <family val="2"/>
        <scheme val="minor"/>
      </rPr>
      <t>2</t>
    </r>
  </si>
  <si>
    <r>
      <t>m/s</t>
    </r>
    <r>
      <rPr>
        <vertAlign val="superscript"/>
        <sz val="11"/>
        <color theme="1"/>
        <rFont val="Calibri"/>
        <family val="2"/>
        <scheme val="minor"/>
      </rPr>
      <t>2</t>
    </r>
  </si>
  <si>
    <r>
      <t>kg.m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2</t>
    </r>
  </si>
  <si>
    <t>1/s</t>
  </si>
  <si>
    <t>s.A/kg</t>
  </si>
  <si>
    <t>m/s</t>
  </si>
  <si>
    <t>1/mol</t>
  </si>
  <si>
    <r>
      <t>s.A/m</t>
    </r>
    <r>
      <rPr>
        <vertAlign val="superscript"/>
        <sz val="11"/>
        <color theme="1"/>
        <rFont val="Calibri"/>
        <family val="2"/>
        <scheme val="minor"/>
      </rPr>
      <t>3</t>
    </r>
  </si>
  <si>
    <r>
      <t>kg.m/s</t>
    </r>
    <r>
      <rPr>
        <vertAlign val="superscript"/>
        <sz val="11"/>
        <color theme="1"/>
        <rFont val="Calibri"/>
        <family val="2"/>
        <scheme val="minor"/>
      </rPr>
      <t>3</t>
    </r>
    <r>
      <rPr>
        <sz val="11"/>
        <color theme="1"/>
        <rFont val="Calibri"/>
        <family val="2"/>
        <scheme val="minor"/>
      </rPr>
      <t>.A</t>
    </r>
  </si>
  <si>
    <r>
      <t>kg.m/s</t>
    </r>
    <r>
      <rPr>
        <vertAlign val="superscript"/>
        <sz val="11"/>
        <color theme="1"/>
        <rFont val="Calibri"/>
        <family val="2"/>
        <scheme val="minor"/>
      </rPr>
      <t>2</t>
    </r>
  </si>
  <si>
    <r>
      <t>kg/s</t>
    </r>
    <r>
      <rPr>
        <vertAlign val="superscript"/>
        <sz val="11"/>
        <color theme="1"/>
        <rFont val="Calibri"/>
        <family val="2"/>
        <scheme val="minor"/>
      </rPr>
      <t>3</t>
    </r>
    <r>
      <rPr>
        <sz val="11"/>
        <color theme="1"/>
        <rFont val="Calibri"/>
        <family val="2"/>
        <scheme val="minor"/>
      </rPr>
      <t>.A</t>
    </r>
  </si>
  <si>
    <t>kg.m/s</t>
  </si>
  <si>
    <r>
      <t>kg/s</t>
    </r>
    <r>
      <rPr>
        <vertAlign val="superscript"/>
        <sz val="11"/>
        <color theme="1"/>
        <rFont val="Calibri"/>
        <family val="2"/>
        <scheme val="minor"/>
      </rPr>
      <t>2</t>
    </r>
    <r>
      <rPr>
        <sz val="11"/>
        <color theme="1"/>
        <rFont val="Calibri"/>
        <family val="2"/>
        <scheme val="minor"/>
      </rPr>
      <t>.A</t>
    </r>
  </si>
  <si>
    <r>
      <t>s</t>
    </r>
    <r>
      <rPr>
        <vertAlign val="superscript"/>
        <sz val="11"/>
        <color theme="1"/>
        <rFont val="Calibri"/>
        <family val="2"/>
        <scheme val="minor"/>
      </rPr>
      <t>4</t>
    </r>
    <r>
      <rPr>
        <sz val="11"/>
        <color theme="1"/>
        <rFont val="Calibri"/>
        <family val="2"/>
        <scheme val="minor"/>
      </rPr>
      <t>.A</t>
    </r>
    <r>
      <rPr>
        <vertAlign val="superscript"/>
        <sz val="11"/>
        <color theme="1"/>
        <rFont val="Calibri"/>
        <family val="2"/>
        <scheme val="minor"/>
      </rPr>
      <t>2</t>
    </r>
    <r>
      <rPr>
        <sz val="11"/>
        <color theme="1"/>
        <rFont val="Calibri"/>
        <family val="2"/>
        <scheme val="minor"/>
      </rPr>
      <t>/kg.m</t>
    </r>
    <r>
      <rPr>
        <vertAlign val="superscript"/>
        <sz val="11"/>
        <color theme="1"/>
        <rFont val="Calibri"/>
        <family val="2"/>
        <scheme val="minor"/>
      </rPr>
      <t>2</t>
    </r>
  </si>
  <si>
    <r>
      <t>s</t>
    </r>
    <r>
      <rPr>
        <vertAlign val="superscript"/>
        <sz val="11"/>
        <color theme="1"/>
        <rFont val="Calibri"/>
        <family val="2"/>
        <scheme val="minor"/>
      </rPr>
      <t>3</t>
    </r>
    <r>
      <rPr>
        <sz val="11"/>
        <color theme="1"/>
        <rFont val="Calibri"/>
        <family val="2"/>
        <scheme val="minor"/>
      </rPr>
      <t>.A</t>
    </r>
    <r>
      <rPr>
        <vertAlign val="superscript"/>
        <sz val="11"/>
        <color theme="1"/>
        <rFont val="Calibri"/>
        <family val="2"/>
        <scheme val="minor"/>
      </rPr>
      <t>2</t>
    </r>
    <r>
      <rPr>
        <sz val="11"/>
        <color theme="1"/>
        <rFont val="Calibri"/>
        <family val="2"/>
        <scheme val="minor"/>
      </rPr>
      <t>/kg.m</t>
    </r>
    <r>
      <rPr>
        <vertAlign val="superscript"/>
        <sz val="11"/>
        <color theme="1"/>
        <rFont val="Calibri"/>
        <family val="2"/>
        <scheme val="minor"/>
      </rPr>
      <t>2</t>
    </r>
  </si>
  <si>
    <r>
      <t>kg.m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3</t>
    </r>
  </si>
  <si>
    <r>
      <t>kg/m</t>
    </r>
    <r>
      <rPr>
        <vertAlign val="superscript"/>
        <sz val="11"/>
        <color theme="1"/>
        <rFont val="Calibri"/>
        <family val="2"/>
        <scheme val="minor"/>
      </rPr>
      <t xml:space="preserve"> 4</t>
    </r>
    <r>
      <rPr>
        <sz val="11"/>
        <color theme="1"/>
        <rFont val="Calibri"/>
        <family val="2"/>
        <scheme val="minor"/>
      </rPr>
      <t>.s</t>
    </r>
  </si>
  <si>
    <r>
      <t>mol/m</t>
    </r>
    <r>
      <rPr>
        <vertAlign val="superscript"/>
        <sz val="11"/>
        <color theme="1"/>
        <rFont val="Calibri"/>
        <family val="2"/>
        <scheme val="minor"/>
      </rPr>
      <t>3</t>
    </r>
  </si>
  <si>
    <r>
      <t>m</t>
    </r>
    <r>
      <rPr>
        <vertAlign val="superscript"/>
        <sz val="11"/>
        <color theme="1"/>
        <rFont val="Calibri"/>
        <family val="2"/>
        <scheme val="minor"/>
      </rPr>
      <t>3</t>
    </r>
    <r>
      <rPr>
        <sz val="11"/>
        <color theme="1"/>
        <rFont val="Calibri"/>
        <family val="2"/>
        <scheme val="minor"/>
      </rPr>
      <t>/mol</t>
    </r>
  </si>
  <si>
    <t>A/m</t>
  </si>
  <si>
    <r>
      <t>A/m</t>
    </r>
    <r>
      <rPr>
        <vertAlign val="superscript"/>
        <sz val="11"/>
        <color theme="1"/>
        <rFont val="Calibri"/>
        <family val="2"/>
        <scheme val="minor"/>
      </rPr>
      <t>2</t>
    </r>
  </si>
  <si>
    <r>
      <t>cd/m</t>
    </r>
    <r>
      <rPr>
        <vertAlign val="superscript"/>
        <sz val="11"/>
        <color theme="1"/>
        <rFont val="Calibri"/>
        <family val="2"/>
        <scheme val="minor"/>
      </rPr>
      <t>2</t>
    </r>
  </si>
  <si>
    <r>
      <t>kg.m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3</t>
    </r>
  </si>
  <si>
    <t>1/m</t>
  </si>
  <si>
    <r>
      <t>m</t>
    </r>
    <r>
      <rPr>
        <vertAlign val="superscript"/>
        <sz val="11"/>
        <color theme="1"/>
        <rFont val="Calibri"/>
        <family val="2"/>
        <scheme val="minor"/>
      </rPr>
      <t>3</t>
    </r>
    <r>
      <rPr>
        <sz val="11"/>
        <color theme="1"/>
        <rFont val="Calibri"/>
        <family val="2"/>
        <scheme val="minor"/>
      </rPr>
      <t>/kg</t>
    </r>
  </si>
  <si>
    <r>
      <t>kg.m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2</t>
    </r>
  </si>
  <si>
    <r>
      <t>m</t>
    </r>
    <r>
      <rPr>
        <vertAlign val="superscript"/>
        <sz val="11"/>
        <color theme="1"/>
        <rFont val="Calibri"/>
        <family val="2"/>
        <scheme val="minor"/>
      </rPr>
      <t>3</t>
    </r>
    <r>
      <rPr>
        <sz val="11"/>
        <color theme="1"/>
        <rFont val="Calibri"/>
        <family val="2"/>
        <scheme val="minor"/>
      </rPr>
      <t>/s</t>
    </r>
  </si>
  <si>
    <r>
      <t>kg/m</t>
    </r>
    <r>
      <rPr>
        <vertAlign val="superscript"/>
        <sz val="11"/>
        <color theme="1"/>
        <rFont val="Calibri"/>
        <family val="2"/>
        <scheme val="minor"/>
      </rPr>
      <t>2</t>
    </r>
  </si>
  <si>
    <r>
      <t>1/m</t>
    </r>
    <r>
      <rPr>
        <vertAlign val="superscript"/>
        <sz val="11"/>
        <color theme="1"/>
        <rFont val="Calibri"/>
        <family val="2"/>
        <scheme val="minor"/>
      </rPr>
      <t>3</t>
    </r>
    <r>
      <rPr>
        <sz val="11"/>
        <color theme="1"/>
        <rFont val="Calibri"/>
        <family val="2"/>
        <scheme val="minor"/>
      </rPr>
      <t>.s</t>
    </r>
  </si>
  <si>
    <t>1/kg.s</t>
  </si>
  <si>
    <r>
      <t>m.s</t>
    </r>
    <r>
      <rPr>
        <vertAlign val="superscript"/>
        <sz val="11"/>
        <color theme="1"/>
        <rFont val="Calibri"/>
        <family val="2"/>
        <scheme val="minor"/>
      </rPr>
      <t>2</t>
    </r>
    <r>
      <rPr>
        <sz val="11"/>
        <color theme="1"/>
        <rFont val="Calibri"/>
        <family val="2"/>
        <scheme val="minor"/>
      </rPr>
      <t>/kg</t>
    </r>
  </si>
  <si>
    <r>
      <t>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2</t>
    </r>
    <r>
      <rPr>
        <sz val="11"/>
        <color theme="1"/>
        <rFont val="Calibri"/>
        <family val="2"/>
        <scheme val="minor"/>
      </rPr>
      <t>.K</t>
    </r>
  </si>
  <si>
    <r>
      <t>kg.m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2</t>
    </r>
    <r>
      <rPr>
        <sz val="11"/>
        <color theme="1"/>
        <rFont val="Calibri"/>
        <family val="2"/>
        <scheme val="minor"/>
      </rPr>
      <t>.K</t>
    </r>
  </si>
  <si>
    <r>
      <t>kg.m/s</t>
    </r>
    <r>
      <rPr>
        <vertAlign val="superscript"/>
        <sz val="11"/>
        <color theme="1"/>
        <rFont val="Calibri"/>
        <family val="2"/>
        <scheme val="minor"/>
      </rPr>
      <t>3</t>
    </r>
    <r>
      <rPr>
        <sz val="11"/>
        <color theme="1"/>
        <rFont val="Calibri"/>
        <family val="2"/>
        <scheme val="minor"/>
      </rPr>
      <t>.K</t>
    </r>
  </si>
  <si>
    <r>
      <t>kg/s</t>
    </r>
    <r>
      <rPr>
        <vertAlign val="superscript"/>
        <sz val="11"/>
        <color theme="1"/>
        <rFont val="Calibri"/>
        <family val="2"/>
        <scheme val="minor"/>
      </rPr>
      <t>3</t>
    </r>
  </si>
  <si>
    <r>
      <t>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2</t>
    </r>
  </si>
  <si>
    <r>
      <t>kg/s</t>
    </r>
    <r>
      <rPr>
        <vertAlign val="superscript"/>
        <sz val="11"/>
        <color theme="1"/>
        <rFont val="Calibri"/>
        <family val="2"/>
        <scheme val="minor"/>
      </rPr>
      <t>3</t>
    </r>
    <r>
      <rPr>
        <sz val="11"/>
        <color theme="1"/>
        <rFont val="Calibri"/>
        <family val="2"/>
        <scheme val="minor"/>
      </rPr>
      <t>.K</t>
    </r>
  </si>
  <si>
    <r>
      <t>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2</t>
    </r>
  </si>
  <si>
    <r>
      <t>m/s</t>
    </r>
    <r>
      <rPr>
        <vertAlign val="superscript"/>
        <sz val="11"/>
        <color theme="1"/>
        <rFont val="Calibri"/>
        <family val="2"/>
        <scheme val="minor"/>
      </rPr>
      <t>3</t>
    </r>
    <r>
      <rPr>
        <sz val="11"/>
        <color theme="1"/>
        <rFont val="Calibri"/>
        <family val="2"/>
        <scheme val="minor"/>
      </rPr>
      <t>.K</t>
    </r>
  </si>
  <si>
    <r>
      <t>kg.m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2</t>
    </r>
    <r>
      <rPr>
        <sz val="11"/>
        <color theme="1"/>
        <rFont val="Calibri"/>
        <family val="2"/>
        <scheme val="minor"/>
      </rPr>
      <t>.A</t>
    </r>
    <r>
      <rPr>
        <vertAlign val="superscript"/>
        <sz val="11"/>
        <color theme="1"/>
        <rFont val="Calibri"/>
        <family val="2"/>
        <scheme val="minor"/>
      </rPr>
      <t>2</t>
    </r>
  </si>
  <si>
    <t>kg/m.s</t>
  </si>
  <si>
    <r>
      <t>m</t>
    </r>
    <r>
      <rPr>
        <vertAlign val="superscript"/>
        <sz val="11"/>
        <color theme="1"/>
        <rFont val="Calibri"/>
        <family val="2"/>
        <scheme val="minor"/>
      </rPr>
      <t>2</t>
    </r>
    <r>
      <rPr>
        <sz val="11"/>
        <color theme="1"/>
        <rFont val="Calibri"/>
        <family val="2"/>
        <scheme val="minor"/>
      </rPr>
      <t>/s</t>
    </r>
  </si>
  <si>
    <r>
      <t>s</t>
    </r>
    <r>
      <rPr>
        <vertAlign val="superscript"/>
        <sz val="11"/>
        <color theme="1"/>
        <rFont val="Calibri"/>
        <family val="2"/>
        <scheme val="minor"/>
      </rPr>
      <t>3</t>
    </r>
    <r>
      <rPr>
        <sz val="11"/>
        <color theme="1"/>
        <rFont val="Calibri"/>
        <family val="2"/>
        <scheme val="minor"/>
      </rPr>
      <t>.K/kg</t>
    </r>
  </si>
  <si>
    <t>m/kg</t>
  </si>
  <si>
    <r>
      <t>m</t>
    </r>
    <r>
      <rPr>
        <vertAlign val="superscript"/>
        <sz val="11"/>
        <color theme="1"/>
        <rFont val="Calibri"/>
        <family val="2"/>
        <scheme val="minor"/>
      </rPr>
      <t>3/</t>
    </r>
    <r>
      <rPr>
        <sz val="11"/>
        <color theme="1"/>
        <rFont val="Calibri"/>
        <family val="2"/>
        <scheme val="minor"/>
      </rPr>
      <t>s</t>
    </r>
  </si>
  <si>
    <r>
      <t>kg.m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3</t>
    </r>
    <r>
      <rPr>
        <sz val="11"/>
        <color theme="1"/>
        <rFont val="Calibri"/>
        <family val="2"/>
        <scheme val="minor"/>
      </rPr>
      <t>.A</t>
    </r>
  </si>
  <si>
    <r>
      <t>kg.m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4</t>
    </r>
    <r>
      <rPr>
        <sz val="11"/>
        <color theme="1"/>
        <rFont val="Calibri"/>
        <family val="2"/>
        <scheme val="minor"/>
      </rPr>
      <t>.A</t>
    </r>
    <r>
      <rPr>
        <vertAlign val="superscript"/>
        <sz val="11"/>
        <color theme="1"/>
        <rFont val="Calibri"/>
        <family val="2"/>
        <scheme val="minor"/>
      </rPr>
      <t>2</t>
    </r>
  </si>
  <si>
    <t>rad/s</t>
  </si>
  <si>
    <r>
      <t>kg/s</t>
    </r>
    <r>
      <rPr>
        <vertAlign val="superscript"/>
        <sz val="11"/>
        <color theme="1"/>
        <rFont val="Calibri"/>
        <family val="2"/>
        <scheme val="minor"/>
      </rPr>
      <t>2</t>
    </r>
  </si>
  <si>
    <t>A/kg</t>
  </si>
  <si>
    <r>
      <t>kg.m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3</t>
    </r>
    <r>
      <rPr>
        <sz val="11"/>
        <color theme="1"/>
        <rFont val="Calibri"/>
        <family val="2"/>
        <scheme val="minor"/>
      </rPr>
      <t>.A</t>
    </r>
    <r>
      <rPr>
        <vertAlign val="superscript"/>
        <sz val="11"/>
        <color theme="1"/>
        <rFont val="Calibri"/>
        <family val="2"/>
        <scheme val="minor"/>
      </rPr>
      <t>2</t>
    </r>
  </si>
  <si>
    <r>
      <t>kg.m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2</t>
    </r>
    <r>
      <rPr>
        <sz val="11"/>
        <color theme="1"/>
        <rFont val="Calibri"/>
        <family val="2"/>
        <scheme val="minor"/>
      </rPr>
      <t>.K.mol</t>
    </r>
  </si>
  <si>
    <t>s.A/mol</t>
  </si>
  <si>
    <r>
      <t>cd.sr/m</t>
    </r>
    <r>
      <rPr>
        <vertAlign val="superscript"/>
        <sz val="11"/>
        <color theme="1"/>
        <rFont val="Calibri"/>
        <family val="2"/>
        <scheme val="minor"/>
      </rPr>
      <t>2</t>
    </r>
  </si>
  <si>
    <r>
      <t>mol/m</t>
    </r>
    <r>
      <rPr>
        <vertAlign val="superscript"/>
        <sz val="11"/>
        <color theme="1"/>
        <rFont val="Calibri"/>
        <family val="2"/>
        <scheme val="minor"/>
      </rPr>
      <t>2</t>
    </r>
  </si>
  <si>
    <r>
      <t>s</t>
    </r>
    <r>
      <rPr>
        <vertAlign val="superscript"/>
        <sz val="11"/>
        <color theme="1"/>
        <rFont val="Calibri"/>
        <family val="2"/>
        <scheme val="minor"/>
      </rPr>
      <t>2</t>
    </r>
    <r>
      <rPr>
        <sz val="11"/>
        <color theme="1"/>
        <rFont val="Calibri"/>
        <family val="2"/>
        <scheme val="minor"/>
      </rPr>
      <t>.mol/kg.m</t>
    </r>
    <r>
      <rPr>
        <vertAlign val="superscript"/>
        <sz val="11"/>
        <color theme="1"/>
        <rFont val="Calibri"/>
        <family val="2"/>
        <scheme val="minor"/>
      </rPr>
      <t>2</t>
    </r>
  </si>
  <si>
    <r>
      <t>kg.m</t>
    </r>
    <r>
      <rPr>
        <vertAlign val="superscript"/>
        <sz val="11"/>
        <color theme="1"/>
        <rFont val="Calibri"/>
        <family val="2"/>
        <scheme val="minor"/>
      </rPr>
      <t>3</t>
    </r>
    <r>
      <rPr>
        <sz val="11"/>
        <color theme="1"/>
        <rFont val="Calibri"/>
        <family val="2"/>
        <scheme val="minor"/>
      </rPr>
      <t>/s</t>
    </r>
    <r>
      <rPr>
        <vertAlign val="superscript"/>
        <sz val="11"/>
        <color theme="1"/>
        <rFont val="Calibri"/>
        <family val="2"/>
        <scheme val="minor"/>
      </rPr>
      <t>3</t>
    </r>
    <r>
      <rPr>
        <sz val="11"/>
        <color theme="1"/>
        <rFont val="Calibri"/>
        <family val="2"/>
        <scheme val="minor"/>
      </rPr>
      <t>.A</t>
    </r>
    <r>
      <rPr>
        <vertAlign val="superscript"/>
        <sz val="11"/>
        <color theme="1"/>
        <rFont val="Calibri"/>
        <family val="2"/>
        <scheme val="minor"/>
      </rPr>
      <t>2</t>
    </r>
  </si>
  <si>
    <t>mol/s</t>
  </si>
  <si>
    <r>
      <t>m/s</t>
    </r>
    <r>
      <rPr>
        <vertAlign val="superscript"/>
        <sz val="11"/>
        <color theme="1"/>
        <rFont val="Calibri"/>
        <family val="2"/>
        <scheme val="minor"/>
      </rPr>
      <t>3</t>
    </r>
  </si>
  <si>
    <r>
      <t>kg.m</t>
    </r>
    <r>
      <rPr>
        <vertAlign val="superscript"/>
        <sz val="11"/>
        <color theme="1"/>
        <rFont val="Calibri"/>
        <family val="2"/>
        <scheme val="minor"/>
      </rPr>
      <t>2</t>
    </r>
    <r>
      <rPr>
        <sz val="11"/>
        <color theme="1"/>
        <rFont val="Calibri"/>
        <family val="2"/>
        <scheme val="minor"/>
      </rPr>
      <t>/s</t>
    </r>
  </si>
  <si>
    <r>
      <t>kg.m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2</t>
    </r>
    <r>
      <rPr>
        <sz val="11"/>
        <color theme="1"/>
        <rFont val="Calibri"/>
        <family val="2"/>
        <scheme val="minor"/>
      </rPr>
      <t>.A</t>
    </r>
  </si>
  <si>
    <t>kg/s</t>
  </si>
  <si>
    <r>
      <t>kg.m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3</t>
    </r>
    <r>
      <rPr>
        <sz val="11"/>
        <color theme="1"/>
        <rFont val="Calibri"/>
        <family val="2"/>
        <scheme val="minor"/>
      </rPr>
      <t>.sr</t>
    </r>
  </si>
  <si>
    <r>
      <t>1/m</t>
    </r>
    <r>
      <rPr>
        <vertAlign val="superscript"/>
        <sz val="11"/>
        <color theme="1"/>
        <rFont val="Calibri"/>
        <family val="2"/>
        <scheme val="minor"/>
      </rPr>
      <t>2</t>
    </r>
    <r>
      <rPr>
        <sz val="11"/>
        <color theme="1"/>
        <rFont val="Calibri"/>
        <family val="2"/>
        <scheme val="minor"/>
      </rPr>
      <t>.s.sr</t>
    </r>
  </si>
  <si>
    <t>s/m</t>
  </si>
  <si>
    <r>
      <t>rad/s</t>
    </r>
    <r>
      <rPr>
        <vertAlign val="superscript"/>
        <sz val="11"/>
        <color theme="1"/>
        <rFont val="Calibri"/>
        <family val="2"/>
        <scheme val="minor"/>
      </rPr>
      <t>2</t>
    </r>
  </si>
  <si>
    <r>
      <t>kg/m</t>
    </r>
    <r>
      <rPr>
        <vertAlign val="superscript"/>
        <sz val="11"/>
        <color theme="1"/>
        <rFont val="Calibri"/>
        <family val="2"/>
        <scheme val="minor"/>
      </rPr>
      <t>2</t>
    </r>
    <r>
      <rPr>
        <sz val="11"/>
        <color theme="1"/>
        <rFont val="Calibri"/>
        <family val="2"/>
        <scheme val="minor"/>
      </rPr>
      <t>.s</t>
    </r>
  </si>
  <si>
    <r>
      <t>s</t>
    </r>
    <r>
      <rPr>
        <vertAlign val="superscript"/>
        <sz val="11"/>
        <color theme="1"/>
        <rFont val="Calibri"/>
        <family val="2"/>
        <scheme val="minor"/>
      </rPr>
      <t>3</t>
    </r>
    <r>
      <rPr>
        <sz val="11"/>
        <color theme="1"/>
        <rFont val="Calibri"/>
        <family val="2"/>
        <scheme val="minor"/>
      </rPr>
      <t>.A</t>
    </r>
    <r>
      <rPr>
        <vertAlign val="superscript"/>
        <sz val="11"/>
        <color theme="1"/>
        <rFont val="Calibri"/>
        <family val="2"/>
        <scheme val="minor"/>
      </rPr>
      <t>2</t>
    </r>
    <r>
      <rPr>
        <sz val="11"/>
        <color theme="1"/>
        <rFont val="Calibri"/>
        <family val="2"/>
        <scheme val="minor"/>
      </rPr>
      <t>/kg.m</t>
    </r>
    <r>
      <rPr>
        <vertAlign val="superscript"/>
        <sz val="11"/>
        <color theme="1"/>
        <rFont val="Calibri"/>
        <family val="2"/>
        <scheme val="minor"/>
      </rPr>
      <t>3</t>
    </r>
  </si>
  <si>
    <r>
      <t>m</t>
    </r>
    <r>
      <rPr>
        <vertAlign val="superscript"/>
        <sz val="11"/>
        <color theme="1"/>
        <rFont val="Calibri"/>
        <family val="2"/>
        <scheme val="minor"/>
      </rPr>
      <t>2</t>
    </r>
    <r>
      <rPr>
        <sz val="11"/>
        <color theme="1"/>
        <rFont val="Calibri"/>
        <family val="2"/>
        <scheme val="minor"/>
      </rPr>
      <t>/mol</t>
    </r>
  </si>
  <si>
    <r>
      <t>s</t>
    </r>
    <r>
      <rPr>
        <vertAlign val="superscript"/>
        <sz val="11"/>
        <color theme="1"/>
        <rFont val="Calibri"/>
        <family val="2"/>
        <scheme val="minor"/>
      </rPr>
      <t>2</t>
    </r>
    <r>
      <rPr>
        <sz val="11"/>
        <color theme="1"/>
        <rFont val="Calibri"/>
        <family val="2"/>
        <scheme val="minor"/>
      </rPr>
      <t>.A</t>
    </r>
    <r>
      <rPr>
        <vertAlign val="superscript"/>
        <sz val="11"/>
        <color theme="1"/>
        <rFont val="Calibri"/>
        <family val="2"/>
        <scheme val="minor"/>
      </rPr>
      <t>2</t>
    </r>
    <r>
      <rPr>
        <sz val="11"/>
        <color theme="1"/>
        <rFont val="Calibri"/>
        <family val="2"/>
        <scheme val="minor"/>
      </rPr>
      <t>/kg.m</t>
    </r>
    <r>
      <rPr>
        <vertAlign val="superscript"/>
        <sz val="11"/>
        <color theme="1"/>
        <rFont val="Calibri"/>
        <family val="2"/>
        <scheme val="minor"/>
      </rPr>
      <t>2</t>
    </r>
  </si>
  <si>
    <r>
      <t>kg.m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3</t>
    </r>
    <r>
      <rPr>
        <sz val="11"/>
        <color theme="1"/>
        <rFont val="Calibri"/>
        <family val="2"/>
        <scheme val="minor"/>
      </rPr>
      <t>.K</t>
    </r>
  </si>
  <si>
    <r>
      <t>kg.m/s</t>
    </r>
    <r>
      <rPr>
        <vertAlign val="superscript"/>
        <sz val="11"/>
        <color theme="1"/>
        <rFont val="Calibri"/>
        <family val="2"/>
        <scheme val="minor"/>
      </rPr>
      <t>2</t>
    </r>
    <r>
      <rPr>
        <sz val="11"/>
        <color theme="1"/>
        <rFont val="Calibri"/>
        <family val="2"/>
        <scheme val="minor"/>
      </rPr>
      <t>.A</t>
    </r>
  </si>
  <si>
    <t>Imperial</t>
  </si>
  <si>
    <t>abampere</t>
  </si>
  <si>
    <t>abbassi</t>
  </si>
  <si>
    <t>abdat</t>
  </si>
  <si>
    <t>abhenry</t>
  </si>
  <si>
    <t>abmho</t>
  </si>
  <si>
    <t>abohm</t>
  </si>
  <si>
    <t>abvolt</t>
  </si>
  <si>
    <t>abwatt</t>
  </si>
  <si>
    <t>acetabulum</t>
  </si>
  <si>
    <t>achir</t>
  </si>
  <si>
    <t>achita</t>
  </si>
  <si>
    <t>achtel</t>
  </si>
  <si>
    <t>acnua</t>
  </si>
  <si>
    <t>actus</t>
  </si>
  <si>
    <t>adarme</t>
  </si>
  <si>
    <t>adashah</t>
  </si>
  <si>
    <t>adh-pav</t>
  </si>
  <si>
    <t>adha</t>
  </si>
  <si>
    <t>adhaka</t>
  </si>
  <si>
    <t>adher</t>
  </si>
  <si>
    <t>adoulie</t>
  </si>
  <si>
    <t>agate</t>
  </si>
  <si>
    <t>aguirage</t>
  </si>
  <si>
    <t>charge</t>
  </si>
  <si>
    <t>aam</t>
  </si>
  <si>
    <t>ahm</t>
  </si>
  <si>
    <t>aiwas</t>
  </si>
  <si>
    <t>akaina</t>
  </si>
  <si>
    <t>akey</t>
  </si>
  <si>
    <t>ako</t>
  </si>
  <si>
    <t>akov</t>
  </si>
  <si>
    <t>alada</t>
  </si>
  <si>
    <t>album</t>
  </si>
  <si>
    <t>alen</t>
  </si>
  <si>
    <t>aleppo</t>
  </si>
  <si>
    <t>alin</t>
  </si>
  <si>
    <t>almud</t>
  </si>
  <si>
    <t>aln</t>
  </si>
  <si>
    <t>alnar</t>
  </si>
  <si>
    <t>alqueire</t>
  </si>
  <si>
    <t>alquiera</t>
  </si>
  <si>
    <t>AW, aw</t>
  </si>
  <si>
    <t>aua</t>
  </si>
  <si>
    <t>auam</t>
  </si>
  <si>
    <t>aue</t>
  </si>
  <si>
    <t>auecd</t>
  </si>
  <si>
    <t>auec</t>
  </si>
  <si>
    <t>auefs</t>
  </si>
  <si>
    <t>auep</t>
  </si>
  <si>
    <t>auf</t>
  </si>
  <si>
    <t>aulm</t>
  </si>
  <si>
    <t>audpm</t>
  </si>
  <si>
    <t>aumfd</t>
  </si>
  <si>
    <t>aum</t>
  </si>
  <si>
    <t>aut</t>
  </si>
  <si>
    <t>alqueira</t>
  </si>
  <si>
    <t>altschin</t>
  </si>
  <si>
    <t>amah</t>
  </si>
  <si>
    <t>amat</t>
  </si>
  <si>
    <t>amber</t>
  </si>
  <si>
    <t>arnma</t>
  </si>
  <si>
    <t>ammonam</t>
  </si>
  <si>
    <r>
      <t>A/cm</t>
    </r>
    <r>
      <rPr>
        <vertAlign val="superscript"/>
        <sz val="11"/>
        <color theme="1"/>
        <rFont val="Calibri"/>
        <family val="2"/>
        <scheme val="minor"/>
      </rPr>
      <t>2</t>
    </r>
  </si>
  <si>
    <r>
      <t>A/dm</t>
    </r>
    <r>
      <rPr>
        <vertAlign val="superscript"/>
        <sz val="11"/>
        <color theme="1"/>
        <rFont val="Calibri"/>
        <family val="2"/>
        <scheme val="minor"/>
      </rPr>
      <t>2</t>
    </r>
  </si>
  <si>
    <t>angosht</t>
  </si>
  <si>
    <t>ankare</t>
  </si>
  <si>
    <t>anker</t>
  </si>
  <si>
    <t>ankkuri</t>
  </si>
  <si>
    <t>anukabiet</t>
  </si>
  <si>
    <t>apatan</t>
  </si>
  <si>
    <t>apt</t>
  </si>
  <si>
    <t>aranzada</t>
  </si>
  <si>
    <t>arasz</t>
  </si>
  <si>
    <t>archine</t>
  </si>
  <si>
    <t>ardabb</t>
  </si>
  <si>
    <t>ardeb</t>
  </si>
  <si>
    <t>ardebb</t>
  </si>
  <si>
    <t>arienzo</t>
  </si>
  <si>
    <t>arish</t>
  </si>
  <si>
    <t>aroura</t>
  </si>
  <si>
    <t>arratel</t>
  </si>
  <si>
    <t>arsani</t>
  </si>
  <si>
    <t>arshin</t>
  </si>
  <si>
    <t>arsin</t>
  </si>
  <si>
    <t>artaba</t>
  </si>
  <si>
    <t>artabe</t>
  </si>
  <si>
    <t>artal</t>
  </si>
  <si>
    <t>asparsa</t>
  </si>
  <si>
    <t>ass</t>
  </si>
  <si>
    <t>finger</t>
  </si>
  <si>
    <t>assbaa</t>
  </si>
  <si>
    <t>atmosphere</t>
  </si>
  <si>
    <t>atour</t>
  </si>
  <si>
    <t>aurure</t>
  </si>
  <si>
    <t>awettha</t>
  </si>
  <si>
    <t>ayak</t>
  </si>
  <si>
    <t>azumbre</t>
  </si>
  <si>
    <t>bag</t>
  </si>
  <si>
    <t>baha</t>
  </si>
  <si>
    <t>baht</t>
  </si>
  <si>
    <t>baile</t>
  </si>
  <si>
    <t>bale</t>
  </si>
  <si>
    <t>bali</t>
  </si>
  <si>
    <t>balle</t>
  </si>
  <si>
    <t>balthazar</t>
  </si>
  <si>
    <t>bamboo</t>
  </si>
  <si>
    <t>ban</t>
  </si>
  <si>
    <t>barcella</t>
  </si>
  <si>
    <t>barge</t>
  </si>
  <si>
    <t>veredus</t>
  </si>
  <si>
    <t>barid</t>
  </si>
  <si>
    <t>barleycorn</t>
  </si>
  <si>
    <t>barmil</t>
  </si>
  <si>
    <t>barony</t>
  </si>
  <si>
    <t>barral</t>
  </si>
  <si>
    <t>barrel</t>
  </si>
  <si>
    <t>bbl/lt</t>
  </si>
  <si>
    <t>bbl/ft</t>
  </si>
  <si>
    <t>bbl/in</t>
  </si>
  <si>
    <t>barril</t>
  </si>
  <si>
    <t>barrile</t>
  </si>
  <si>
    <t>baryd</t>
  </si>
  <si>
    <t>barye</t>
  </si>
  <si>
    <t>bas</t>
  </si>
  <si>
    <t>bat</t>
  </si>
  <si>
    <t>batman</t>
  </si>
  <si>
    <t>skippund</t>
  </si>
  <si>
    <t>batt</t>
  </si>
  <si>
    <t>bazar</t>
  </si>
  <si>
    <t>becher</t>
  </si>
  <si>
    <t>becheree</t>
  </si>
  <si>
    <r>
      <t>Bq/m</t>
    </r>
    <r>
      <rPr>
        <vertAlign val="superscript"/>
        <sz val="11"/>
        <color theme="1"/>
        <rFont val="Calibri"/>
        <family val="2"/>
        <scheme val="minor"/>
      </rPr>
      <t>3</t>
    </r>
  </si>
  <si>
    <t>Bq/kg</t>
  </si>
  <si>
    <t>beitza</t>
  </si>
  <si>
    <t>bekah</t>
  </si>
  <si>
    <t>pace</t>
  </si>
  <si>
    <t>bema</t>
  </si>
  <si>
    <t>berid</t>
  </si>
  <si>
    <t>berkovets</t>
  </si>
  <si>
    <t>berri</t>
  </si>
  <si>
    <t>bes</t>
  </si>
  <si>
    <t>bessis</t>
  </si>
  <si>
    <t>bhari</t>
  </si>
  <si>
    <t>bicron</t>
  </si>
  <si>
    <t>bigha</t>
  </si>
  <si>
    <t>billet</t>
  </si>
  <si>
    <t>binh</t>
  </si>
  <si>
    <t>bisig</t>
  </si>
  <si>
    <t>bismerpund</t>
  </si>
  <si>
    <t>blanc</t>
  </si>
  <si>
    <t>block</t>
  </si>
  <si>
    <t>bochka</t>
  </si>
  <si>
    <t>bohr</t>
  </si>
  <si>
    <t>boisseau</t>
  </si>
  <si>
    <t>bokard</t>
  </si>
  <si>
    <t>bolt</t>
  </si>
  <si>
    <t>bota</t>
  </si>
  <si>
    <t>botdlka</t>
  </si>
  <si>
    <t>botella</t>
  </si>
  <si>
    <t>bovate</t>
  </si>
  <si>
    <t>box</t>
  </si>
  <si>
    <t>bozze</t>
  </si>
  <si>
    <t>braca</t>
  </si>
  <si>
    <t>brace</t>
  </si>
  <si>
    <t>brasse</t>
  </si>
  <si>
    <t>braza</t>
  </si>
  <si>
    <t>brick</t>
  </si>
  <si>
    <t>bu</t>
  </si>
  <si>
    <t>bucket</t>
  </si>
  <si>
    <t>bk</t>
  </si>
  <si>
    <t>buhar</t>
  </si>
  <si>
    <t>bundle</t>
  </si>
  <si>
    <t>bunder</t>
  </si>
  <si>
    <t>busa</t>
  </si>
  <si>
    <t>bushel</t>
  </si>
  <si>
    <t>butt</t>
  </si>
  <si>
    <t>bt</t>
  </si>
  <si>
    <t>button</t>
  </si>
  <si>
    <t>o, B, octet</t>
  </si>
  <si>
    <t>cab</t>
  </si>
  <si>
    <t>caba</t>
  </si>
  <si>
    <t>cabaho</t>
  </si>
  <si>
    <t>caballeria</t>
  </si>
  <si>
    <t>caballiera</t>
  </si>
  <si>
    <t>caban</t>
  </si>
  <si>
    <t>palm</t>
  </si>
  <si>
    <t>cabda</t>
  </si>
  <si>
    <t>cados</t>
  </si>
  <si>
    <t>bbl/st</t>
  </si>
  <si>
    <t>W/K</t>
  </si>
  <si>
    <t>cahiz</t>
  </si>
  <si>
    <t>caja</t>
  </si>
  <si>
    <t>cajuella</t>
  </si>
  <si>
    <t>calemin</t>
  </si>
  <si>
    <t>calibre</t>
  </si>
  <si>
    <t>calisse</t>
  </si>
  <si>
    <t>cam</t>
  </si>
  <si>
    <t>can</t>
  </si>
  <si>
    <t>canada</t>
  </si>
  <si>
    <t>candareen</t>
  </si>
  <si>
    <t>fun</t>
  </si>
  <si>
    <t>candy</t>
  </si>
  <si>
    <t>canne</t>
  </si>
  <si>
    <t>cantara</t>
  </si>
  <si>
    <t>cantaro</t>
  </si>
  <si>
    <t>cao</t>
  </si>
  <si>
    <t>cap</t>
  </si>
  <si>
    <t>caphite</t>
  </si>
  <si>
    <t>capichas</t>
  </si>
  <si>
    <t>carga</t>
  </si>
  <si>
    <t>cargo</t>
  </si>
  <si>
    <t>cargueiro</t>
  </si>
  <si>
    <t>carteree</t>
  </si>
  <si>
    <t>cass</t>
  </si>
  <si>
    <t>cassaba</t>
  </si>
  <si>
    <t>castellano</t>
  </si>
  <si>
    <t>cavezzo</t>
  </si>
  <si>
    <t>cawney</t>
  </si>
  <si>
    <t>cay</t>
  </si>
  <si>
    <t>ceathramh</t>
  </si>
  <si>
    <t>ceim</t>
  </si>
  <si>
    <t>cek3</t>
  </si>
  <si>
    <t>ceki</t>
  </si>
  <si>
    <t>celemin</t>
  </si>
  <si>
    <t>cental</t>
  </si>
  <si>
    <t>cm/s</t>
  </si>
  <si>
    <t>centnar</t>
  </si>
  <si>
    <t>centner</t>
  </si>
  <si>
    <t>centuria</t>
  </si>
  <si>
    <t>centurium</t>
  </si>
  <si>
    <t>cequi</t>
  </si>
  <si>
    <t>cessel-yeu</t>
  </si>
  <si>
    <t>chain</t>
  </si>
  <si>
    <t>chaldron</t>
  </si>
  <si>
    <t>chal</t>
  </si>
  <si>
    <t>chalque</t>
  </si>
  <si>
    <t>chang</t>
  </si>
  <si>
    <t>changawn</t>
  </si>
  <si>
    <t>chao</t>
  </si>
  <si>
    <t>charak</t>
  </si>
  <si>
    <t>chariot</t>
  </si>
  <si>
    <t>charka</t>
  </si>
  <si>
    <t>chast</t>
  </si>
  <si>
    <t>chattack</t>
  </si>
  <si>
    <t>chawal</t>
  </si>
  <si>
    <t>chebel</t>
  </si>
  <si>
    <t>chei</t>
  </si>
  <si>
    <t>cheme</t>
  </si>
  <si>
    <t>chetverik</t>
  </si>
  <si>
    <t>chetvert</t>
  </si>
  <si>
    <t>cheval-vapeur</t>
  </si>
  <si>
    <t>chhataank</t>
  </si>
  <si>
    <t>chi</t>
  </si>
  <si>
    <t>chinanta</t>
  </si>
  <si>
    <t>ching</t>
  </si>
  <si>
    <t>chinik</t>
  </si>
  <si>
    <t>chittak</t>
  </si>
  <si>
    <t>chiup</t>
  </si>
  <si>
    <t>chkalik</t>
  </si>
  <si>
    <t>cho</t>
  </si>
  <si>
    <t>chobu</t>
  </si>
  <si>
    <t>chong</t>
  </si>
  <si>
    <t>choinix</t>
  </si>
  <si>
    <t>chopine</t>
  </si>
  <si>
    <t>choryos</t>
  </si>
  <si>
    <t>chous</t>
  </si>
  <si>
    <t>tempon</t>
  </si>
  <si>
    <t>chronon</t>
  </si>
  <si>
    <t>chupa</t>
  </si>
  <si>
    <t>clima</t>
  </si>
  <si>
    <t>co</t>
  </si>
  <si>
    <t>cochlearia</t>
  </si>
  <si>
    <t>cubit</t>
  </si>
  <si>
    <t>codos</t>
  </si>
  <si>
    <t>coffilas</t>
  </si>
  <si>
    <t>cohi</t>
  </si>
  <si>
    <t>cola</t>
  </si>
  <si>
    <t>colluthun</t>
  </si>
  <si>
    <t>condylos</t>
  </si>
  <si>
    <t>cong</t>
  </si>
  <si>
    <t>khous</t>
  </si>
  <si>
    <t>congius</t>
  </si>
  <si>
    <t>coomb</t>
  </si>
  <si>
    <t>copas</t>
  </si>
  <si>
    <t>cor</t>
  </si>
  <si>
    <t>cord</t>
  </si>
  <si>
    <t>corde</t>
  </si>
  <si>
    <t>cordele</t>
  </si>
  <si>
    <t>corta</t>
  </si>
  <si>
    <t>coto</t>
  </si>
  <si>
    <t>cotyla</t>
  </si>
  <si>
    <r>
      <t>C/m</t>
    </r>
    <r>
      <rPr>
        <vertAlign val="superscript"/>
        <sz val="11"/>
        <color theme="1"/>
        <rFont val="Calibri"/>
        <family val="2"/>
        <scheme val="minor"/>
      </rPr>
      <t>3</t>
    </r>
  </si>
  <si>
    <t>C/kg</t>
  </si>
  <si>
    <r>
      <t>C/m</t>
    </r>
    <r>
      <rPr>
        <vertAlign val="superscript"/>
        <sz val="11"/>
        <color theme="1"/>
        <rFont val="Calibri"/>
        <family val="2"/>
        <scheme val="minor"/>
      </rPr>
      <t>2</t>
    </r>
  </si>
  <si>
    <t>J/K</t>
  </si>
  <si>
    <t>covada</t>
  </si>
  <si>
    <t>covado</t>
  </si>
  <si>
    <t>covid</t>
  </si>
  <si>
    <t>cuadra</t>
  </si>
  <si>
    <t>cuarta</t>
  </si>
  <si>
    <t>cuartilla</t>
  </si>
  <si>
    <t>cuarto</t>
  </si>
  <si>
    <t>cubem</t>
  </si>
  <si>
    <r>
      <t>cfm, ft</t>
    </r>
    <r>
      <rPr>
        <vertAlign val="superscript"/>
        <sz val="11"/>
        <color theme="1"/>
        <rFont val="Calibri"/>
        <family val="2"/>
        <scheme val="minor"/>
      </rPr>
      <t>3</t>
    </r>
    <r>
      <rPr>
        <sz val="11"/>
        <color theme="1"/>
        <rFont val="Calibri"/>
        <family val="2"/>
        <scheme val="minor"/>
      </rPr>
      <t>/min</t>
    </r>
  </si>
  <si>
    <r>
      <t>ft</t>
    </r>
    <r>
      <rPr>
        <vertAlign val="superscript"/>
        <sz val="11"/>
        <color theme="1"/>
        <rFont val="Calibri"/>
        <family val="2"/>
        <scheme val="minor"/>
      </rPr>
      <t>3</t>
    </r>
    <r>
      <rPr>
        <sz val="11"/>
        <color theme="1"/>
        <rFont val="Calibri"/>
        <family val="2"/>
        <scheme val="minor"/>
      </rPr>
      <t>/lb</t>
    </r>
  </si>
  <si>
    <r>
      <t>ft</t>
    </r>
    <r>
      <rPr>
        <vertAlign val="superscript"/>
        <sz val="11"/>
        <color theme="1"/>
        <rFont val="Calibri"/>
        <family val="2"/>
        <scheme val="minor"/>
      </rPr>
      <t>3</t>
    </r>
    <r>
      <rPr>
        <sz val="11"/>
        <color theme="1"/>
        <rFont val="Calibri"/>
        <family val="2"/>
        <scheme val="minor"/>
      </rPr>
      <t>/ton</t>
    </r>
  </si>
  <si>
    <r>
      <t>in</t>
    </r>
    <r>
      <rPr>
        <vertAlign val="superscript"/>
        <sz val="11"/>
        <color theme="1"/>
        <rFont val="Calibri"/>
        <family val="2"/>
        <scheme val="minor"/>
      </rPr>
      <t>3</t>
    </r>
    <r>
      <rPr>
        <sz val="11"/>
        <color theme="1"/>
        <rFont val="Calibri"/>
        <family val="2"/>
        <scheme val="minor"/>
      </rPr>
      <t>/lb</t>
    </r>
  </si>
  <si>
    <t>cubito</t>
  </si>
  <si>
    <t>cubitum</t>
  </si>
  <si>
    <t>cubitus</t>
  </si>
  <si>
    <t>cudava</t>
  </si>
  <si>
    <t>cuddy</t>
  </si>
  <si>
    <t>cuerta</t>
  </si>
  <si>
    <t>culeus</t>
  </si>
  <si>
    <t>hogshead</t>
  </si>
  <si>
    <t>culleus</t>
  </si>
  <si>
    <t>cumbha</t>
  </si>
  <si>
    <t>tsouen</t>
  </si>
  <si>
    <t>cun</t>
  </si>
  <si>
    <t>cup</t>
  </si>
  <si>
    <t>cwierc</t>
  </si>
  <si>
    <t>cyanthos</t>
  </si>
  <si>
    <t>cyathus</t>
  </si>
  <si>
    <t>cps, c/s, cy, c</t>
  </si>
  <si>
    <t>dabhach</t>
  </si>
  <si>
    <t>dain</t>
  </si>
  <si>
    <t>dakot</t>
  </si>
  <si>
    <t>daktylos</t>
  </si>
  <si>
    <t>dalton</t>
  </si>
  <si>
    <t>dan</t>
  </si>
  <si>
    <t>shih</t>
  </si>
  <si>
    <t>danar</t>
  </si>
  <si>
    <t>daneq</t>
  </si>
  <si>
    <t>dangkal</t>
  </si>
  <si>
    <t>danoranja</t>
  </si>
  <si>
    <t>mile</t>
  </si>
  <si>
    <t>daribah</t>
  </si>
  <si>
    <t>dartung</t>
  </si>
  <si>
    <t>das</t>
  </si>
  <si>
    <t>daseri</t>
  </si>
  <si>
    <t>dauch</t>
  </si>
  <si>
    <t>davoch</t>
  </si>
  <si>
    <t>deal</t>
  </si>
  <si>
    <t>perch</t>
  </si>
  <si>
    <t>decempeda</t>
  </si>
  <si>
    <t>decitonne</t>
  </si>
  <si>
    <t>deget</t>
  </si>
  <si>
    <t>deisceim</t>
  </si>
  <si>
    <t>dekapous</t>
  </si>
  <si>
    <t>demiard</t>
  </si>
  <si>
    <t>demi-posson</t>
  </si>
  <si>
    <t>demi-setier</t>
  </si>
  <si>
    <t>denarius</t>
  </si>
  <si>
    <t>denaro</t>
  </si>
  <si>
    <t>pfenig</t>
  </si>
  <si>
    <t>denat</t>
  </si>
  <si>
    <t>scruple</t>
  </si>
  <si>
    <t>denke</t>
  </si>
  <si>
    <t>denum</t>
  </si>
  <si>
    <t>derah</t>
  </si>
  <si>
    <t>derime</t>
  </si>
  <si>
    <t>dessatine</t>
  </si>
  <si>
    <t>desyatina</t>
  </si>
  <si>
    <t>deunx</t>
  </si>
  <si>
    <t>dextans</t>
  </si>
  <si>
    <t>dha</t>
  </si>
  <si>
    <t>dhai</t>
  </si>
  <si>
    <t>dhan</t>
  </si>
  <si>
    <t>dhanush</t>
  </si>
  <si>
    <t>dharana</t>
  </si>
  <si>
    <t>dhaser</t>
  </si>
  <si>
    <t>dhurra</t>
  </si>
  <si>
    <t>diamond</t>
  </si>
  <si>
    <t>diaulos</t>
  </si>
  <si>
    <t>dichas</t>
  </si>
  <si>
    <t>dicker</t>
  </si>
  <si>
    <t>diedo</t>
  </si>
  <si>
    <t>digit</t>
  </si>
  <si>
    <t>digitus</t>
  </si>
  <si>
    <t>dihrem</t>
  </si>
  <si>
    <t>dinero</t>
  </si>
  <si>
    <t>diobol</t>
  </si>
  <si>
    <t>dipa</t>
  </si>
  <si>
    <t>dirham</t>
  </si>
  <si>
    <t>dirhem</t>
  </si>
  <si>
    <t>djarib</t>
  </si>
  <si>
    <t>djeril</t>
  </si>
  <si>
    <t>dobson</t>
  </si>
  <si>
    <t>dodrans</t>
  </si>
  <si>
    <t>grain</t>
  </si>
  <si>
    <t>dolichos</t>
  </si>
  <si>
    <t>dolium</t>
  </si>
  <si>
    <t>dolya</t>
  </si>
  <si>
    <t>donum</t>
  </si>
  <si>
    <t>doon</t>
  </si>
  <si>
    <t>doppelzentner</t>
  </si>
  <si>
    <t>doron</t>
  </si>
  <si>
    <t>dou</t>
  </si>
  <si>
    <t>draa</t>
  </si>
  <si>
    <t>drachm</t>
  </si>
  <si>
    <t>drachma</t>
  </si>
  <si>
    <t>drachme</t>
  </si>
  <si>
    <t>dram</t>
  </si>
  <si>
    <t>dramm</t>
  </si>
  <si>
    <t>dramme</t>
  </si>
  <si>
    <t>drap</t>
  </si>
  <si>
    <t>dreiling</t>
  </si>
  <si>
    <t>dreissiger</t>
  </si>
  <si>
    <t>drink</t>
  </si>
  <si>
    <t>droit</t>
  </si>
  <si>
    <t>drop</t>
  </si>
  <si>
    <t>duella</t>
  </si>
  <si>
    <t>duim</t>
  </si>
  <si>
    <t>duime</t>
  </si>
  <si>
    <t>dumpie</t>
  </si>
  <si>
    <t>dung</t>
  </si>
  <si>
    <t>dunum</t>
  </si>
  <si>
    <t>duty</t>
  </si>
  <si>
    <t>dva</t>
  </si>
  <si>
    <t>dyn/cm</t>
  </si>
  <si>
    <t>dyuym</t>
  </si>
  <si>
    <t>eggaba</t>
  </si>
  <si>
    <t>emine</t>
  </si>
  <si>
    <t>emmet</t>
  </si>
  <si>
    <t>encablure</t>
  </si>
  <si>
    <t>endazem</t>
  </si>
  <si>
    <t>endere</t>
  </si>
  <si>
    <t>engel</t>
  </si>
  <si>
    <t>engjateigur</t>
  </si>
  <si>
    <t>entelam</t>
  </si>
  <si>
    <r>
      <t>erg/cm</t>
    </r>
    <r>
      <rPr>
        <vertAlign val="superscript"/>
        <sz val="11"/>
        <color theme="1"/>
        <rFont val="Calibri"/>
        <family val="2"/>
        <scheme val="minor"/>
      </rPr>
      <t>2</t>
    </r>
  </si>
  <si>
    <t>es</t>
  </si>
  <si>
    <t>escrupolo</t>
  </si>
  <si>
    <t>escrupulo</t>
  </si>
  <si>
    <t>estadal</t>
  </si>
  <si>
    <t>estadio</t>
  </si>
  <si>
    <t>estado</t>
  </si>
  <si>
    <t>etzba</t>
  </si>
  <si>
    <t>faah</t>
  </si>
  <si>
    <t>faggot</t>
  </si>
  <si>
    <t>falce</t>
  </si>
  <si>
    <t>fall</t>
  </si>
  <si>
    <t>fally</t>
  </si>
  <si>
    <t>fanen</t>
  </si>
  <si>
    <t>famn</t>
  </si>
  <si>
    <t>fan</t>
  </si>
  <si>
    <t>fan1</t>
  </si>
  <si>
    <t>fang</t>
  </si>
  <si>
    <t>faomur</t>
  </si>
  <si>
    <t>farcella</t>
  </si>
  <si>
    <t>farsang</t>
  </si>
  <si>
    <t>farzil</t>
  </si>
  <si>
    <t>fass</t>
  </si>
  <si>
    <t>favn</t>
  </si>
  <si>
    <t>faw</t>
  </si>
  <si>
    <t>fen</t>
  </si>
  <si>
    <t>feralin</t>
  </si>
  <si>
    <t>feredela</t>
  </si>
  <si>
    <t>ferfet</t>
  </si>
  <si>
    <t>ferk</t>
  </si>
  <si>
    <t>fermila</t>
  </si>
  <si>
    <t>ferpumlungur</t>
  </si>
  <si>
    <t>ferrado</t>
  </si>
  <si>
    <t>fersah</t>
  </si>
  <si>
    <t>fertach</t>
  </si>
  <si>
    <t>fierding</t>
  </si>
  <si>
    <t>fifth</t>
  </si>
  <si>
    <t>fingerbredd</t>
  </si>
  <si>
    <t>fir</t>
  </si>
  <si>
    <t>fisk</t>
  </si>
  <si>
    <t>fitel</t>
  </si>
  <si>
    <t>fjarding</t>
  </si>
  <si>
    <t>fjardingsland</t>
  </si>
  <si>
    <t>fjerding</t>
  </si>
  <si>
    <t>fjerdingar</t>
  </si>
  <si>
    <t>fjerdingsvei</t>
  </si>
  <si>
    <t>flagon</t>
  </si>
  <si>
    <t>flask</t>
  </si>
  <si>
    <t>flock</t>
  </si>
  <si>
    <t>ft/min, fpm</t>
  </si>
  <si>
    <t>forrach</t>
  </si>
  <si>
    <t>fortnight</t>
  </si>
  <si>
    <t>fother</t>
  </si>
  <si>
    <t>fothers</t>
  </si>
  <si>
    <t>fotmal</t>
  </si>
  <si>
    <t>frail</t>
  </si>
  <si>
    <t>frasla</t>
  </si>
  <si>
    <t>fuang</t>
  </si>
  <si>
    <t>fuder</t>
  </si>
  <si>
    <t>funal</t>
  </si>
  <si>
    <t>funie</t>
  </si>
  <si>
    <t>furlong</t>
  </si>
  <si>
    <t>fut</t>
  </si>
  <si>
    <t>futtermassel</t>
  </si>
  <si>
    <t>gal/ft</t>
  </si>
  <si>
    <t>gph</t>
  </si>
  <si>
    <t>gal/mi</t>
  </si>
  <si>
    <t>gpm</t>
  </si>
  <si>
    <t>gps</t>
  </si>
  <si>
    <t>gan</t>
  </si>
  <si>
    <t>gammell</t>
  </si>
  <si>
    <t>ganta</t>
  </si>
  <si>
    <t>garava</t>
  </si>
  <si>
    <t>garce</t>
  </si>
  <si>
    <t>den</t>
  </si>
  <si>
    <t>gariba</t>
  </si>
  <si>
    <t>garnets</t>
  </si>
  <si>
    <t>garniec</t>
  </si>
  <si>
    <t>garra</t>
  </si>
  <si>
    <t>gasab</t>
  </si>
  <si>
    <t>gat</t>
  </si>
  <si>
    <t>gatang</t>
  </si>
  <si>
    <t>gauge</t>
  </si>
  <si>
    <t>ga-wout</t>
  </si>
  <si>
    <t>ge</t>
  </si>
  <si>
    <t>geepound</t>
  </si>
  <si>
    <t>geira</t>
  </si>
  <si>
    <t>obol</t>
  </si>
  <si>
    <t>gerah</t>
  </si>
  <si>
    <t>gerbe</t>
  </si>
  <si>
    <t>gesseylyeu</t>
  </si>
  <si>
    <t>gez</t>
  </si>
  <si>
    <t>ghabara</t>
  </si>
  <si>
    <t>ghalva</t>
  </si>
  <si>
    <t>stadion</t>
  </si>
  <si>
    <t>ghalwah</t>
  </si>
  <si>
    <t>ghe</t>
  </si>
  <si>
    <t>ghebeta</t>
  </si>
  <si>
    <t>gia</t>
  </si>
  <si>
    <t>giarra</t>
  </si>
  <si>
    <t>gill</t>
  </si>
  <si>
    <t>gi</t>
  </si>
  <si>
    <t>gireh</t>
  </si>
  <si>
    <t>gisla</t>
  </si>
  <si>
    <t>giumatate</t>
  </si>
  <si>
    <t>go</t>
  </si>
  <si>
    <t>goad</t>
  </si>
  <si>
    <t>gomari</t>
  </si>
  <si>
    <t>gomor</t>
  </si>
  <si>
    <t>gon</t>
  </si>
  <si>
    <t>gorraf</t>
  </si>
  <si>
    <t>grade</t>
  </si>
  <si>
    <t>gradus</t>
  </si>
  <si>
    <t>gran</t>
  </si>
  <si>
    <t>grani</t>
  </si>
  <si>
    <t>grano</t>
  </si>
  <si>
    <t>granos</t>
  </si>
  <si>
    <t>grao</t>
  </si>
  <si>
    <t>grein</t>
  </si>
  <si>
    <t>groatland</t>
  </si>
  <si>
    <t>guerze</t>
  </si>
  <si>
    <t>guhit</t>
  </si>
  <si>
    <t>gur</t>
  </si>
  <si>
    <t>guz</t>
  </si>
  <si>
    <t>G-value</t>
  </si>
  <si>
    <t>gwialen</t>
  </si>
  <si>
    <t>gwyalen</t>
  </si>
  <si>
    <t>gyral</t>
  </si>
  <si>
    <t>habbah</t>
  </si>
  <si>
    <t>halbe</t>
  </si>
  <si>
    <t>halbnoseln</t>
  </si>
  <si>
    <t>half-anker</t>
  </si>
  <si>
    <t>half-aum</t>
  </si>
  <si>
    <t>half-legger</t>
  </si>
  <si>
    <t>half-pipe</t>
  </si>
  <si>
    <t>halvspanna</t>
  </si>
  <si>
    <t>hamma</t>
  </si>
  <si>
    <t>hand</t>
  </si>
  <si>
    <t>handaze</t>
  </si>
  <si>
    <t>hap</t>
  </si>
  <si>
    <t>hara</t>
  </si>
  <si>
    <t>hartree</t>
  </si>
  <si>
    <t>hasch</t>
  </si>
  <si>
    <t>hasit</t>
  </si>
  <si>
    <t>hat</t>
  </si>
  <si>
    <t>hatt</t>
  </si>
  <si>
    <t>nest</t>
  </si>
  <si>
    <t>head</t>
  </si>
  <si>
    <t>hecatomb</t>
  </si>
  <si>
    <t>hecte</t>
  </si>
  <si>
    <t>hekatomb</t>
  </si>
  <si>
    <t>hektar</t>
  </si>
  <si>
    <t>hekteus</t>
  </si>
  <si>
    <t>hektos</t>
  </si>
  <si>
    <t>helm</t>
  </si>
  <si>
    <t>hemikotyle</t>
  </si>
  <si>
    <t>hemiekton</t>
  </si>
  <si>
    <t>hemina</t>
  </si>
  <si>
    <t>hemipodion</t>
  </si>
  <si>
    <t>H/m</t>
  </si>
  <si>
    <t>heredium</t>
  </si>
  <si>
    <t>hewstawr</t>
  </si>
  <si>
    <t>hexapodes</t>
  </si>
  <si>
    <t>hide</t>
  </si>
  <si>
    <t>hiep</t>
  </si>
  <si>
    <t>hin</t>
  </si>
  <si>
    <t>hippikon</t>
  </si>
  <si>
    <t>hiro</t>
  </si>
  <si>
    <t>hkwe</t>
  </si>
  <si>
    <t>hnan</t>
  </si>
  <si>
    <t>hoc</t>
  </si>
  <si>
    <t>hoe</t>
  </si>
  <si>
    <t>hoen</t>
  </si>
  <si>
    <t>homer</t>
  </si>
  <si>
    <t>hold</t>
  </si>
  <si>
    <t>homestead</t>
  </si>
  <si>
    <t>hont</t>
  </si>
  <si>
    <t>hot</t>
  </si>
  <si>
    <t>hou</t>
  </si>
  <si>
    <t>hu</t>
  </si>
  <si>
    <t>hun</t>
  </si>
  <si>
    <t>cwt</t>
  </si>
  <si>
    <t>hundredweight</t>
  </si>
  <si>
    <t>huvelyk</t>
  </si>
  <si>
    <t>hyakume</t>
  </si>
  <si>
    <t>hyl</t>
  </si>
  <si>
    <t>hyryeu</t>
  </si>
  <si>
    <t>immi</t>
  </si>
  <si>
    <t>itcze</t>
  </si>
  <si>
    <t>jabia</t>
  </si>
  <si>
    <t>iron</t>
  </si>
  <si>
    <t>jaktan</t>
  </si>
  <si>
    <t>jacktan</t>
  </si>
  <si>
    <t>jeroboam</t>
  </si>
  <si>
    <t>jigger</t>
  </si>
  <si>
    <t>tchin</t>
  </si>
  <si>
    <t>jitro</t>
  </si>
  <si>
    <t>jo</t>
  </si>
  <si>
    <r>
      <t>J/m</t>
    </r>
    <r>
      <rPr>
        <vertAlign val="superscript"/>
        <sz val="11"/>
        <color theme="1"/>
        <rFont val="Calibri"/>
        <family val="2"/>
        <scheme val="minor"/>
      </rPr>
      <t>3</t>
    </r>
  </si>
  <si>
    <r>
      <t>J/m</t>
    </r>
    <r>
      <rPr>
        <vertAlign val="superscript"/>
        <sz val="11"/>
        <color theme="1"/>
        <rFont val="Calibri"/>
        <family val="2"/>
        <scheme val="minor"/>
      </rPr>
      <t>2</t>
    </r>
  </si>
  <si>
    <t>journal</t>
  </si>
  <si>
    <t>jug(old)</t>
  </si>
  <si>
    <t>jugerum</t>
  </si>
  <si>
    <t>jumpru</t>
  </si>
  <si>
    <t>jun</t>
  </si>
  <si>
    <t>jungfrur</t>
  </si>
  <si>
    <t>junkfra</t>
  </si>
  <si>
    <t>kab</t>
  </si>
  <si>
    <t>kabellengde</t>
  </si>
  <si>
    <t>kabi</t>
  </si>
  <si>
    <t>kabiet</t>
  </si>
  <si>
    <t>kadam</t>
  </si>
  <si>
    <t>kadem</t>
  </si>
  <si>
    <t>kaffekok</t>
  </si>
  <si>
    <t>kagitna</t>
  </si>
  <si>
    <t>kalamos</t>
  </si>
  <si>
    <t>kamian</t>
  </si>
  <si>
    <t>kanahm</t>
  </si>
  <si>
    <t>kancha</t>
  </si>
  <si>
    <t>kande</t>
  </si>
  <si>
    <t>kanme</t>
  </si>
  <si>
    <t>kannen</t>
  </si>
  <si>
    <t>kannaland</t>
  </si>
  <si>
    <t>kannor</t>
  </si>
  <si>
    <t>kannu</t>
  </si>
  <si>
    <t>kantang</t>
  </si>
  <si>
    <t>kantar</t>
  </si>
  <si>
    <t>kappa</t>
  </si>
  <si>
    <t>kapanala</t>
  </si>
  <si>
    <t>kappar</t>
  </si>
  <si>
    <t>kappland</t>
  </si>
  <si>
    <t>karat</t>
  </si>
  <si>
    <t>karch</t>
  </si>
  <si>
    <t>kartocc</t>
  </si>
  <si>
    <t>kartos</t>
  </si>
  <si>
    <t>kasm</t>
  </si>
  <si>
    <t>kassabah</t>
  </si>
  <si>
    <t>kawtha</t>
  </si>
  <si>
    <t>lea</t>
  </si>
  <si>
    <t>kedet</t>
  </si>
  <si>
    <t>keel</t>
  </si>
  <si>
    <t>keg</t>
  </si>
  <si>
    <t>keila</t>
  </si>
  <si>
    <t>kejla</t>
  </si>
  <si>
    <t>kele</t>
  </si>
  <si>
    <t>kella</t>
  </si>
  <si>
    <t>ken</t>
  </si>
  <si>
    <t>keramion</t>
  </si>
  <si>
    <t>kerrab</t>
  </si>
  <si>
    <t>kettoslepes</t>
  </si>
  <si>
    <t>keup</t>
  </si>
  <si>
    <t>kezayit</t>
  </si>
  <si>
    <t>khahoon</t>
  </si>
  <si>
    <t>khanoubah</t>
  </si>
  <si>
    <t>kharouba</t>
  </si>
  <si>
    <t>kharsha</t>
  </si>
  <si>
    <t>khau</t>
  </si>
  <si>
    <t>kho</t>
  </si>
  <si>
    <t>khoonke</t>
  </si>
  <si>
    <t>khuep</t>
  </si>
  <si>
    <t>kikkar</t>
  </si>
  <si>
    <t>kilan</t>
  </si>
  <si>
    <t>kilderkin</t>
  </si>
  <si>
    <t>kile</t>
  </si>
  <si>
    <r>
      <t>kg/cm</t>
    </r>
    <r>
      <rPr>
        <vertAlign val="superscript"/>
        <sz val="11"/>
        <color theme="1"/>
        <rFont val="Calibri"/>
        <family val="2"/>
        <scheme val="minor"/>
      </rPr>
      <t>2</t>
    </r>
  </si>
  <si>
    <r>
      <t>kgf/m</t>
    </r>
    <r>
      <rPr>
        <vertAlign val="superscript"/>
        <sz val="11"/>
        <color theme="1"/>
        <rFont val="Calibri"/>
        <family val="2"/>
        <scheme val="minor"/>
      </rPr>
      <t>2</t>
    </r>
  </si>
  <si>
    <r>
      <t>kgf/dm</t>
    </r>
    <r>
      <rPr>
        <vertAlign val="superscript"/>
        <sz val="11"/>
        <color theme="1"/>
        <rFont val="Calibri"/>
        <family val="2"/>
        <scheme val="minor"/>
      </rPr>
      <t>2</t>
    </r>
  </si>
  <si>
    <r>
      <t>kgf/mm</t>
    </r>
    <r>
      <rPr>
        <vertAlign val="superscript"/>
        <sz val="11"/>
        <color theme="1"/>
        <rFont val="Calibri"/>
        <family val="2"/>
        <scheme val="minor"/>
      </rPr>
      <t>2</t>
    </r>
  </si>
  <si>
    <t>kin</t>
  </si>
  <si>
    <t>king</t>
  </si>
  <si>
    <t>kintal</t>
  </si>
  <si>
    <t>kilopound</t>
  </si>
  <si>
    <t>kippunta</t>
  </si>
  <si>
    <t>kirab</t>
  </si>
  <si>
    <t>kirat</t>
  </si>
  <si>
    <t>kish</t>
  </si>
  <si>
    <t>kist</t>
  </si>
  <si>
    <t>kit</t>
  </si>
  <si>
    <t>kiyak-kin</t>
  </si>
  <si>
    <t>klam</t>
  </si>
  <si>
    <t>klom</t>
  </si>
  <si>
    <t>kochliarion</t>
  </si>
  <si>
    <t>koelak</t>
  </si>
  <si>
    <t>kojang</t>
  </si>
  <si>
    <t>kollast</t>
  </si>
  <si>
    <t>kolleh</t>
  </si>
  <si>
    <t>koltunna</t>
  </si>
  <si>
    <t>kolve</t>
  </si>
  <si>
    <t>komma-ichi-da</t>
  </si>
  <si>
    <t>kommerzlast</t>
  </si>
  <si>
    <t>kona</t>
  </si>
  <si>
    <t>konche</t>
  </si>
  <si>
    <t>kondylos</t>
  </si>
  <si>
    <t>kop</t>
  </si>
  <si>
    <t>kor</t>
  </si>
  <si>
    <t>korec</t>
  </si>
  <si>
    <t>kortteli</t>
  </si>
  <si>
    <t>korn</t>
  </si>
  <si>
    <t>kornskeppa</t>
  </si>
  <si>
    <t>korntunna</t>
  </si>
  <si>
    <t>korzec</t>
  </si>
  <si>
    <t>kosushka</t>
  </si>
  <si>
    <t>kotyle</t>
  </si>
  <si>
    <t>kouza</t>
  </si>
  <si>
    <t>koyan</t>
  </si>
  <si>
    <t>krabiat</t>
  </si>
  <si>
    <t>krina</t>
  </si>
  <si>
    <t>krouchka</t>
  </si>
  <si>
    <t>krushky</t>
  </si>
  <si>
    <t>kruzhka</t>
  </si>
  <si>
    <t>kuba</t>
  </si>
  <si>
    <t>kubikfamn</t>
  </si>
  <si>
    <t>kula</t>
  </si>
  <si>
    <t>kulac</t>
  </si>
  <si>
    <t>kulack</t>
  </si>
  <si>
    <t>kung</t>
  </si>
  <si>
    <t>kunk</t>
  </si>
  <si>
    <t>kurot</t>
  </si>
  <si>
    <t>kvadratmil</t>
  </si>
  <si>
    <t>kvadrattum</t>
  </si>
  <si>
    <t>kvardratfot</t>
  </si>
  <si>
    <t>kvater</t>
  </si>
  <si>
    <t>kvarter</t>
  </si>
  <si>
    <t>quarter</t>
  </si>
  <si>
    <t>kvartmil</t>
  </si>
  <si>
    <t>kvat</t>
  </si>
  <si>
    <t>kvintiini</t>
  </si>
  <si>
    <t>kwai</t>
  </si>
  <si>
    <t>kwart</t>
  </si>
  <si>
    <t>kwarterka</t>
  </si>
  <si>
    <t>kwartin</t>
  </si>
  <si>
    <t>kwian</t>
  </si>
  <si>
    <t>kwien</t>
  </si>
  <si>
    <t>kyathos</t>
  </si>
  <si>
    <t>kyattha</t>
  </si>
  <si>
    <t>kyndemil</t>
  </si>
  <si>
    <t>kyo</t>
  </si>
  <si>
    <t>kyynara</t>
  </si>
  <si>
    <t>laang</t>
  </si>
  <si>
    <t>lab</t>
  </si>
  <si>
    <t>labor</t>
  </si>
  <si>
    <t>labour</t>
  </si>
  <si>
    <t>lachsa</t>
  </si>
  <si>
    <t>lachter</t>
  </si>
  <si>
    <t>ladon</t>
  </si>
  <si>
    <t>lakh</t>
  </si>
  <si>
    <t>lamany</t>
  </si>
  <si>
    <t>lan</t>
  </si>
  <si>
    <t>lana</t>
  </si>
  <si>
    <t>lanatz</t>
  </si>
  <si>
    <t>lang</t>
  </si>
  <si>
    <t>lap</t>
  </si>
  <si>
    <t>las</t>
  </si>
  <si>
    <t>last</t>
  </si>
  <si>
    <t>lasti</t>
  </si>
  <si>
    <t>lastre</t>
  </si>
  <si>
    <t>latte</t>
  </si>
  <si>
    <t>laup</t>
  </si>
  <si>
    <t>le</t>
  </si>
  <si>
    <t>league</t>
  </si>
  <si>
    <t>leag</t>
  </si>
  <si>
    <t>leap</t>
  </si>
  <si>
    <t>legana</t>
  </si>
  <si>
    <t>legger</t>
  </si>
  <si>
    <t>leghe</t>
  </si>
  <si>
    <t>legoa</t>
  </si>
  <si>
    <t>legua</t>
  </si>
  <si>
    <t>leiviska</t>
  </si>
  <si>
    <t>lehen</t>
  </si>
  <si>
    <t>lepes</t>
  </si>
  <si>
    <t>letech</t>
  </si>
  <si>
    <t>lethek</t>
  </si>
  <si>
    <t>leuca</t>
  </si>
  <si>
    <t>leuga</t>
  </si>
  <si>
    <t>leung</t>
  </si>
  <si>
    <t>li</t>
  </si>
  <si>
    <t>liang</t>
  </si>
  <si>
    <t>lichas</t>
  </si>
  <si>
    <t>liespfund</t>
  </si>
  <si>
    <t>liespund</t>
  </si>
  <si>
    <t>lieue</t>
  </si>
  <si>
    <t>lifio</t>
  </si>
  <si>
    <t>ligula</t>
  </si>
  <si>
    <t>lin</t>
  </si>
  <si>
    <t>lina</t>
  </si>
  <si>
    <t>linea</t>
  </si>
  <si>
    <t>linen</t>
  </si>
  <si>
    <t>linha</t>
  </si>
  <si>
    <t>linia</t>
  </si>
  <si>
    <t>linie</t>
  </si>
  <si>
    <t>liniya</t>
  </si>
  <si>
    <t>linje</t>
  </si>
  <si>
    <t>linja</t>
  </si>
  <si>
    <t>link</t>
  </si>
  <si>
    <t>lispund</t>
  </si>
  <si>
    <t>l/kg</t>
  </si>
  <si>
    <t>l/min</t>
  </si>
  <si>
    <t>liter</t>
  </si>
  <si>
    <t>meter</t>
  </si>
  <si>
    <t>load</t>
  </si>
  <si>
    <t>loan</t>
  </si>
  <si>
    <t>lod</t>
  </si>
  <si>
    <t>lof</t>
  </si>
  <si>
    <t>log</t>
  </si>
  <si>
    <t>lokot</t>
  </si>
  <si>
    <t>loof</t>
  </si>
  <si>
    <t>loofstelle</t>
  </si>
  <si>
    <t>loot</t>
  </si>
  <si>
    <t>lot</t>
  </si>
  <si>
    <t>loth</t>
  </si>
  <si>
    <t>lugar</t>
  </si>
  <si>
    <t>lumberg</t>
  </si>
  <si>
    <t>lumin</t>
  </si>
  <si>
    <t>luong</t>
  </si>
  <si>
    <t>luoti</t>
  </si>
  <si>
    <t>lut</t>
  </si>
  <si>
    <t>ly</t>
  </si>
  <si>
    <t>lyi</t>
  </si>
  <si>
    <t>ma</t>
  </si>
  <si>
    <t>mine</t>
  </si>
  <si>
    <t>maan</t>
  </si>
  <si>
    <t>mace</t>
  </si>
  <si>
    <t>maik</t>
  </si>
  <si>
    <t>makhod</t>
  </si>
  <si>
    <t>makuk</t>
  </si>
  <si>
    <t>maloua</t>
  </si>
  <si>
    <t>malter</t>
  </si>
  <si>
    <t>man</t>
  </si>
  <si>
    <t>mancus</t>
  </si>
  <si>
    <t>mangok</t>
  </si>
  <si>
    <t>manpower</t>
  </si>
  <si>
    <t>stathmos</t>
  </si>
  <si>
    <t>mansion</t>
  </si>
  <si>
    <t>mao</t>
  </si>
  <si>
    <t>mapte</t>
  </si>
  <si>
    <t>marathon</t>
  </si>
  <si>
    <t>marc</t>
  </si>
  <si>
    <t>marco</t>
  </si>
  <si>
    <t>marg-fhearann</t>
  </si>
  <si>
    <t>marhala</t>
  </si>
  <si>
    <t>marhalah</t>
  </si>
  <si>
    <t>maris</t>
  </si>
  <si>
    <t>mark</t>
  </si>
  <si>
    <t>markka</t>
  </si>
  <si>
    <t>markland</t>
  </si>
  <si>
    <t>marok</t>
  </si>
  <si>
    <t>marta</t>
  </si>
  <si>
    <t>maru</t>
  </si>
  <si>
    <t>masha</t>
  </si>
  <si>
    <t>massel</t>
  </si>
  <si>
    <t>mast</t>
  </si>
  <si>
    <t>mat</t>
  </si>
  <si>
    <t>methuselah</t>
  </si>
  <si>
    <t>mathusalem</t>
  </si>
  <si>
    <t>mattaro</t>
  </si>
  <si>
    <t>mattha</t>
  </si>
  <si>
    <t>mau</t>
  </si>
  <si>
    <t>mease</t>
  </si>
  <si>
    <t>mecate</t>
  </si>
  <si>
    <t>mecdema</t>
  </si>
  <si>
    <t>mediatabla</t>
  </si>
  <si>
    <t>medimno</t>
  </si>
  <si>
    <t>medimnos</t>
  </si>
  <si>
    <t>medio</t>
  </si>
  <si>
    <t>mehah</t>
  </si>
  <si>
    <t>meile</t>
  </si>
  <si>
    <t>meio</t>
  </si>
  <si>
    <t>menzil</t>
  </si>
  <si>
    <t>merhale</t>
  </si>
  <si>
    <t>merker</t>
  </si>
  <si>
    <t>merkland</t>
  </si>
  <si>
    <t>merfold</t>
  </si>
  <si>
    <t>mertfold</t>
  </si>
  <si>
    <t>metairee</t>
  </si>
  <si>
    <t>metecali</t>
  </si>
  <si>
    <t>metsquat</t>
  </si>
  <si>
    <t>metical</t>
  </si>
  <si>
    <t>metial</t>
  </si>
  <si>
    <t>metter</t>
  </si>
  <si>
    <t>microbar</t>
  </si>
  <si>
    <t>microgamma</t>
  </si>
  <si>
    <t>microliter</t>
  </si>
  <si>
    <t>micromicron</t>
  </si>
  <si>
    <t>mieng</t>
  </si>
  <si>
    <t>miglio</t>
  </si>
  <si>
    <t>mignonette</t>
  </si>
  <si>
    <t>miil</t>
  </si>
  <si>
    <t>mijl</t>
  </si>
  <si>
    <t>milangle</t>
  </si>
  <si>
    <t>milha</t>
  </si>
  <si>
    <t>miliaresium</t>
  </si>
  <si>
    <t>milion</t>
  </si>
  <si>
    <t>milla</t>
  </si>
  <si>
    <t>mille</t>
  </si>
  <si>
    <t>millerole</t>
  </si>
  <si>
    <t>milliarum</t>
  </si>
  <si>
    <r>
      <t>mA/cm</t>
    </r>
    <r>
      <rPr>
        <vertAlign val="superscript"/>
        <sz val="11"/>
        <color theme="1"/>
        <rFont val="Calibri"/>
        <family val="2"/>
        <scheme val="minor"/>
      </rPr>
      <t>2</t>
    </r>
  </si>
  <si>
    <t>millieme</t>
  </si>
  <si>
    <t>milligarnma</t>
  </si>
  <si>
    <t>millimicron</t>
  </si>
  <si>
    <t>milltir</t>
  </si>
  <si>
    <t>milya</t>
  </si>
  <si>
    <t>mimtscha</t>
  </si>
  <si>
    <t>mina</t>
  </si>
  <si>
    <t>mingel</t>
  </si>
  <si>
    <t>minim</t>
  </si>
  <si>
    <t>mira</t>
  </si>
  <si>
    <t>mirze</t>
  </si>
  <si>
    <t>miskal</t>
  </si>
  <si>
    <t>misura</t>
  </si>
  <si>
    <t>mitcal</t>
  </si>
  <si>
    <t>mite</t>
  </si>
  <si>
    <t>mitre</t>
  </si>
  <si>
    <t>mkono</t>
  </si>
  <si>
    <t>mo</t>
  </si>
  <si>
    <t>mocha</t>
  </si>
  <si>
    <t>modd</t>
  </si>
  <si>
    <t>modfedd</t>
  </si>
  <si>
    <t>muid</t>
  </si>
  <si>
    <t>moduet</t>
  </si>
  <si>
    <t>moio</t>
  </si>
  <si>
    <t>moo</t>
  </si>
  <si>
    <t>motyka</t>
  </si>
  <si>
    <t>mu</t>
  </si>
  <si>
    <t>mudd</t>
  </si>
  <si>
    <t>musec</t>
  </si>
  <si>
    <t>mussa</t>
  </si>
  <si>
    <t>musti</t>
  </si>
  <si>
    <t>mutagalla</t>
  </si>
  <si>
    <t>mutchkin</t>
  </si>
  <si>
    <t>muth</t>
  </si>
  <si>
    <t>mutha</t>
  </si>
  <si>
    <t>mulhmassel</t>
  </si>
  <si>
    <t>mutsje</t>
  </si>
  <si>
    <t>muyaw</t>
  </si>
  <si>
    <t>mylltyr</t>
  </si>
  <si>
    <t>mystron</t>
  </si>
  <si>
    <t>nabuchadnezzar</t>
  </si>
  <si>
    <t>nabuchodonosor</t>
  </si>
  <si>
    <t>naid</t>
  </si>
  <si>
    <t>nail</t>
  </si>
  <si>
    <t>nanon</t>
  </si>
  <si>
    <t>nasch</t>
  </si>
  <si>
    <t>nelikko</t>
  </si>
  <si>
    <t>nen</t>
  </si>
  <si>
    <t>neter</t>
  </si>
  <si>
    <t>neu</t>
  </si>
  <si>
    <t>nevat</t>
  </si>
  <si>
    <t>N/m</t>
  </si>
  <si>
    <r>
      <t>N/m</t>
    </r>
    <r>
      <rPr>
        <vertAlign val="superscript"/>
        <sz val="11"/>
        <color theme="1"/>
        <rFont val="Calibri"/>
        <family val="2"/>
        <scheme val="minor"/>
      </rPr>
      <t>2</t>
    </r>
  </si>
  <si>
    <t>neyt</t>
  </si>
  <si>
    <t>ngan</t>
  </si>
  <si>
    <t>nham</t>
  </si>
  <si>
    <t>nhon</t>
  </si>
  <si>
    <t>nilve</t>
  </si>
  <si>
    <t>nio</t>
  </si>
  <si>
    <t>niou</t>
  </si>
  <si>
    <t>nisoku-ichi-nin</t>
  </si>
  <si>
    <t>nockat</t>
  </si>
  <si>
    <t>niyo</t>
  </si>
  <si>
    <t>nofs</t>
  </si>
  <si>
    <t>noggin</t>
  </si>
  <si>
    <t>nogg</t>
  </si>
  <si>
    <t>nook</t>
  </si>
  <si>
    <t>nosel</t>
  </si>
  <si>
    <t>nokta</t>
  </si>
  <si>
    <t>nufsorba</t>
  </si>
  <si>
    <t>nul</t>
  </si>
  <si>
    <t>nybble</t>
  </si>
  <si>
    <t>nylast</t>
  </si>
  <si>
    <t>nymil</t>
  </si>
  <si>
    <t>o</t>
  </si>
  <si>
    <t>o'clock</t>
  </si>
  <si>
    <t>obolus</t>
  </si>
  <si>
    <t>ochava</t>
  </si>
  <si>
    <t>ochavillo</t>
  </si>
  <si>
    <t>oeque</t>
  </si>
  <si>
    <t>octava</t>
  </si>
  <si>
    <t>octavillos</t>
  </si>
  <si>
    <t>oeuvree</t>
  </si>
  <si>
    <t>offa</t>
  </si>
  <si>
    <t>oilmedach</t>
  </si>
  <si>
    <t>oitava</t>
  </si>
  <si>
    <t>okka</t>
  </si>
  <si>
    <t>okia</t>
  </si>
  <si>
    <t>okieh</t>
  </si>
  <si>
    <t>ol</t>
  </si>
  <si>
    <t>olderb</t>
  </si>
  <si>
    <t>oltunna</t>
  </si>
  <si>
    <t>omer</t>
  </si>
  <si>
    <t>onca</t>
  </si>
  <si>
    <t>once</t>
  </si>
  <si>
    <t>oncia</t>
  </si>
  <si>
    <t>oneia</t>
  </si>
  <si>
    <t>ons</t>
  </si>
  <si>
    <t>onza</t>
  </si>
  <si>
    <t>ordlach</t>
  </si>
  <si>
    <t>orguia</t>
  </si>
  <si>
    <t>orgye</t>
  </si>
  <si>
    <t>orgyia</t>
  </si>
  <si>
    <t>orgyla</t>
  </si>
  <si>
    <t>ort</t>
  </si>
  <si>
    <t>orthodoron</t>
  </si>
  <si>
    <t>osmina</t>
  </si>
  <si>
    <t>osmini</t>
  </si>
  <si>
    <t>ottav</t>
  </si>
  <si>
    <t>ottavo</t>
  </si>
  <si>
    <t>ottingar</t>
  </si>
  <si>
    <t>ottingkar</t>
  </si>
  <si>
    <t>oukia</t>
  </si>
  <si>
    <r>
      <t>ozf/in</t>
    </r>
    <r>
      <rPr>
        <vertAlign val="superscript"/>
        <sz val="11"/>
        <color theme="1"/>
        <rFont val="Calibri"/>
        <family val="2"/>
        <scheme val="minor"/>
      </rPr>
      <t>2</t>
    </r>
    <r>
      <rPr>
        <sz val="11"/>
        <color theme="1"/>
        <rFont val="Calibri"/>
        <family val="2"/>
        <scheme val="minor"/>
      </rPr>
      <t>, osi, OSI</t>
    </r>
  </si>
  <si>
    <t>ozf</t>
  </si>
  <si>
    <t>ounceland</t>
  </si>
  <si>
    <t>outava</t>
  </si>
  <si>
    <t>outen</t>
  </si>
  <si>
    <t>out-thaba</t>
  </si>
  <si>
    <t>oxgang</t>
  </si>
  <si>
    <t>oxhoft</t>
  </si>
  <si>
    <t>oxhoofd</t>
  </si>
  <si>
    <t>oxhooft</t>
  </si>
  <si>
    <t>oxybaphon</t>
  </si>
  <si>
    <t>oxybathon</t>
  </si>
  <si>
    <t>packen</t>
  </si>
  <si>
    <t>paegel</t>
  </si>
  <si>
    <t>pai</t>
  </si>
  <si>
    <t>pair</t>
  </si>
  <si>
    <t>paivamatka</t>
  </si>
  <si>
    <t>palaiste</t>
  </si>
  <si>
    <t>palaz</t>
  </si>
  <si>
    <t>palestra</t>
  </si>
  <si>
    <t>paletz</t>
  </si>
  <si>
    <t>palgat</t>
  </si>
  <si>
    <t>pally</t>
  </si>
  <si>
    <t>palmac</t>
  </si>
  <si>
    <t>palme</t>
  </si>
  <si>
    <t>palmipes</t>
  </si>
  <si>
    <t>palmo</t>
  </si>
  <si>
    <t>palmos</t>
  </si>
  <si>
    <t>palmus</t>
  </si>
  <si>
    <t>pan</t>
  </si>
  <si>
    <t>panal</t>
  </si>
  <si>
    <t>panch</t>
  </si>
  <si>
    <t>panilla</t>
  </si>
  <si>
    <t>palyw</t>
  </si>
  <si>
    <t>panka</t>
  </si>
  <si>
    <t>panni</t>
  </si>
  <si>
    <t>panninala</t>
  </si>
  <si>
    <t>parasa</t>
  </si>
  <si>
    <t>parasang</t>
  </si>
  <si>
    <t>parasange</t>
  </si>
  <si>
    <t>parmack</t>
  </si>
  <si>
    <t>parrah</t>
  </si>
  <si>
    <t>parto</t>
  </si>
  <si>
    <t>paseri</t>
  </si>
  <si>
    <t>paso</t>
  </si>
  <si>
    <t>passo</t>
  </si>
  <si>
    <t>passus</t>
  </si>
  <si>
    <t>payok</t>
  </si>
  <si>
    <t>pav</t>
  </si>
  <si>
    <t>pechus</t>
  </si>
  <si>
    <t>pechya</t>
  </si>
  <si>
    <t>pechys</t>
  </si>
  <si>
    <t>peck</t>
  </si>
  <si>
    <t>pecul</t>
  </si>
  <si>
    <t>peighinn</t>
  </si>
  <si>
    <t>peittha</t>
  </si>
  <si>
    <t>penge</t>
  </si>
  <si>
    <t>pennyland</t>
  </si>
  <si>
    <t>PA, pa</t>
  </si>
  <si>
    <t>PD, pd</t>
  </si>
  <si>
    <t>pes</t>
  </si>
  <si>
    <t>pesi</t>
  </si>
  <si>
    <t>pesiah</t>
  </si>
  <si>
    <t>petha</t>
  </si>
  <si>
    <t>pezata</t>
  </si>
  <si>
    <t>pfennig</t>
  </si>
  <si>
    <t>pipe</t>
  </si>
  <si>
    <t>pliff</t>
  </si>
  <si>
    <t>pflug</t>
  </si>
  <si>
    <t>phan</t>
  </si>
  <si>
    <t>phuong</t>
  </si>
  <si>
    <t>phyeam</t>
  </si>
  <si>
    <t>pica</t>
  </si>
  <si>
    <t>picior</t>
  </si>
  <si>
    <t>piede</t>
  </si>
  <si>
    <t>pieze</t>
  </si>
  <si>
    <t>pigon</t>
  </si>
  <si>
    <t>pick</t>
  </si>
  <si>
    <t>pikol</t>
  </si>
  <si>
    <t>pin</t>
  </si>
  <si>
    <t>pinar</t>
  </si>
  <si>
    <t>pince</t>
  </si>
  <si>
    <t>pinch</t>
  </si>
  <si>
    <t>ping</t>
  </si>
  <si>
    <t>pinginn</t>
  </si>
  <si>
    <t>pingmannaleio</t>
  </si>
  <si>
    <t>pint</t>
  </si>
  <si>
    <t>pintje</t>
  </si>
  <si>
    <t>pipa</t>
  </si>
  <si>
    <t>piranggot</t>
  </si>
  <si>
    <t>piso</t>
  </si>
  <si>
    <t>plethron</t>
  </si>
  <si>
    <t>plougate</t>
  </si>
  <si>
    <t>ploughgate</t>
  </si>
  <si>
    <t>pogon</t>
  </si>
  <si>
    <t>poignere</t>
  </si>
  <si>
    <t>pole</t>
  </si>
  <si>
    <t>polegada</t>
  </si>
  <si>
    <t>pollegada</t>
  </si>
  <si>
    <t>pollex</t>
  </si>
  <si>
    <t>polougametz</t>
  </si>
  <si>
    <t>pondiuscule</t>
  </si>
  <si>
    <t>ponto</t>
  </si>
  <si>
    <t>pony</t>
  </si>
  <si>
    <t>pood</t>
  </si>
  <si>
    <t>pote</t>
  </si>
  <si>
    <t>potte</t>
  </si>
  <si>
    <t>pottle</t>
  </si>
  <si>
    <t>pou</t>
  </si>
  <si>
    <t>pou3</t>
  </si>
  <si>
    <r>
      <t>lb/ft</t>
    </r>
    <r>
      <rPr>
        <vertAlign val="superscript"/>
        <sz val="11"/>
        <color theme="1"/>
        <rFont val="Calibri"/>
        <family val="2"/>
        <scheme val="minor"/>
      </rPr>
      <t>3</t>
    </r>
  </si>
  <si>
    <t>lbf</t>
  </si>
  <si>
    <t>poure</t>
  </si>
  <si>
    <t>pourvette</t>
  </si>
  <si>
    <t>powa</t>
  </si>
  <si>
    <t>prajina</t>
  </si>
  <si>
    <t>prastha</t>
  </si>
  <si>
    <t>pulgada</t>
  </si>
  <si>
    <t>pulgado</t>
  </si>
  <si>
    <t>pulzier</t>
  </si>
  <si>
    <t>pumlungur</t>
  </si>
  <si>
    <t>puncheon</t>
  </si>
  <si>
    <t>pundland</t>
  </si>
  <si>
    <t>punkt</t>
  </si>
  <si>
    <t>punk</t>
  </si>
  <si>
    <t>punto</t>
  </si>
  <si>
    <t>pygme</t>
  </si>
  <si>
    <t>pygon</t>
  </si>
  <si>
    <t>pyad</t>
  </si>
  <si>
    <t>pyi</t>
  </si>
  <si>
    <t>qabdhah</t>
  </si>
  <si>
    <t>qafiz</t>
  </si>
  <si>
    <t>qamha</t>
  </si>
  <si>
    <t>qantar</t>
  </si>
  <si>
    <t>qasab</t>
  </si>
  <si>
    <t>qasbah</t>
  </si>
  <si>
    <t>qasaba</t>
  </si>
  <si>
    <t>qasba</t>
  </si>
  <si>
    <t>qian</t>
  </si>
  <si>
    <t>qing</t>
  </si>
  <si>
    <t>qirat</t>
  </si>
  <si>
    <t>qsima</t>
  </si>
  <si>
    <t>quadrans</t>
  </si>
  <si>
    <t>quadrantal</t>
  </si>
  <si>
    <t>quan</t>
  </si>
  <si>
    <t>quanthar</t>
  </si>
  <si>
    <t>quarta</t>
  </si>
  <si>
    <t>quartano</t>
  </si>
  <si>
    <t>quartarius</t>
  </si>
  <si>
    <t>quarte</t>
  </si>
  <si>
    <t>quarteau</t>
  </si>
  <si>
    <t>quarterland</t>
  </si>
  <si>
    <t>quarteron</t>
  </si>
  <si>
    <t>quartern</t>
  </si>
  <si>
    <t>quartier</t>
  </si>
  <si>
    <t>quartiers</t>
  </si>
  <si>
    <t>quartilho</t>
  </si>
  <si>
    <t>quartillo</t>
  </si>
  <si>
    <t>quarto</t>
  </si>
  <si>
    <t>quartus</t>
  </si>
  <si>
    <t>quatern</t>
  </si>
  <si>
    <t>quei</t>
  </si>
  <si>
    <t>quent</t>
  </si>
  <si>
    <t>quentchen</t>
  </si>
  <si>
    <t>quicunx</t>
  </si>
  <si>
    <t>quignon</t>
  </si>
  <si>
    <t>quincunx</t>
  </si>
  <si>
    <t>quint</t>
  </si>
  <si>
    <t>quintal</t>
  </si>
  <si>
    <t>quintale</t>
  </si>
  <si>
    <t>quintin</t>
  </si>
  <si>
    <t>quinto</t>
  </si>
  <si>
    <t>quo</t>
  </si>
  <si>
    <t>racion</t>
  </si>
  <si>
    <t>rad/min</t>
  </si>
  <si>
    <t>rai</t>
  </si>
  <si>
    <t>raik</t>
  </si>
  <si>
    <t>raliza</t>
  </si>
  <si>
    <t>rast</t>
  </si>
  <si>
    <t>ratal</t>
  </si>
  <si>
    <t>ratl</t>
  </si>
  <si>
    <t>real</t>
  </si>
  <si>
    <t>ref</t>
  </si>
  <si>
    <t>rehoboam</t>
  </si>
  <si>
    <t>rema</t>
  </si>
  <si>
    <t>remen</t>
  </si>
  <si>
    <t>retti</t>
  </si>
  <si>
    <t>ratica</t>
  </si>
  <si>
    <t>ratti</t>
  </si>
  <si>
    <t>rpm, rev/min</t>
  </si>
  <si>
    <t>reynolds</t>
  </si>
  <si>
    <t>ri</t>
  </si>
  <si>
    <t>rick</t>
  </si>
  <si>
    <t>ridge</t>
  </si>
  <si>
    <t>rin</t>
  </si>
  <si>
    <t>ris</t>
  </si>
  <si>
    <t>rob</t>
  </si>
  <si>
    <t>robbah</t>
  </si>
  <si>
    <t>rod</t>
  </si>
  <si>
    <t>roede</t>
  </si>
  <si>
    <t>roeden</t>
  </si>
  <si>
    <t>roeneng</t>
  </si>
  <si>
    <t>rof</t>
  </si>
  <si>
    <t>roll</t>
  </si>
  <si>
    <t>rood</t>
  </si>
  <si>
    <t>rope</t>
  </si>
  <si>
    <t>roquille</t>
  </si>
  <si>
    <t>rotoli</t>
  </si>
  <si>
    <t>ruay</t>
  </si>
  <si>
    <t>rubbo</t>
  </si>
  <si>
    <t>rubu</t>
  </si>
  <si>
    <t>rud</t>
  </si>
  <si>
    <t>ruid</t>
  </si>
  <si>
    <t>rundlet</t>
  </si>
  <si>
    <t>ruotsinvirsta</t>
  </si>
  <si>
    <t>rut</t>
  </si>
  <si>
    <t>rute</t>
  </si>
  <si>
    <t>ruthe</t>
  </si>
  <si>
    <t>ruttee</t>
  </si>
  <si>
    <t>sa</t>
  </si>
  <si>
    <t>saa</t>
  </si>
  <si>
    <t>saah</t>
  </si>
  <si>
    <t>saashen</t>
  </si>
  <si>
    <t>sabbitha</t>
  </si>
  <si>
    <t>sabine</t>
  </si>
  <si>
    <t>sac</t>
  </si>
  <si>
    <t>sack</t>
  </si>
  <si>
    <t>saco</t>
  </si>
  <si>
    <t>saddirham</t>
  </si>
  <si>
    <t>sahh</t>
  </si>
  <si>
    <t>sahme</t>
  </si>
  <si>
    <t>salamis</t>
  </si>
  <si>
    <t>sai</t>
  </si>
  <si>
    <t>salmarazd</t>
  </si>
  <si>
    <t>salmanazar</t>
  </si>
  <si>
    <t>salok</t>
  </si>
  <si>
    <t>salmee</t>
  </si>
  <si>
    <t>saltspoon</t>
  </si>
  <si>
    <t>salueng</t>
  </si>
  <si>
    <t>salung</t>
  </si>
  <si>
    <t>saltus</t>
  </si>
  <si>
    <t>sanchi</t>
  </si>
  <si>
    <t>sandamak</t>
  </si>
  <si>
    <t>sao</t>
  </si>
  <si>
    <t>saro</t>
  </si>
  <si>
    <t>sastellano</t>
  </si>
  <si>
    <t>sat</t>
  </si>
  <si>
    <t>sath</t>
  </si>
  <si>
    <t>satlijk</t>
  </si>
  <si>
    <t>saum</t>
  </si>
  <si>
    <t>sava</t>
  </si>
  <si>
    <t>savaser</t>
  </si>
  <si>
    <t>sawk</t>
  </si>
  <si>
    <t>sazhen</t>
  </si>
  <si>
    <t>scheepslast</t>
  </si>
  <si>
    <t>scheffel</t>
  </si>
  <si>
    <t>schiffpfund</t>
  </si>
  <si>
    <t>schiffspfund</t>
  </si>
  <si>
    <t>schoeme</t>
  </si>
  <si>
    <t>schoenus</t>
  </si>
  <si>
    <t>schoinos</t>
  </si>
  <si>
    <t>schooner</t>
  </si>
  <si>
    <t>score</t>
  </si>
  <si>
    <t>screaball</t>
  </si>
  <si>
    <t>screpul</t>
  </si>
  <si>
    <t>screpull</t>
  </si>
  <si>
    <t>scripul</t>
  </si>
  <si>
    <t>scripull</t>
  </si>
  <si>
    <t>scripulum</t>
  </si>
  <si>
    <t>scrupulum</t>
  </si>
  <si>
    <t>se</t>
  </si>
  <si>
    <t>seah</t>
  </si>
  <si>
    <t>seam</t>
  </si>
  <si>
    <t>searah</t>
  </si>
  <si>
    <t>secton</t>
  </si>
  <si>
    <t>ser</t>
  </si>
  <si>
    <t>sei</t>
  </si>
  <si>
    <t>seidel</t>
  </si>
  <si>
    <t>seisrech</t>
  </si>
  <si>
    <t>seir</t>
  </si>
  <si>
    <t>seit</t>
  </si>
  <si>
    <t>semimodius</t>
  </si>
  <si>
    <t>semis</t>
  </si>
  <si>
    <t>semisextula</t>
  </si>
  <si>
    <t>semissis</t>
  </si>
  <si>
    <t>semiuncia</t>
  </si>
  <si>
    <t>semodius</t>
  </si>
  <si>
    <t>sen</t>
  </si>
  <si>
    <t>sentneri</t>
  </si>
  <si>
    <t>senus</t>
  </si>
  <si>
    <t>sep</t>
  </si>
  <si>
    <t>septunx</t>
  </si>
  <si>
    <t>serf-town</t>
  </si>
  <si>
    <t>seron</t>
  </si>
  <si>
    <t>sescuncia</t>
  </si>
  <si>
    <t>sescunx</t>
  </si>
  <si>
    <t>sesma</t>
  </si>
  <si>
    <t>seste</t>
  </si>
  <si>
    <t>seteree</t>
  </si>
  <si>
    <t>setta</t>
  </si>
  <si>
    <t>sextans</t>
  </si>
  <si>
    <t>sexte</t>
  </si>
  <si>
    <t>solidus</t>
  </si>
  <si>
    <t>sextula</t>
  </si>
  <si>
    <t>sextingar</t>
  </si>
  <si>
    <t>shackles</t>
  </si>
  <si>
    <t>shag</t>
  </si>
  <si>
    <t>shao</t>
  </si>
  <si>
    <t>shari</t>
  </si>
  <si>
    <t>shareland</t>
  </si>
  <si>
    <t>sek6</t>
  </si>
  <si>
    <t>shekel</t>
  </si>
  <si>
    <t>sheng</t>
  </si>
  <si>
    <t>shi</t>
  </si>
  <si>
    <t>shita</t>
  </si>
  <si>
    <t>shkalik</t>
  </si>
  <si>
    <t>shook</t>
  </si>
  <si>
    <t>shock</t>
  </si>
  <si>
    <t>shoeme</t>
  </si>
  <si>
    <t>shot</t>
  </si>
  <si>
    <t>shtoff</t>
  </si>
  <si>
    <t>sicca</t>
  </si>
  <si>
    <t>sicles</t>
  </si>
  <si>
    <t>sicilium</t>
  </si>
  <si>
    <t>sicilius</t>
  </si>
  <si>
    <t>siciliquus</t>
  </si>
  <si>
    <t>siegh</t>
  </si>
  <si>
    <t>S/m</t>
  </si>
  <si>
    <t>siki</t>
  </si>
  <si>
    <t>siliqua</t>
  </si>
  <si>
    <t>sinik</t>
  </si>
  <si>
    <t>sir</t>
  </si>
  <si>
    <t>siriometer</t>
  </si>
  <si>
    <t>sitio</t>
  </si>
  <si>
    <t>sjomil</t>
  </si>
  <si>
    <t>skaeppe</t>
  </si>
  <si>
    <t>skieppe</t>
  </si>
  <si>
    <t>skiepper</t>
  </si>
  <si>
    <t>skeppsund</t>
  </si>
  <si>
    <t>skogsmil</t>
  </si>
  <si>
    <t>skjeppe</t>
  </si>
  <si>
    <t>skrupel</t>
  </si>
  <si>
    <t>skrupul</t>
  </si>
  <si>
    <t>skruppel</t>
  </si>
  <si>
    <t>skyplast</t>
  </si>
  <si>
    <t>smortonde</t>
  </si>
  <si>
    <t>snit</t>
  </si>
  <si>
    <t>soally</t>
  </si>
  <si>
    <t>soekoe</t>
  </si>
  <si>
    <t>sok</t>
  </si>
  <si>
    <t>solotnik</t>
  </si>
  <si>
    <t>sompay</t>
  </si>
  <si>
    <t>sotka</t>
  </si>
  <si>
    <t>span</t>
  </si>
  <si>
    <t>spann</t>
  </si>
  <si>
    <t>spanna</t>
  </si>
  <si>
    <t>spanne</t>
  </si>
  <si>
    <t>spannland</t>
  </si>
  <si>
    <t>spithame</t>
  </si>
  <si>
    <t>spithane</t>
  </si>
  <si>
    <t>split</t>
  </si>
  <si>
    <t>ssah</t>
  </si>
  <si>
    <t>stab</t>
  </si>
  <si>
    <t>stack</t>
  </si>
  <si>
    <t>stade</t>
  </si>
  <si>
    <t>stadium</t>
  </si>
  <si>
    <t>stage</t>
  </si>
  <si>
    <t>stan</t>
  </si>
  <si>
    <t>standard</t>
  </si>
  <si>
    <r>
      <t>m</t>
    </r>
    <r>
      <rPr>
        <vertAlign val="superscript"/>
        <sz val="11"/>
        <color theme="1"/>
        <rFont val="Calibri"/>
        <family val="2"/>
        <scheme val="minor"/>
      </rPr>
      <t>3</t>
    </r>
    <r>
      <rPr>
        <sz val="11"/>
        <color theme="1"/>
        <rFont val="Calibri"/>
        <family val="2"/>
        <scheme val="minor"/>
      </rPr>
      <t>(STP)</t>
    </r>
  </si>
  <si>
    <t>stang</t>
  </si>
  <si>
    <t>stanjen</t>
  </si>
  <si>
    <t>statampere</t>
  </si>
  <si>
    <t>statcoulomb</t>
  </si>
  <si>
    <t>stater</t>
  </si>
  <si>
    <t>statfarad</t>
  </si>
  <si>
    <t>stathenry</t>
  </si>
  <si>
    <t>statvolt</t>
  </si>
  <si>
    <t>stauf</t>
  </si>
  <si>
    <t>steekan</t>
  </si>
  <si>
    <t>steg</t>
  </si>
  <si>
    <t>stein</t>
  </si>
  <si>
    <t>steinkast</t>
  </si>
  <si>
    <t>stekar</t>
  </si>
  <si>
    <t>sten</t>
  </si>
  <si>
    <t>stenkast</t>
  </si>
  <si>
    <t>step</t>
  </si>
  <si>
    <t>sthene</t>
  </si>
  <si>
    <r>
      <t>sthene/m</t>
    </r>
    <r>
      <rPr>
        <vertAlign val="superscript"/>
        <sz val="11"/>
        <color theme="1"/>
        <rFont val="Calibri"/>
        <family val="2"/>
        <scheme val="minor"/>
      </rPr>
      <t>2</t>
    </r>
    <r>
      <rPr>
        <sz val="11"/>
        <color theme="1"/>
        <rFont val="Calibri"/>
        <family val="2"/>
        <scheme val="minor"/>
      </rPr>
      <t>, sn/m</t>
    </r>
    <r>
      <rPr>
        <vertAlign val="superscript"/>
        <sz val="11"/>
        <color theme="1"/>
        <rFont val="Calibri"/>
        <family val="2"/>
        <scheme val="minor"/>
      </rPr>
      <t>2</t>
    </r>
  </si>
  <si>
    <t>stick</t>
  </si>
  <si>
    <t>stokes</t>
  </si>
  <si>
    <t>stone</t>
  </si>
  <si>
    <t>stoop</t>
  </si>
  <si>
    <t>storfamn</t>
  </si>
  <si>
    <t>strike</t>
  </si>
  <si>
    <t>stringene</t>
  </si>
  <si>
    <t>strych</t>
  </si>
  <si>
    <t>stubchen</t>
  </si>
  <si>
    <t>stunde</t>
  </si>
  <si>
    <t>su</t>
  </si>
  <si>
    <t>sun</t>
  </si>
  <si>
    <t>svedberg</t>
  </si>
  <si>
    <t>syli</t>
  </si>
  <si>
    <t>ta</t>
  </si>
  <si>
    <t>tabla</t>
  </si>
  <si>
    <t>tablespoon</t>
  </si>
  <si>
    <t>tac</t>
  </si>
  <si>
    <t>tahil</t>
  </si>
  <si>
    <t>taeogtref</t>
  </si>
  <si>
    <t>taim</t>
  </si>
  <si>
    <t>tak</t>
  </si>
  <si>
    <t>takar</t>
  </si>
  <si>
    <t>talaton</t>
  </si>
  <si>
    <t>tali</t>
  </si>
  <si>
    <t>tam</t>
  </si>
  <si>
    <t>tamlaum</t>
  </si>
  <si>
    <t>tamlueng</t>
  </si>
  <si>
    <t>tamlung</t>
  </si>
  <si>
    <t>tan</t>
  </si>
  <si>
    <t>tanan</t>
  </si>
  <si>
    <t>tang</t>
  </si>
  <si>
    <t>tanica</t>
  </si>
  <si>
    <t>tank</t>
  </si>
  <si>
    <t>tank-sala</t>
  </si>
  <si>
    <t>tao</t>
  </si>
  <si>
    <t>tarefa</t>
  </si>
  <si>
    <t>tarie</t>
  </si>
  <si>
    <t>tarri</t>
  </si>
  <si>
    <t>tat</t>
  </si>
  <si>
    <t>tavola</t>
  </si>
  <si>
    <t>tcharka</t>
  </si>
  <si>
    <t>tchast</t>
  </si>
  <si>
    <t>tcheirek</t>
  </si>
  <si>
    <t>tcheki</t>
  </si>
  <si>
    <t>tcheverik</t>
  </si>
  <si>
    <t>tcbetvert</t>
  </si>
  <si>
    <t>tchevert</t>
  </si>
  <si>
    <t>teacupful</t>
  </si>
  <si>
    <t>teaspoon</t>
  </si>
  <si>
    <t>teaspoonful</t>
  </si>
  <si>
    <t>tefach</t>
  </si>
  <si>
    <t>temen</t>
  </si>
  <si>
    <t>ten</t>
  </si>
  <si>
    <t>tenth</t>
  </si>
  <si>
    <t>tenthmeter</t>
  </si>
  <si>
    <t>tenyer</t>
  </si>
  <si>
    <t>tercia</t>
  </si>
  <si>
    <t>tercio</t>
  </si>
  <si>
    <t>terco</t>
  </si>
  <si>
    <t>termino</t>
  </si>
  <si>
    <t>tertian</t>
  </si>
  <si>
    <t>terz</t>
  </si>
  <si>
    <t>tetarton</t>
  </si>
  <si>
    <t>thaan</t>
  </si>
  <si>
    <t>thail</t>
  </si>
  <si>
    <t>thanan</t>
  </si>
  <si>
    <t>thang</t>
  </si>
  <si>
    <t>that</t>
  </si>
  <si>
    <t>thebs</t>
  </si>
  <si>
    <t>therm</t>
  </si>
  <si>
    <t>thneap</t>
  </si>
  <si>
    <t>thou</t>
  </si>
  <si>
    <t>thousand</t>
  </si>
  <si>
    <t>thsan</t>
  </si>
  <si>
    <t>thung</t>
  </si>
  <si>
    <t>thuoc</t>
  </si>
  <si>
    <t>ti</t>
  </si>
  <si>
    <t>tical</t>
  </si>
  <si>
    <t>tien</t>
  </si>
  <si>
    <t>tierce</t>
  </si>
  <si>
    <t>timbang</t>
  </si>
  <si>
    <t>timer</t>
  </si>
  <si>
    <t>tin</t>
  </si>
  <si>
    <t>tina</t>
  </si>
  <si>
    <t>tipree</t>
  </si>
  <si>
    <t>tir</t>
  </si>
  <si>
    <t>tji</t>
  </si>
  <si>
    <t>TMS</t>
  </si>
  <si>
    <t>to</t>
  </si>
  <si>
    <t>toa</t>
  </si>
  <si>
    <t>tost</t>
  </si>
  <si>
    <t>tod</t>
  </si>
  <si>
    <t>toesa</t>
  </si>
  <si>
    <t>toesas</t>
  </si>
  <si>
    <t>tola</t>
  </si>
  <si>
    <t>tolah</t>
  </si>
  <si>
    <t>tomme</t>
  </si>
  <si>
    <t>tomin</t>
  </si>
  <si>
    <t>ton</t>
  </si>
  <si>
    <t>CTR</t>
  </si>
  <si>
    <r>
      <t>tsi, TSI, tonf/in</t>
    </r>
    <r>
      <rPr>
        <vertAlign val="superscript"/>
        <sz val="11"/>
        <color theme="1"/>
        <rFont val="Calibri"/>
        <family val="2"/>
        <scheme val="minor"/>
      </rPr>
      <t>2</t>
    </r>
  </si>
  <si>
    <t>tonde</t>
  </si>
  <si>
    <t>tonel</t>
  </si>
  <si>
    <t>tonelada</t>
  </si>
  <si>
    <t>tondeland</t>
  </si>
  <si>
    <t>tondada</t>
  </si>
  <si>
    <t>tonneau</t>
  </si>
  <si>
    <t>tonnelada</t>
  </si>
  <si>
    <t>tonni</t>
  </si>
  <si>
    <t>tonneland</t>
  </si>
  <si>
    <t>tonnstelle</t>
  </si>
  <si>
    <t>torr</t>
  </si>
  <si>
    <t>totchka</t>
  </si>
  <si>
    <t>toumnah</t>
  </si>
  <si>
    <t>tovar</t>
  </si>
  <si>
    <t>township</t>
  </si>
  <si>
    <t>trabucco</t>
  </si>
  <si>
    <t>travel-hour</t>
  </si>
  <si>
    <t>trayas</t>
  </si>
  <si>
    <t>tref</t>
  </si>
  <si>
    <t>trew</t>
  </si>
  <si>
    <t>tri-cumaile</t>
  </si>
  <si>
    <t>triens</t>
  </si>
  <si>
    <t>trimester</t>
  </si>
  <si>
    <t>tri-unga</t>
  </si>
  <si>
    <t>troedfedd</t>
  </si>
  <si>
    <t>troetued</t>
  </si>
  <si>
    <t>luxon</t>
  </si>
  <si>
    <t>troland</t>
  </si>
  <si>
    <t>truong</t>
  </si>
  <si>
    <t>truss</t>
  </si>
  <si>
    <t>tryblion</t>
  </si>
  <si>
    <t>tscharik</t>
  </si>
  <si>
    <t>tsin</t>
  </si>
  <si>
    <t>tsun</t>
  </si>
  <si>
    <t>tuath</t>
  </si>
  <si>
    <t>tub</t>
  </si>
  <si>
    <t>tuba</t>
  </si>
  <si>
    <t>tuc</t>
  </si>
  <si>
    <t>tukeas</t>
  </si>
  <si>
    <t>tum</t>
  </si>
  <si>
    <t>tun</t>
  </si>
  <si>
    <t>tundagslatta</t>
  </si>
  <si>
    <t>tunland</t>
  </si>
  <si>
    <t>tunnland</t>
  </si>
  <si>
    <t>tuuma</t>
  </si>
  <si>
    <t>tvarhand</t>
  </si>
  <si>
    <t>tyddyn</t>
  </si>
  <si>
    <t>tydyn</t>
  </si>
  <si>
    <t>tynnyri</t>
  </si>
  <si>
    <t>tynnyrinala</t>
  </si>
  <si>
    <t>tyr</t>
  </si>
  <si>
    <t>uckin</t>
  </si>
  <si>
    <t>ueba</t>
  </si>
  <si>
    <t>uerryeu</t>
  </si>
  <si>
    <t>uinge</t>
  </si>
  <si>
    <t>ujj</t>
  </si>
  <si>
    <t>ulna</t>
  </si>
  <si>
    <t>unce</t>
  </si>
  <si>
    <t>unceland</t>
  </si>
  <si>
    <t>uncia</t>
  </si>
  <si>
    <t>uncja</t>
  </si>
  <si>
    <t>ungae</t>
  </si>
  <si>
    <t>uns</t>
  </si>
  <si>
    <t>unssi</t>
  </si>
  <si>
    <t>unze</t>
  </si>
  <si>
    <t>uqija</t>
  </si>
  <si>
    <t>uqqa</t>
  </si>
  <si>
    <t>uren</t>
  </si>
  <si>
    <t>urna</t>
  </si>
  <si>
    <t>urub</t>
  </si>
  <si>
    <t>urumb</t>
  </si>
  <si>
    <t>urup</t>
  </si>
  <si>
    <t>uyen</t>
  </si>
  <si>
    <t>uzan</t>
  </si>
  <si>
    <t>vaaksa</t>
  </si>
  <si>
    <t>vadra</t>
  </si>
  <si>
    <t>vag</t>
  </si>
  <si>
    <t>vakia</t>
  </si>
  <si>
    <t>vakias</t>
  </si>
  <si>
    <t>vakomitta</t>
  </si>
  <si>
    <t>vat</t>
  </si>
  <si>
    <t>veieu</t>
  </si>
  <si>
    <t>velt</t>
  </si>
  <si>
    <t>vergee</t>
  </si>
  <si>
    <t>vershok</t>
  </si>
  <si>
    <t>verst</t>
  </si>
  <si>
    <t>versta</t>
  </si>
  <si>
    <t>verste</t>
  </si>
  <si>
    <t>versum</t>
  </si>
  <si>
    <t>vette</t>
  </si>
  <si>
    <t>vi</t>
  </si>
  <si>
    <t>vierd</t>
  </si>
  <si>
    <t>vierding</t>
  </si>
  <si>
    <t>vierling</t>
  </si>
  <si>
    <t>viertel</t>
  </si>
  <si>
    <t>viertelnoseln</t>
  </si>
  <si>
    <t>virgate</t>
  </si>
  <si>
    <t>virsta</t>
  </si>
  <si>
    <t>viss</t>
  </si>
  <si>
    <t>voet</t>
  </si>
  <si>
    <t>V/m</t>
  </si>
  <si>
    <t>vuong</t>
  </si>
  <si>
    <t>vyorst</t>
  </si>
  <si>
    <t>waag</t>
  </si>
  <si>
    <t>wa</t>
  </si>
  <si>
    <t>wakea</t>
  </si>
  <si>
    <t>wang</t>
  </si>
  <si>
    <t>warp</t>
  </si>
  <si>
    <r>
      <t>W/m</t>
    </r>
    <r>
      <rPr>
        <vertAlign val="superscript"/>
        <sz val="11"/>
        <color theme="1"/>
        <rFont val="Calibri"/>
        <family val="2"/>
        <scheme val="minor"/>
      </rPr>
      <t>2</t>
    </r>
  </si>
  <si>
    <t>Wb/m</t>
  </si>
  <si>
    <t>wegstunde</t>
  </si>
  <si>
    <t>wejba</t>
  </si>
  <si>
    <t>wey</t>
  </si>
  <si>
    <t>whiba</t>
  </si>
  <si>
    <t>wizna</t>
  </si>
  <si>
    <t>wogiet</t>
  </si>
  <si>
    <t>wrap</t>
  </si>
  <si>
    <t>xestes</t>
  </si>
  <si>
    <t>xiber</t>
  </si>
  <si>
    <t>xich</t>
  </si>
  <si>
    <t>xilon</t>
  </si>
  <si>
    <t>xylon</t>
  </si>
  <si>
    <t>yabiki</t>
  </si>
  <si>
    <t>yaird</t>
  </si>
  <si>
    <t>yin</t>
  </si>
  <si>
    <t>yan</t>
  </si>
  <si>
    <t>yava</t>
  </si>
  <si>
    <t>yen</t>
  </si>
  <si>
    <t>yo</t>
  </si>
  <si>
    <t>yoch</t>
  </si>
  <si>
    <t>yot</t>
  </si>
  <si>
    <t>yote</t>
  </si>
  <si>
    <t>yugada</t>
  </si>
  <si>
    <t>yusdrum</t>
  </si>
  <si>
    <t>yuzana</t>
  </si>
  <si>
    <t>zak</t>
  </si>
  <si>
    <t>zalay</t>
  </si>
  <si>
    <t>zar</t>
  </si>
  <si>
    <t>zayoot</t>
  </si>
  <si>
    <t>zentner</t>
  </si>
  <si>
    <t>zeret</t>
  </si>
  <si>
    <t>zhang</t>
  </si>
  <si>
    <t>zirai</t>
  </si>
  <si>
    <t>zoeng6</t>
  </si>
  <si>
    <t>zoll</t>
  </si>
  <si>
    <t>zolotnik</t>
  </si>
  <si>
    <t>zudda</t>
  </si>
  <si>
    <t>zurbo</t>
  </si>
  <si>
    <t>zuzah</t>
  </si>
  <si>
    <t>lmin, cmin</t>
  </si>
  <si>
    <t>lpf, LPF</t>
  </si>
  <si>
    <t>cal(mean)</t>
  </si>
  <si>
    <t>IACS</t>
  </si>
  <si>
    <r>
      <t>M, Ma, N</t>
    </r>
    <r>
      <rPr>
        <vertAlign val="subscript"/>
        <sz val="11"/>
        <color theme="1"/>
        <rFont val="Calibri"/>
        <family val="2"/>
        <scheme val="minor"/>
      </rPr>
      <t>ma</t>
    </r>
  </si>
  <si>
    <t>sk</t>
  </si>
  <si>
    <t>meterte</t>
  </si>
  <si>
    <t>myriameter</t>
  </si>
  <si>
    <r>
      <t>s</t>
    </r>
    <r>
      <rPr>
        <vertAlign val="superscript"/>
        <sz val="11"/>
        <color theme="1"/>
        <rFont val="Calibri"/>
        <family val="2"/>
        <scheme val="minor"/>
      </rPr>
      <t>4</t>
    </r>
    <r>
      <rPr>
        <sz val="11"/>
        <color theme="1"/>
        <rFont val="Calibri"/>
        <family val="2"/>
        <scheme val="minor"/>
      </rPr>
      <t>.A</t>
    </r>
    <r>
      <rPr>
        <vertAlign val="superscript"/>
        <sz val="11"/>
        <color theme="1"/>
        <rFont val="Calibri"/>
        <family val="2"/>
        <scheme val="minor"/>
      </rPr>
      <t>2</t>
    </r>
    <r>
      <rPr>
        <sz val="11"/>
        <color theme="1"/>
        <rFont val="Calibri"/>
        <family val="2"/>
        <scheme val="minor"/>
      </rPr>
      <t>/Kg.m</t>
    </r>
    <r>
      <rPr>
        <vertAlign val="superscript"/>
        <sz val="11"/>
        <color theme="1"/>
        <rFont val="Calibri"/>
        <family val="2"/>
        <scheme val="minor"/>
      </rPr>
      <t>2</t>
    </r>
  </si>
  <si>
    <r>
      <t>kg/s</t>
    </r>
    <r>
      <rPr>
        <vertAlign val="superscript"/>
        <sz val="11"/>
        <color theme="1"/>
        <rFont val="Calibri"/>
        <family val="2"/>
        <scheme val="minor"/>
      </rPr>
      <t>2</t>
    </r>
    <r>
      <rPr>
        <sz val="11"/>
        <color theme="1"/>
        <rFont val="Calibri"/>
        <family val="2"/>
        <scheme val="minor"/>
      </rPr>
      <t>.A</t>
    </r>
    <r>
      <rPr>
        <vertAlign val="superscript"/>
        <sz val="11"/>
        <color theme="1"/>
        <rFont val="Calibri"/>
        <family val="2"/>
        <scheme val="minor"/>
      </rPr>
      <t>2</t>
    </r>
  </si>
  <si>
    <t>UK_US_Apoth</t>
  </si>
  <si>
    <r>
      <t>M/L</t>
    </r>
    <r>
      <rPr>
        <vertAlign val="superscript"/>
        <sz val="11"/>
        <color theme="1"/>
        <rFont val="Calibri"/>
        <family val="2"/>
        <scheme val="minor"/>
      </rPr>
      <t>3</t>
    </r>
  </si>
  <si>
    <r>
      <t>L/T</t>
    </r>
    <r>
      <rPr>
        <vertAlign val="superscript"/>
        <sz val="11"/>
        <color theme="1"/>
        <rFont val="Calibri"/>
        <family val="2"/>
        <scheme val="minor"/>
      </rPr>
      <t>2</t>
    </r>
  </si>
  <si>
    <t>1/T</t>
  </si>
  <si>
    <r>
      <t>1/L</t>
    </r>
    <r>
      <rPr>
        <vertAlign val="superscript"/>
        <sz val="11"/>
        <color theme="1"/>
        <rFont val="Calibri"/>
        <family val="2"/>
        <scheme val="minor"/>
      </rPr>
      <t>3</t>
    </r>
  </si>
  <si>
    <r>
      <t>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2</t>
    </r>
  </si>
  <si>
    <t>N/T</t>
  </si>
  <si>
    <t>M/L.T</t>
  </si>
  <si>
    <r>
      <t>M/L.T</t>
    </r>
    <r>
      <rPr>
        <vertAlign val="superscript"/>
        <sz val="11"/>
        <color theme="1"/>
        <rFont val="Calibri"/>
        <family val="2"/>
        <scheme val="minor"/>
      </rPr>
      <t>2</t>
    </r>
  </si>
  <si>
    <r>
      <t>T</t>
    </r>
    <r>
      <rPr>
        <vertAlign val="superscript"/>
        <sz val="11"/>
        <color theme="1"/>
        <rFont val="Calibri"/>
        <family val="2"/>
        <scheme val="minor"/>
      </rPr>
      <t>3</t>
    </r>
    <r>
      <rPr>
        <sz val="11"/>
        <color theme="1"/>
        <rFont val="Calibri"/>
        <family val="2"/>
        <scheme val="minor"/>
      </rPr>
      <t>.I</t>
    </r>
    <r>
      <rPr>
        <vertAlign val="superscript"/>
        <sz val="11"/>
        <color theme="1"/>
        <rFont val="Calibri"/>
        <family val="2"/>
        <scheme val="minor"/>
      </rPr>
      <t>2</t>
    </r>
    <r>
      <rPr>
        <sz val="11"/>
        <color theme="1"/>
        <rFont val="Calibri"/>
        <family val="2"/>
        <scheme val="minor"/>
      </rPr>
      <t>/M.L</t>
    </r>
    <r>
      <rPr>
        <vertAlign val="superscript"/>
        <sz val="11"/>
        <color theme="1"/>
        <rFont val="Calibri"/>
        <family val="2"/>
        <scheme val="minor"/>
      </rPr>
      <t>2</t>
    </r>
  </si>
  <si>
    <r>
      <t>M/T</t>
    </r>
    <r>
      <rPr>
        <vertAlign val="superscript"/>
        <sz val="11"/>
        <color theme="1"/>
        <rFont val="Calibri"/>
        <family val="2"/>
        <scheme val="minor"/>
      </rPr>
      <t>2</t>
    </r>
    <r>
      <rPr>
        <sz val="11"/>
        <color theme="1"/>
        <rFont val="Calibri"/>
        <family val="2"/>
        <scheme val="minor"/>
      </rPr>
      <t>.I</t>
    </r>
  </si>
  <si>
    <r>
      <t>M.L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3</t>
    </r>
    <r>
      <rPr>
        <sz val="11"/>
        <color theme="1"/>
        <rFont val="Calibri"/>
        <family val="2"/>
        <scheme val="minor"/>
      </rPr>
      <t>.I</t>
    </r>
  </si>
  <si>
    <r>
      <t>M.L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3</t>
    </r>
  </si>
  <si>
    <r>
      <t>M.L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2</t>
    </r>
    <r>
      <rPr>
        <sz val="11"/>
        <color theme="1"/>
        <rFont val="Calibri"/>
        <family val="2"/>
        <scheme val="minor"/>
      </rPr>
      <t>.I</t>
    </r>
  </si>
  <si>
    <t>I.T</t>
  </si>
  <si>
    <r>
      <t>T</t>
    </r>
    <r>
      <rPr>
        <vertAlign val="superscript"/>
        <sz val="11"/>
        <color theme="1"/>
        <rFont val="Calibri"/>
        <family val="2"/>
        <scheme val="minor"/>
      </rPr>
      <t>4</t>
    </r>
    <r>
      <rPr>
        <sz val="11"/>
        <color theme="1"/>
        <rFont val="Calibri"/>
        <family val="2"/>
        <scheme val="minor"/>
      </rPr>
      <t>.I</t>
    </r>
    <r>
      <rPr>
        <vertAlign val="superscript"/>
        <sz val="11"/>
        <color theme="1"/>
        <rFont val="Calibri"/>
        <family val="2"/>
        <scheme val="minor"/>
      </rPr>
      <t>2</t>
    </r>
    <r>
      <rPr>
        <sz val="11"/>
        <color theme="1"/>
        <rFont val="Calibri"/>
        <family val="2"/>
        <scheme val="minor"/>
      </rPr>
      <t>/M.L</t>
    </r>
    <r>
      <rPr>
        <vertAlign val="superscript"/>
        <sz val="11"/>
        <color theme="1"/>
        <rFont val="Calibri"/>
        <family val="2"/>
        <scheme val="minor"/>
      </rPr>
      <t>2</t>
    </r>
  </si>
  <si>
    <r>
      <t>M.L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2</t>
    </r>
    <r>
      <rPr>
        <sz val="11"/>
        <color theme="1"/>
        <rFont val="Calibri"/>
        <family val="2"/>
        <scheme val="minor"/>
      </rPr>
      <t>.I</t>
    </r>
    <r>
      <rPr>
        <vertAlign val="superscript"/>
        <sz val="11"/>
        <color theme="1"/>
        <rFont val="Calibri"/>
        <family val="2"/>
        <scheme val="minor"/>
      </rPr>
      <t>2</t>
    </r>
  </si>
  <si>
    <r>
      <t>M.L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2</t>
    </r>
  </si>
  <si>
    <r>
      <t>J.</t>
    </r>
    <r>
      <rPr>
        <sz val="11"/>
        <color theme="1"/>
        <rFont val="Symbol"/>
        <family val="1"/>
        <charset val="2"/>
      </rPr>
      <t>W</t>
    </r>
  </si>
  <si>
    <r>
      <t>J.</t>
    </r>
    <r>
      <rPr>
        <sz val="11"/>
        <color theme="1"/>
        <rFont val="Symbol"/>
        <family val="1"/>
        <charset val="2"/>
      </rPr>
      <t>W/</t>
    </r>
    <r>
      <rPr>
        <sz val="11"/>
        <color theme="1"/>
        <rFont val="Calibri"/>
        <family val="2"/>
        <scheme val="minor"/>
      </rPr>
      <t>L</t>
    </r>
    <r>
      <rPr>
        <vertAlign val="superscript"/>
        <sz val="11"/>
        <color theme="1"/>
        <rFont val="Calibri"/>
        <family val="2"/>
        <scheme val="minor"/>
      </rPr>
      <t>2</t>
    </r>
  </si>
  <si>
    <r>
      <t>M.L/T</t>
    </r>
    <r>
      <rPr>
        <vertAlign val="superscript"/>
        <sz val="11"/>
        <color theme="1"/>
        <rFont val="Calibri"/>
        <family val="2"/>
        <scheme val="minor"/>
      </rPr>
      <t>2</t>
    </r>
  </si>
  <si>
    <r>
      <t>M.L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3</t>
    </r>
    <r>
      <rPr>
        <sz val="11"/>
        <color theme="1"/>
        <rFont val="Calibri"/>
        <family val="2"/>
        <scheme val="minor"/>
      </rPr>
      <t>.I</t>
    </r>
    <r>
      <rPr>
        <vertAlign val="superscript"/>
        <sz val="11"/>
        <color theme="1"/>
        <rFont val="Calibri"/>
        <family val="2"/>
        <scheme val="minor"/>
      </rPr>
      <t>2</t>
    </r>
  </si>
  <si>
    <r>
      <t>T</t>
    </r>
    <r>
      <rPr>
        <vertAlign val="superscript"/>
        <sz val="11"/>
        <color theme="1"/>
        <rFont val="Calibri"/>
        <family val="2"/>
        <scheme val="minor"/>
      </rPr>
      <t>4</t>
    </r>
    <r>
      <rPr>
        <sz val="11"/>
        <color theme="1"/>
        <rFont val="Calibri"/>
        <family val="2"/>
        <scheme val="minor"/>
      </rPr>
      <t>.</t>
    </r>
    <r>
      <rPr>
        <sz val="11"/>
        <color theme="1"/>
        <rFont val="Calibri"/>
        <family val="1"/>
        <charset val="2"/>
        <scheme val="minor"/>
      </rPr>
      <t>I</t>
    </r>
    <r>
      <rPr>
        <vertAlign val="superscript"/>
        <sz val="11"/>
        <color theme="1"/>
        <rFont val="Calibri"/>
        <family val="2"/>
        <scheme val="minor"/>
      </rPr>
      <t>2</t>
    </r>
    <r>
      <rPr>
        <sz val="11"/>
        <color theme="1"/>
        <rFont val="Calibri"/>
        <family val="2"/>
        <scheme val="minor"/>
      </rPr>
      <t>/</t>
    </r>
    <r>
      <rPr>
        <sz val="11"/>
        <color theme="1"/>
        <rFont val="Calibri"/>
        <family val="1"/>
        <charset val="2"/>
        <scheme val="minor"/>
      </rPr>
      <t>M.L</t>
    </r>
    <r>
      <rPr>
        <vertAlign val="superscript"/>
        <sz val="11"/>
        <color theme="1"/>
        <rFont val="Calibri"/>
        <family val="2"/>
        <scheme val="minor"/>
      </rPr>
      <t>3</t>
    </r>
  </si>
  <si>
    <r>
      <t>M.L/T</t>
    </r>
    <r>
      <rPr>
        <vertAlign val="superscript"/>
        <sz val="11"/>
        <color theme="1"/>
        <rFont val="Calibri"/>
        <family val="2"/>
        <scheme val="minor"/>
      </rPr>
      <t>2</t>
    </r>
    <r>
      <rPr>
        <sz val="11"/>
        <color theme="1"/>
        <rFont val="Calibri"/>
        <family val="2"/>
        <scheme val="minor"/>
      </rPr>
      <t>.</t>
    </r>
    <r>
      <rPr>
        <sz val="11"/>
        <color theme="1"/>
        <rFont val="Calibri"/>
        <family val="1"/>
        <charset val="2"/>
        <scheme val="minor"/>
      </rPr>
      <t>I</t>
    </r>
    <r>
      <rPr>
        <vertAlign val="superscript"/>
        <sz val="11"/>
        <color theme="1"/>
        <rFont val="Calibri"/>
        <family val="2"/>
        <scheme val="minor"/>
      </rPr>
      <t>2</t>
    </r>
  </si>
  <si>
    <t>I.T/M</t>
  </si>
  <si>
    <r>
      <t>M.L</t>
    </r>
    <r>
      <rPr>
        <vertAlign val="superscript"/>
        <sz val="11"/>
        <color theme="1"/>
        <rFont val="Calibri"/>
        <family val="2"/>
        <scheme val="minor"/>
      </rPr>
      <t>2</t>
    </r>
    <r>
      <rPr>
        <sz val="11"/>
        <color theme="1"/>
        <rFont val="Calibri"/>
        <family val="2"/>
        <scheme val="minor"/>
      </rPr>
      <t>/T</t>
    </r>
  </si>
  <si>
    <t>L/T</t>
  </si>
  <si>
    <t>T.I</t>
  </si>
  <si>
    <r>
      <t>M.L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2</t>
    </r>
    <r>
      <rPr>
        <sz val="11"/>
        <color theme="1"/>
        <rFont val="Calibri"/>
        <family val="2"/>
        <scheme val="minor"/>
      </rPr>
      <t>.Q</t>
    </r>
    <r>
      <rPr>
        <vertAlign val="superscript"/>
        <sz val="11"/>
        <color theme="1"/>
        <rFont val="Calibri"/>
        <family val="2"/>
        <scheme val="minor"/>
      </rPr>
      <t>1</t>
    </r>
  </si>
  <si>
    <t>1/N</t>
  </si>
  <si>
    <t>T.I/M</t>
  </si>
  <si>
    <t>O</t>
  </si>
  <si>
    <t>au</t>
  </si>
  <si>
    <t>Atomic Units</t>
  </si>
  <si>
    <t>Centimeter-Gram-Second Units</t>
  </si>
  <si>
    <t>chundroon</t>
  </si>
  <si>
    <t>pwys</t>
  </si>
  <si>
    <r>
      <t>1/L</t>
    </r>
    <r>
      <rPr>
        <vertAlign val="superscript"/>
        <sz val="11"/>
        <color theme="1"/>
        <rFont val="Calibri"/>
        <family val="2"/>
        <scheme val="minor"/>
      </rPr>
      <t>2</t>
    </r>
    <r>
      <rPr>
        <sz val="11"/>
        <color theme="1"/>
        <rFont val="Calibri"/>
        <family val="2"/>
        <scheme val="minor"/>
      </rPr>
      <t>.T.</t>
    </r>
    <r>
      <rPr>
        <sz val="11"/>
        <color theme="1"/>
        <rFont val="Symbol"/>
        <family val="1"/>
        <charset val="2"/>
      </rPr>
      <t>W</t>
    </r>
  </si>
  <si>
    <r>
      <t>M/T</t>
    </r>
    <r>
      <rPr>
        <vertAlign val="superscript"/>
        <sz val="11"/>
        <color theme="1"/>
        <rFont val="Calibri"/>
        <family val="2"/>
        <scheme val="minor"/>
      </rPr>
      <t>2</t>
    </r>
  </si>
  <si>
    <r>
      <t>L</t>
    </r>
    <r>
      <rPr>
        <vertAlign val="superscript"/>
        <sz val="11"/>
        <color theme="1"/>
        <rFont val="Calibri"/>
        <family val="2"/>
        <scheme val="minor"/>
      </rPr>
      <t>2</t>
    </r>
    <r>
      <rPr>
        <sz val="11"/>
        <color theme="1"/>
        <rFont val="Calibri"/>
        <family val="2"/>
        <scheme val="minor"/>
      </rPr>
      <t>.I</t>
    </r>
  </si>
  <si>
    <r>
      <t>T.I/L</t>
    </r>
    <r>
      <rPr>
        <vertAlign val="superscript"/>
        <sz val="11"/>
        <color theme="1"/>
        <rFont val="Calibri"/>
        <family val="2"/>
        <scheme val="minor"/>
      </rPr>
      <t>3</t>
    </r>
  </si>
  <si>
    <t>M.L/T</t>
  </si>
  <si>
    <r>
      <t>M.L/T</t>
    </r>
    <r>
      <rPr>
        <vertAlign val="superscript"/>
        <sz val="11"/>
        <color theme="1"/>
        <rFont val="Calibri"/>
        <family val="2"/>
        <scheme val="minor"/>
      </rPr>
      <t>3</t>
    </r>
    <r>
      <rPr>
        <sz val="11"/>
        <color theme="1"/>
        <rFont val="Calibri"/>
        <family val="2"/>
        <scheme val="minor"/>
      </rPr>
      <t>.I</t>
    </r>
  </si>
  <si>
    <r>
      <t>M/T</t>
    </r>
    <r>
      <rPr>
        <vertAlign val="superscript"/>
        <sz val="11"/>
        <color theme="1"/>
        <rFont val="Calibri"/>
        <family val="2"/>
        <scheme val="minor"/>
      </rPr>
      <t>3</t>
    </r>
    <r>
      <rPr>
        <sz val="11"/>
        <color theme="1"/>
        <rFont val="Calibri"/>
        <family val="2"/>
        <scheme val="minor"/>
      </rPr>
      <t>.I</t>
    </r>
  </si>
  <si>
    <r>
      <t>L</t>
    </r>
    <r>
      <rPr>
        <vertAlign val="superscript"/>
        <sz val="11"/>
        <color theme="1"/>
        <rFont val="Calibri"/>
        <family val="2"/>
        <scheme val="minor"/>
      </rPr>
      <t>3</t>
    </r>
    <r>
      <rPr>
        <sz val="11"/>
        <color theme="1"/>
        <rFont val="Calibri"/>
        <family val="2"/>
        <scheme val="minor"/>
      </rPr>
      <t>/T</t>
    </r>
  </si>
  <si>
    <t>M/L</t>
  </si>
  <si>
    <r>
      <t>J/L</t>
    </r>
    <r>
      <rPr>
        <vertAlign val="superscript"/>
        <sz val="11"/>
        <color theme="1"/>
        <rFont val="Calibri"/>
        <family val="2"/>
        <scheme val="minor"/>
      </rPr>
      <t>2</t>
    </r>
  </si>
  <si>
    <t>1/L</t>
  </si>
  <si>
    <t>I/L</t>
  </si>
  <si>
    <r>
      <t>L</t>
    </r>
    <r>
      <rPr>
        <vertAlign val="superscript"/>
        <sz val="11"/>
        <color theme="1"/>
        <rFont val="Calibri"/>
        <family val="2"/>
        <scheme val="minor"/>
      </rPr>
      <t>2</t>
    </r>
    <r>
      <rPr>
        <sz val="11"/>
        <color theme="1"/>
        <rFont val="Calibri"/>
        <family val="2"/>
        <scheme val="minor"/>
      </rPr>
      <t>/T</t>
    </r>
  </si>
  <si>
    <r>
      <t>L/T</t>
    </r>
    <r>
      <rPr>
        <vertAlign val="superscript"/>
        <sz val="11"/>
        <color theme="1"/>
        <rFont val="Calibri"/>
        <family val="2"/>
        <scheme val="minor"/>
      </rPr>
      <t>3</t>
    </r>
  </si>
  <si>
    <r>
      <t>T</t>
    </r>
    <r>
      <rPr>
        <vertAlign val="superscript"/>
        <sz val="11"/>
        <color theme="1"/>
        <rFont val="Calibri"/>
        <family val="2"/>
        <scheme val="minor"/>
      </rPr>
      <t>3</t>
    </r>
    <r>
      <rPr>
        <sz val="11"/>
        <color theme="1"/>
        <rFont val="Calibri"/>
        <family val="2"/>
        <scheme val="minor"/>
      </rPr>
      <t>.I</t>
    </r>
    <r>
      <rPr>
        <vertAlign val="superscript"/>
        <sz val="11"/>
        <color theme="1"/>
        <rFont val="Calibri"/>
        <family val="2"/>
        <scheme val="minor"/>
      </rPr>
      <t>2</t>
    </r>
    <r>
      <rPr>
        <sz val="11"/>
        <color theme="1"/>
        <rFont val="Calibri"/>
        <family val="2"/>
        <scheme val="minor"/>
      </rPr>
      <t>/M.L</t>
    </r>
    <r>
      <rPr>
        <vertAlign val="superscript"/>
        <sz val="11"/>
        <color theme="1"/>
        <rFont val="Calibri"/>
        <family val="2"/>
        <scheme val="minor"/>
      </rPr>
      <t>3</t>
    </r>
  </si>
  <si>
    <r>
      <t>L.T</t>
    </r>
    <r>
      <rPr>
        <vertAlign val="superscript"/>
        <sz val="11"/>
        <color theme="1"/>
        <rFont val="Calibri"/>
        <family val="2"/>
        <scheme val="minor"/>
      </rPr>
      <t>2</t>
    </r>
    <r>
      <rPr>
        <sz val="11"/>
        <color theme="1"/>
        <rFont val="Calibri"/>
        <family val="2"/>
        <scheme val="minor"/>
      </rPr>
      <t>/M</t>
    </r>
  </si>
  <si>
    <r>
      <t>M/L</t>
    </r>
    <r>
      <rPr>
        <vertAlign val="superscript"/>
        <sz val="11"/>
        <color theme="1"/>
        <rFont val="Calibri"/>
        <family val="2"/>
        <scheme val="minor"/>
      </rPr>
      <t>2</t>
    </r>
    <r>
      <rPr>
        <sz val="11"/>
        <color theme="1"/>
        <rFont val="Calibri"/>
        <family val="2"/>
        <scheme val="minor"/>
      </rPr>
      <t>.T</t>
    </r>
  </si>
  <si>
    <r>
      <t>M.L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3</t>
    </r>
    <r>
      <rPr>
        <sz val="11"/>
        <color theme="1"/>
        <rFont val="Calibri"/>
        <family val="2"/>
        <scheme val="minor"/>
      </rPr>
      <t>.</t>
    </r>
    <r>
      <rPr>
        <sz val="11"/>
        <color theme="1"/>
        <rFont val="Symbol"/>
        <family val="1"/>
        <charset val="2"/>
      </rPr>
      <t>W</t>
    </r>
  </si>
  <si>
    <r>
      <t>M/L</t>
    </r>
    <r>
      <rPr>
        <vertAlign val="superscript"/>
        <sz val="11"/>
        <color theme="1"/>
        <rFont val="Calibri"/>
        <family val="2"/>
        <scheme val="minor"/>
      </rPr>
      <t>4</t>
    </r>
    <r>
      <rPr>
        <sz val="11"/>
        <color theme="1"/>
        <rFont val="Calibri"/>
        <family val="2"/>
        <scheme val="minor"/>
      </rPr>
      <t>.T</t>
    </r>
  </si>
  <si>
    <r>
      <t>M.L/T</t>
    </r>
    <r>
      <rPr>
        <vertAlign val="superscript"/>
        <sz val="11"/>
        <color theme="1"/>
        <rFont val="Calibri"/>
        <family val="2"/>
        <scheme val="minor"/>
      </rPr>
      <t>3</t>
    </r>
    <r>
      <rPr>
        <sz val="11"/>
        <color theme="1"/>
        <rFont val="Calibri"/>
        <family val="2"/>
        <scheme val="minor"/>
      </rPr>
      <t>.</t>
    </r>
    <r>
      <rPr>
        <sz val="11"/>
        <color theme="1"/>
        <rFont val="Symbol"/>
        <family val="1"/>
        <charset val="2"/>
      </rPr>
      <t>Q</t>
    </r>
  </si>
  <si>
    <r>
      <t>L</t>
    </r>
    <r>
      <rPr>
        <vertAlign val="superscript"/>
        <sz val="11"/>
        <color theme="1"/>
        <rFont val="Calibri"/>
        <family val="2"/>
        <scheme val="minor"/>
      </rPr>
      <t>3</t>
    </r>
    <r>
      <rPr>
        <sz val="11"/>
        <color theme="1"/>
        <rFont val="Calibri"/>
        <family val="2"/>
        <scheme val="minor"/>
      </rPr>
      <t>/M</t>
    </r>
  </si>
  <si>
    <r>
      <t>J.</t>
    </r>
    <r>
      <rPr>
        <sz val="11"/>
        <color theme="1"/>
        <rFont val="Symbol"/>
        <family val="1"/>
        <charset val="2"/>
      </rPr>
      <t>W</t>
    </r>
    <r>
      <rPr>
        <sz val="11"/>
        <color theme="1"/>
        <rFont val="Calibri"/>
        <family val="2"/>
        <scheme val="minor"/>
      </rPr>
      <t>/L</t>
    </r>
    <r>
      <rPr>
        <vertAlign val="superscript"/>
        <sz val="11"/>
        <color theme="1"/>
        <rFont val="Symbol"/>
        <family val="1"/>
        <charset val="2"/>
      </rPr>
      <t>2</t>
    </r>
  </si>
  <si>
    <t>I/M</t>
  </si>
  <si>
    <r>
      <rPr>
        <sz val="11"/>
        <color theme="1"/>
        <rFont val="Symbol"/>
        <family val="1"/>
        <charset val="2"/>
      </rPr>
      <t>a</t>
    </r>
    <r>
      <rPr>
        <sz val="11"/>
        <color theme="1"/>
        <rFont val="Calibri"/>
        <family val="2"/>
        <scheme val="minor"/>
      </rPr>
      <t>/T</t>
    </r>
  </si>
  <si>
    <r>
      <t>I/L</t>
    </r>
    <r>
      <rPr>
        <vertAlign val="superscript"/>
        <sz val="11"/>
        <color theme="1"/>
        <rFont val="Calibri"/>
        <family val="2"/>
        <scheme val="minor"/>
      </rPr>
      <t>2</t>
    </r>
  </si>
  <si>
    <t>L/M</t>
  </si>
  <si>
    <r>
      <t>T</t>
    </r>
    <r>
      <rPr>
        <vertAlign val="superscript"/>
        <sz val="11"/>
        <color theme="1"/>
        <rFont val="Calibri"/>
        <family val="2"/>
        <scheme val="minor"/>
      </rPr>
      <t>3</t>
    </r>
    <r>
      <rPr>
        <sz val="11"/>
        <color theme="1"/>
        <rFont val="Calibri"/>
        <family val="2"/>
        <scheme val="minor"/>
      </rPr>
      <t>.</t>
    </r>
    <r>
      <rPr>
        <sz val="11"/>
        <color theme="1"/>
        <rFont val="Symbol"/>
        <family val="1"/>
        <charset val="2"/>
      </rPr>
      <t>Q</t>
    </r>
    <r>
      <rPr>
        <sz val="11"/>
        <color theme="1"/>
        <rFont val="Calibri"/>
        <family val="2"/>
        <scheme val="minor"/>
      </rPr>
      <t>/M</t>
    </r>
  </si>
  <si>
    <r>
      <t>M/L</t>
    </r>
    <r>
      <rPr>
        <vertAlign val="superscript"/>
        <sz val="11"/>
        <color theme="1"/>
        <rFont val="Calibri"/>
        <family val="2"/>
        <scheme val="minor"/>
      </rPr>
      <t>2</t>
    </r>
  </si>
  <si>
    <r>
      <t>M.L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2</t>
    </r>
    <r>
      <rPr>
        <sz val="11"/>
        <color theme="1"/>
        <rFont val="Calibri"/>
        <family val="2"/>
        <scheme val="minor"/>
      </rPr>
      <t>.</t>
    </r>
    <r>
      <rPr>
        <sz val="11"/>
        <color theme="1"/>
        <rFont val="Symbol"/>
        <family val="1"/>
        <charset val="2"/>
      </rPr>
      <t>Q</t>
    </r>
  </si>
  <si>
    <r>
      <t>M.L</t>
    </r>
    <r>
      <rPr>
        <vertAlign val="superscript"/>
        <sz val="11"/>
        <color theme="1"/>
        <rFont val="Calibri"/>
        <family val="2"/>
        <scheme val="minor"/>
      </rPr>
      <t>3</t>
    </r>
    <r>
      <rPr>
        <sz val="11"/>
        <color theme="1"/>
        <rFont val="Calibri"/>
        <family val="2"/>
        <scheme val="minor"/>
      </rPr>
      <t>/T</t>
    </r>
    <r>
      <rPr>
        <vertAlign val="superscript"/>
        <sz val="11"/>
        <color theme="1"/>
        <rFont val="Calibri"/>
        <family val="2"/>
        <scheme val="minor"/>
      </rPr>
      <t>3</t>
    </r>
    <r>
      <rPr>
        <sz val="11"/>
        <color theme="1"/>
        <rFont val="Calibri"/>
        <family val="2"/>
        <scheme val="minor"/>
      </rPr>
      <t>.I</t>
    </r>
    <r>
      <rPr>
        <vertAlign val="superscript"/>
        <sz val="11"/>
        <color theme="1"/>
        <rFont val="Calibri"/>
        <family val="2"/>
        <scheme val="minor"/>
      </rPr>
      <t>2</t>
    </r>
  </si>
  <si>
    <r>
      <t>M/T</t>
    </r>
    <r>
      <rPr>
        <vertAlign val="superscript"/>
        <sz val="11"/>
        <color theme="1"/>
        <rFont val="Calibri"/>
        <family val="2"/>
        <scheme val="minor"/>
      </rPr>
      <t>3</t>
    </r>
  </si>
  <si>
    <r>
      <t>M/T</t>
    </r>
    <r>
      <rPr>
        <vertAlign val="superscript"/>
        <sz val="11"/>
        <color theme="1"/>
        <rFont val="Calibri"/>
        <family val="2"/>
        <scheme val="minor"/>
      </rPr>
      <t>3</t>
    </r>
    <r>
      <rPr>
        <sz val="11"/>
        <color theme="1"/>
        <rFont val="Calibri"/>
        <family val="2"/>
        <scheme val="minor"/>
      </rPr>
      <t>.</t>
    </r>
    <r>
      <rPr>
        <sz val="11"/>
        <color theme="1"/>
        <rFont val="Symbol"/>
        <family val="1"/>
        <charset val="2"/>
      </rPr>
      <t>Q</t>
    </r>
  </si>
  <si>
    <r>
      <t>N/L</t>
    </r>
    <r>
      <rPr>
        <vertAlign val="superscript"/>
        <sz val="11"/>
        <color theme="1"/>
        <rFont val="Calibri"/>
        <family val="2"/>
        <scheme val="minor"/>
      </rPr>
      <t>3</t>
    </r>
  </si>
  <si>
    <r>
      <t>T</t>
    </r>
    <r>
      <rPr>
        <vertAlign val="superscript"/>
        <sz val="11"/>
        <color theme="1"/>
        <rFont val="Calibri"/>
        <family val="2"/>
        <scheme val="minor"/>
      </rPr>
      <t>2</t>
    </r>
    <r>
      <rPr>
        <sz val="11"/>
        <color theme="1"/>
        <rFont val="Calibri"/>
        <family val="2"/>
        <scheme val="minor"/>
      </rPr>
      <t>.N/M.L</t>
    </r>
    <r>
      <rPr>
        <vertAlign val="superscript"/>
        <sz val="11"/>
        <color theme="1"/>
        <rFont val="Calibri"/>
        <family val="2"/>
        <scheme val="minor"/>
      </rPr>
      <t>2</t>
    </r>
  </si>
  <si>
    <r>
      <t>T</t>
    </r>
    <r>
      <rPr>
        <vertAlign val="superscript"/>
        <sz val="11"/>
        <color theme="1"/>
        <rFont val="Calibri"/>
        <family val="2"/>
        <scheme val="minor"/>
      </rPr>
      <t>2</t>
    </r>
    <r>
      <rPr>
        <sz val="11"/>
        <color theme="1"/>
        <rFont val="Calibri"/>
        <family val="2"/>
        <scheme val="minor"/>
      </rPr>
      <t>.I</t>
    </r>
    <r>
      <rPr>
        <vertAlign val="superscript"/>
        <sz val="11"/>
        <color theme="1"/>
        <rFont val="Calibri"/>
        <family val="2"/>
        <scheme val="minor"/>
      </rPr>
      <t>2</t>
    </r>
    <r>
      <rPr>
        <sz val="11"/>
        <color theme="1"/>
        <rFont val="Calibri"/>
        <family val="2"/>
        <scheme val="minor"/>
      </rPr>
      <t>/M.L</t>
    </r>
    <r>
      <rPr>
        <vertAlign val="superscript"/>
        <sz val="11"/>
        <color theme="1"/>
        <rFont val="Calibri"/>
        <family val="2"/>
        <scheme val="minor"/>
      </rPr>
      <t>2</t>
    </r>
  </si>
  <si>
    <r>
      <t>a</t>
    </r>
    <r>
      <rPr>
        <sz val="11"/>
        <color theme="1"/>
        <rFont val="Calibri"/>
        <family val="2"/>
        <scheme val="minor"/>
      </rPr>
      <t>/T</t>
    </r>
  </si>
  <si>
    <r>
      <t>N/L</t>
    </r>
    <r>
      <rPr>
        <vertAlign val="superscript"/>
        <sz val="11"/>
        <color theme="1"/>
        <rFont val="Calibri"/>
        <family val="2"/>
        <scheme val="minor"/>
      </rPr>
      <t>2</t>
    </r>
  </si>
  <si>
    <r>
      <t>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2</t>
    </r>
    <r>
      <rPr>
        <sz val="11"/>
        <color theme="1"/>
        <rFont val="Calibri"/>
        <family val="2"/>
        <scheme val="minor"/>
      </rPr>
      <t>.</t>
    </r>
    <r>
      <rPr>
        <sz val="11"/>
        <color theme="1"/>
        <rFont val="Symbol"/>
        <family val="1"/>
        <charset val="2"/>
      </rPr>
      <t>Q</t>
    </r>
  </si>
  <si>
    <r>
      <t>L</t>
    </r>
    <r>
      <rPr>
        <vertAlign val="superscript"/>
        <sz val="11"/>
        <color theme="1"/>
        <rFont val="Calibri"/>
        <family val="2"/>
        <scheme val="minor"/>
      </rPr>
      <t>3</t>
    </r>
    <r>
      <rPr>
        <sz val="11"/>
        <color theme="1"/>
        <rFont val="Calibri"/>
        <family val="2"/>
        <scheme val="minor"/>
      </rPr>
      <t>/N</t>
    </r>
  </si>
  <si>
    <r>
      <t>1/L</t>
    </r>
    <r>
      <rPr>
        <vertAlign val="superscript"/>
        <sz val="11"/>
        <color theme="1"/>
        <rFont val="Calibri"/>
        <family val="2"/>
        <scheme val="minor"/>
      </rPr>
      <t>3</t>
    </r>
    <r>
      <rPr>
        <sz val="11"/>
        <color theme="1"/>
        <rFont val="Calibri"/>
        <family val="2"/>
        <scheme val="minor"/>
      </rPr>
      <t>.T</t>
    </r>
  </si>
  <si>
    <r>
      <t>L/T</t>
    </r>
    <r>
      <rPr>
        <vertAlign val="superscript"/>
        <sz val="11"/>
        <color theme="1"/>
        <rFont val="Calibri"/>
        <family val="2"/>
        <scheme val="minor"/>
      </rPr>
      <t>3</t>
    </r>
    <r>
      <rPr>
        <sz val="11"/>
        <color theme="1"/>
        <rFont val="Calibri"/>
        <family val="2"/>
        <scheme val="minor"/>
      </rPr>
      <t>.</t>
    </r>
    <r>
      <rPr>
        <sz val="11"/>
        <color theme="1"/>
        <rFont val="Symbol"/>
        <family val="1"/>
        <charset val="2"/>
      </rPr>
      <t>Q</t>
    </r>
  </si>
  <si>
    <t>1/M.T</t>
  </si>
  <si>
    <r>
      <t>M.L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2</t>
    </r>
    <r>
      <rPr>
        <sz val="11"/>
        <color theme="1"/>
        <rFont val="Calibri"/>
        <family val="2"/>
        <scheme val="minor"/>
      </rPr>
      <t>.</t>
    </r>
    <r>
      <rPr>
        <sz val="11"/>
        <color theme="1"/>
        <rFont val="Symbol"/>
        <family val="1"/>
        <charset val="2"/>
      </rPr>
      <t>Q</t>
    </r>
    <r>
      <rPr>
        <sz val="11"/>
        <color theme="1"/>
        <rFont val="Calibri"/>
        <family val="2"/>
        <scheme val="minor"/>
      </rPr>
      <t>.N</t>
    </r>
  </si>
  <si>
    <t>M/T</t>
  </si>
  <si>
    <t>T.I/N</t>
  </si>
  <si>
    <r>
      <rPr>
        <sz val="11"/>
        <color theme="1"/>
        <rFont val="Symbol"/>
        <family val="1"/>
        <charset val="2"/>
      </rPr>
      <t>a</t>
    </r>
    <r>
      <rPr>
        <sz val="11"/>
        <color theme="1"/>
        <rFont val="Calibri"/>
        <family val="2"/>
        <scheme val="minor"/>
      </rPr>
      <t>/T</t>
    </r>
    <r>
      <rPr>
        <vertAlign val="superscript"/>
        <sz val="11"/>
        <color theme="1"/>
        <rFont val="Calibri"/>
        <family val="2"/>
        <scheme val="minor"/>
      </rPr>
      <t>2</t>
    </r>
  </si>
  <si>
    <r>
      <t>J.</t>
    </r>
    <r>
      <rPr>
        <sz val="11"/>
        <color theme="1"/>
        <rFont val="Symbol"/>
        <family val="1"/>
        <charset val="2"/>
      </rPr>
      <t>W</t>
    </r>
    <r>
      <rPr>
        <sz val="11"/>
        <color theme="1"/>
        <rFont val="Calibri"/>
        <family val="2"/>
        <scheme val="minor"/>
      </rPr>
      <t>/L</t>
    </r>
    <r>
      <rPr>
        <vertAlign val="superscript"/>
        <sz val="11"/>
        <color theme="1"/>
        <rFont val="Calibri"/>
        <family val="2"/>
        <scheme val="minor"/>
      </rPr>
      <t>2</t>
    </r>
  </si>
  <si>
    <r>
      <t>L</t>
    </r>
    <r>
      <rPr>
        <vertAlign val="superscript"/>
        <sz val="11"/>
        <color theme="1"/>
        <rFont val="Calibri"/>
        <family val="2"/>
        <scheme val="minor"/>
      </rPr>
      <t>2</t>
    </r>
    <r>
      <rPr>
        <sz val="11"/>
        <color theme="1"/>
        <rFont val="Calibri"/>
        <family val="2"/>
        <scheme val="minor"/>
      </rPr>
      <t>/N</t>
    </r>
  </si>
  <si>
    <r>
      <t>T.I/L</t>
    </r>
    <r>
      <rPr>
        <vertAlign val="superscript"/>
        <sz val="11"/>
        <color theme="1"/>
        <rFont val="Calibri"/>
        <family val="2"/>
        <scheme val="minor"/>
      </rPr>
      <t>2</t>
    </r>
  </si>
  <si>
    <r>
      <t>M.L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3</t>
    </r>
    <r>
      <rPr>
        <sz val="11"/>
        <color theme="1"/>
        <rFont val="Calibri"/>
        <family val="2"/>
        <scheme val="minor"/>
      </rPr>
      <t>.</t>
    </r>
    <r>
      <rPr>
        <sz val="11"/>
        <color theme="1"/>
        <rFont val="Symbol"/>
        <family val="1"/>
        <charset val="2"/>
      </rPr>
      <t>Q</t>
    </r>
  </si>
  <si>
    <r>
      <t>M.L/T</t>
    </r>
    <r>
      <rPr>
        <vertAlign val="superscript"/>
        <sz val="11"/>
        <color theme="1"/>
        <rFont val="Calibri"/>
        <family val="2"/>
        <scheme val="minor"/>
      </rPr>
      <t>2</t>
    </r>
    <r>
      <rPr>
        <sz val="11"/>
        <color theme="1"/>
        <rFont val="Calibri"/>
        <family val="2"/>
        <scheme val="minor"/>
      </rPr>
      <t>.I</t>
    </r>
  </si>
  <si>
    <t>T/L</t>
  </si>
  <si>
    <r>
      <t>M.L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4</t>
    </r>
    <r>
      <rPr>
        <sz val="11"/>
        <color theme="1"/>
        <rFont val="Calibri"/>
        <family val="2"/>
        <scheme val="minor"/>
      </rPr>
      <t>.I</t>
    </r>
    <r>
      <rPr>
        <vertAlign val="superscript"/>
        <sz val="11"/>
        <color theme="1"/>
        <rFont val="Calibri"/>
        <family val="2"/>
        <scheme val="minor"/>
      </rPr>
      <t>2</t>
    </r>
  </si>
  <si>
    <t>lsec, csec</t>
  </si>
  <si>
    <t>MO</t>
  </si>
  <si>
    <r>
      <t>(</t>
    </r>
    <r>
      <rPr>
        <vertAlign val="superscript"/>
        <sz val="11"/>
        <color theme="1"/>
        <rFont val="Calibri"/>
        <family val="2"/>
      </rPr>
      <t>o</t>
    </r>
    <r>
      <rPr>
        <sz val="11"/>
        <color theme="1"/>
        <rFont val="Calibri"/>
        <family val="2"/>
      </rPr>
      <t>)</t>
    </r>
    <r>
      <rPr>
        <vertAlign val="superscript"/>
        <sz val="11"/>
        <color theme="1"/>
        <rFont val="Calibri"/>
        <family val="2"/>
      </rPr>
      <t>2</t>
    </r>
  </si>
  <si>
    <r>
      <t>(')</t>
    </r>
    <r>
      <rPr>
        <vertAlign val="superscript"/>
        <sz val="11"/>
        <color theme="1"/>
        <rFont val="Calibri"/>
        <family val="2"/>
        <scheme val="minor"/>
      </rPr>
      <t>2</t>
    </r>
    <r>
      <rPr>
        <sz val="11"/>
        <color theme="1"/>
        <rFont val="Calibri"/>
        <family val="2"/>
        <scheme val="minor"/>
      </rPr>
      <t>, min</t>
    </r>
    <r>
      <rPr>
        <vertAlign val="superscript"/>
        <sz val="11"/>
        <color theme="1"/>
        <rFont val="Calibri"/>
        <family val="2"/>
        <scheme val="minor"/>
      </rPr>
      <t>2</t>
    </r>
  </si>
  <si>
    <t>AU, UA, au, ua</t>
  </si>
  <si>
    <r>
      <t>a</t>
    </r>
    <r>
      <rPr>
        <vertAlign val="subscript"/>
        <sz val="11"/>
        <color theme="1"/>
        <rFont val="Calibri"/>
        <family val="2"/>
        <scheme val="minor"/>
      </rPr>
      <t>o</t>
    </r>
    <r>
      <rPr>
        <vertAlign val="superscript"/>
        <sz val="11"/>
        <color theme="1"/>
        <rFont val="Calibri"/>
        <family val="2"/>
        <scheme val="minor"/>
      </rPr>
      <t>3</t>
    </r>
  </si>
  <si>
    <t>liquid volume</t>
  </si>
  <si>
    <t>dry volume</t>
  </si>
  <si>
    <r>
      <t>(g)</t>
    </r>
    <r>
      <rPr>
        <vertAlign val="superscript"/>
        <sz val="11"/>
        <color theme="1"/>
        <rFont val="Calibri"/>
        <family val="2"/>
      </rPr>
      <t>2</t>
    </r>
  </si>
  <si>
    <r>
      <rPr>
        <vertAlign val="superscript"/>
        <sz val="11"/>
        <color rgb="FFFF0000"/>
        <rFont val="Calibri"/>
        <family val="2"/>
        <scheme val="minor"/>
      </rPr>
      <t>o</t>
    </r>
    <r>
      <rPr>
        <sz val="11"/>
        <color rgb="FFFF0000"/>
        <rFont val="Calibri"/>
        <family val="2"/>
        <scheme val="minor"/>
      </rPr>
      <t>Re</t>
    </r>
  </si>
  <si>
    <r>
      <rPr>
        <vertAlign val="superscript"/>
        <sz val="11"/>
        <color rgb="FFFF0000"/>
        <rFont val="Calibri"/>
        <family val="2"/>
        <scheme val="minor"/>
      </rPr>
      <t>o</t>
    </r>
    <r>
      <rPr>
        <sz val="11"/>
        <color rgb="FFFF0000"/>
        <rFont val="Calibri"/>
        <family val="2"/>
        <scheme val="minor"/>
      </rPr>
      <t>F</t>
    </r>
  </si>
  <si>
    <r>
      <rPr>
        <vertAlign val="superscript"/>
        <sz val="11"/>
        <color rgb="FFFF0000"/>
        <rFont val="Calibri"/>
        <family val="2"/>
        <scheme val="minor"/>
      </rPr>
      <t>o</t>
    </r>
    <r>
      <rPr>
        <sz val="11"/>
        <color rgb="FFFF0000"/>
        <rFont val="Calibri"/>
        <family val="2"/>
        <scheme val="minor"/>
      </rPr>
      <t>R</t>
    </r>
  </si>
  <si>
    <t>twip</t>
  </si>
  <si>
    <t>cable</t>
  </si>
  <si>
    <t>nmi</t>
  </si>
  <si>
    <t>q, qtr</t>
  </si>
  <si>
    <t>m, min</t>
  </si>
  <si>
    <r>
      <t>L</t>
    </r>
    <r>
      <rPr>
        <vertAlign val="superscript"/>
        <sz val="11"/>
        <color theme="1"/>
        <rFont val="Calibri"/>
        <family val="2"/>
        <scheme val="minor"/>
      </rPr>
      <t>2</t>
    </r>
    <r>
      <rPr>
        <sz val="11"/>
        <color theme="1"/>
        <rFont val="Calibri"/>
        <family val="2"/>
        <scheme val="minor"/>
      </rPr>
      <t>/T</t>
    </r>
    <r>
      <rPr>
        <vertAlign val="superscript"/>
        <sz val="11"/>
        <color theme="1"/>
        <rFont val="Calibri"/>
        <family val="2"/>
        <scheme val="minor"/>
      </rPr>
      <t>2</t>
    </r>
    <r>
      <rPr>
        <sz val="11"/>
        <color theme="1"/>
        <rFont val="Symbol"/>
        <family val="1"/>
        <charset val="2"/>
      </rPr>
      <t>Q</t>
    </r>
  </si>
  <si>
    <t>Gas constant</t>
  </si>
  <si>
    <t>Ratio of Specific Heats</t>
  </si>
  <si>
    <t>Room temperature</t>
  </si>
  <si>
    <r>
      <rPr>
        <vertAlign val="superscript"/>
        <sz val="11"/>
        <color rgb="FFFF0000"/>
        <rFont val="Calibri"/>
        <family val="2"/>
        <scheme val="minor"/>
      </rPr>
      <t>o</t>
    </r>
    <r>
      <rPr>
        <sz val="11"/>
        <color rgb="FFFF0000"/>
        <rFont val="Calibri"/>
        <family val="2"/>
        <scheme val="minor"/>
      </rPr>
      <t>C</t>
    </r>
  </si>
  <si>
    <r>
      <t xml:space="preserve">min, </t>
    </r>
    <r>
      <rPr>
        <sz val="11"/>
        <color theme="1"/>
        <rFont val="Calibri"/>
        <family val="2"/>
      </rPr>
      <t>M</t>
    </r>
  </si>
  <si>
    <t>Eight bits</t>
  </si>
  <si>
    <t>v</t>
  </si>
  <si>
    <t>sec</t>
  </si>
  <si>
    <t>rad/hr</t>
  </si>
  <si>
    <t>rad/yr</t>
  </si>
  <si>
    <t>millirad</t>
  </si>
  <si>
    <t>milliradian</t>
  </si>
  <si>
    <t>Offset</t>
  </si>
  <si>
    <t>month</t>
  </si>
  <si>
    <t>sra</t>
  </si>
  <si>
    <t>hoa</t>
  </si>
  <si>
    <t>emuc</t>
  </si>
  <si>
    <t>candle</t>
  </si>
  <si>
    <t>ft-L</t>
  </si>
  <si>
    <t>ft-C, dt-cd, fc</t>
  </si>
  <si>
    <t>BOPSD, bopsd</t>
  </si>
  <si>
    <r>
      <t xml:space="preserve">Gs, </t>
    </r>
    <r>
      <rPr>
        <sz val="11"/>
        <color theme="1"/>
        <rFont val="Symbol"/>
        <family val="1"/>
        <charset val="2"/>
      </rPr>
      <t>G</t>
    </r>
  </si>
  <si>
    <r>
      <t>a</t>
    </r>
    <r>
      <rPr>
        <vertAlign val="subscript"/>
        <sz val="11"/>
        <color theme="1"/>
        <rFont val="Calibri"/>
        <family val="2"/>
        <scheme val="minor"/>
      </rPr>
      <t>o</t>
    </r>
    <r>
      <rPr>
        <sz val="11"/>
        <color theme="1"/>
        <rFont val="Calibri"/>
        <family val="2"/>
        <scheme val="minor"/>
      </rPr>
      <t>, b, auefsg</t>
    </r>
  </si>
  <si>
    <t>fat</t>
  </si>
  <si>
    <t>ul</t>
  </si>
  <si>
    <r>
      <t>A</t>
    </r>
    <r>
      <rPr>
        <vertAlign val="superscript"/>
        <sz val="11"/>
        <color theme="1"/>
        <rFont val="Calibri"/>
        <family val="2"/>
      </rPr>
      <t>2</t>
    </r>
  </si>
  <si>
    <t>uu</t>
  </si>
  <si>
    <t>WKT1, A*</t>
  </si>
  <si>
    <t>dt</t>
  </si>
  <si>
    <t>uin</t>
  </si>
  <si>
    <t>kiladja</t>
  </si>
  <si>
    <t>aul</t>
  </si>
  <si>
    <r>
      <t>a</t>
    </r>
    <r>
      <rPr>
        <vertAlign val="subscript"/>
        <sz val="11"/>
        <color theme="1"/>
        <rFont val="Calibri"/>
        <family val="2"/>
        <scheme val="minor"/>
      </rPr>
      <t>o</t>
    </r>
    <r>
      <rPr>
        <sz val="11"/>
        <color theme="1"/>
        <rFont val="Calibri"/>
        <family val="2"/>
        <scheme val="minor"/>
      </rPr>
      <t>, b</t>
    </r>
  </si>
  <si>
    <t>grote</t>
  </si>
  <si>
    <t>kleine</t>
  </si>
  <si>
    <t>journeau</t>
  </si>
  <si>
    <t>journee</t>
  </si>
  <si>
    <t>cade</t>
  </si>
  <si>
    <t>centiinch</t>
  </si>
  <si>
    <t>cin</t>
  </si>
  <si>
    <t>fum, BM, fbm</t>
  </si>
  <si>
    <t>podium</t>
  </si>
  <si>
    <t>mm, nm, mu</t>
  </si>
  <si>
    <t>gg</t>
  </si>
  <si>
    <t>ggg</t>
  </si>
  <si>
    <t>arcmin, arcminute</t>
  </si>
  <si>
    <t>arcsec, arcsecond</t>
  </si>
  <si>
    <t>UX, XU</t>
  </si>
  <si>
    <t>ac</t>
  </si>
  <si>
    <t>AT</t>
  </si>
  <si>
    <r>
      <rPr>
        <vertAlign val="superscript"/>
        <sz val="11"/>
        <color rgb="FFFF0000"/>
        <rFont val="Calibri"/>
        <family val="2"/>
        <scheme val="minor"/>
      </rPr>
      <t>o</t>
    </r>
    <r>
      <rPr>
        <sz val="11"/>
        <color rgb="FFFF0000"/>
        <rFont val="Calibri"/>
        <family val="2"/>
        <scheme val="minor"/>
      </rPr>
      <t>K</t>
    </r>
  </si>
  <si>
    <t>milliarcsec</t>
  </si>
  <si>
    <t>aA</t>
  </si>
  <si>
    <t>statA</t>
  </si>
  <si>
    <t>statC</t>
  </si>
  <si>
    <t>hefnerkerze</t>
  </si>
  <si>
    <t>HK</t>
  </si>
  <si>
    <t>ppi</t>
  </si>
  <si>
    <t>dpi</t>
  </si>
  <si>
    <t>uB, B</t>
  </si>
  <si>
    <t>uN, BN</t>
  </si>
  <si>
    <t>St</t>
  </si>
  <si>
    <t>Ar</t>
  </si>
  <si>
    <t>noeud</t>
  </si>
  <si>
    <t>jolt</t>
  </si>
  <si>
    <t>j</t>
  </si>
  <si>
    <r>
      <t>aS, 1/a</t>
    </r>
    <r>
      <rPr>
        <sz val="11"/>
        <color theme="1"/>
        <rFont val="Symbol"/>
        <family val="1"/>
        <charset val="2"/>
      </rPr>
      <t>W</t>
    </r>
  </si>
  <si>
    <t>aF</t>
  </si>
  <si>
    <t>barrie</t>
  </si>
  <si>
    <t>ubar</t>
  </si>
  <si>
    <r>
      <t>kip/in</t>
    </r>
    <r>
      <rPr>
        <vertAlign val="superscript"/>
        <sz val="11"/>
        <color theme="1"/>
        <rFont val="Calibri"/>
        <family val="2"/>
        <scheme val="minor"/>
      </rPr>
      <t>2</t>
    </r>
    <r>
      <rPr>
        <sz val="11"/>
        <color theme="1"/>
        <rFont val="Calibri"/>
        <family val="2"/>
        <scheme val="minor"/>
      </rPr>
      <t>, ksi, KSI</t>
    </r>
  </si>
  <si>
    <t>DU</t>
  </si>
  <si>
    <t>pcu</t>
  </si>
  <si>
    <t>calorie</t>
  </si>
  <si>
    <t>aH</t>
  </si>
  <si>
    <t>statH</t>
  </si>
  <si>
    <t>ue</t>
  </si>
  <si>
    <t>eu</t>
  </si>
  <si>
    <t>cv</t>
  </si>
  <si>
    <t>HP</t>
  </si>
  <si>
    <t>aV</t>
  </si>
  <si>
    <t>statV</t>
  </si>
  <si>
    <r>
      <t>a</t>
    </r>
    <r>
      <rPr>
        <sz val="11"/>
        <color theme="1"/>
        <rFont val="Symbol"/>
        <family val="1"/>
        <charset val="2"/>
      </rPr>
      <t>W</t>
    </r>
  </si>
  <si>
    <t>kgf, kgp</t>
  </si>
  <si>
    <t>sn, sth</t>
  </si>
  <si>
    <t>aC</t>
  </si>
  <si>
    <t>length</t>
  </si>
  <si>
    <t>area</t>
  </si>
  <si>
    <t>chin</t>
  </si>
  <si>
    <t>t/m</t>
  </si>
  <si>
    <t>kg/cm</t>
  </si>
  <si>
    <t>kg/dm</t>
  </si>
  <si>
    <t>lb/ft</t>
  </si>
  <si>
    <t>t/km</t>
  </si>
  <si>
    <t>lb/yd</t>
  </si>
  <si>
    <t>t/mi</t>
  </si>
  <si>
    <t>density, volume density</t>
  </si>
  <si>
    <r>
      <t>lb/in</t>
    </r>
    <r>
      <rPr>
        <vertAlign val="superscript"/>
        <sz val="11"/>
        <color rgb="FF000000"/>
        <rFont val="Calibri"/>
        <family val="2"/>
      </rPr>
      <t>2</t>
    </r>
  </si>
  <si>
    <r>
      <t>oz/in</t>
    </r>
    <r>
      <rPr>
        <vertAlign val="superscript"/>
        <sz val="11"/>
        <color rgb="FF000000"/>
        <rFont val="Calibri"/>
        <family val="2"/>
      </rPr>
      <t>2</t>
    </r>
  </si>
  <si>
    <r>
      <t>kg/cm</t>
    </r>
    <r>
      <rPr>
        <vertAlign val="superscript"/>
        <sz val="11"/>
        <color rgb="FF000000"/>
        <rFont val="Calibri"/>
        <family val="2"/>
      </rPr>
      <t>2</t>
    </r>
  </si>
  <si>
    <r>
      <t>lb/ft</t>
    </r>
    <r>
      <rPr>
        <vertAlign val="superscript"/>
        <sz val="11"/>
        <color rgb="FF000000"/>
        <rFont val="Calibri"/>
        <family val="2"/>
      </rPr>
      <t>2</t>
    </r>
  </si>
  <si>
    <r>
      <t>oz/ft</t>
    </r>
    <r>
      <rPr>
        <vertAlign val="superscript"/>
        <sz val="11"/>
        <color rgb="FF000000"/>
        <rFont val="Calibri"/>
        <family val="2"/>
      </rPr>
      <t>2</t>
    </r>
  </si>
  <si>
    <r>
      <t>oz/yd</t>
    </r>
    <r>
      <rPr>
        <vertAlign val="superscript"/>
        <sz val="11"/>
        <color rgb="FF000000"/>
        <rFont val="Calibri"/>
        <family val="2"/>
      </rPr>
      <t>2</t>
    </r>
  </si>
  <si>
    <r>
      <t>mg/cm</t>
    </r>
    <r>
      <rPr>
        <vertAlign val="superscript"/>
        <sz val="11"/>
        <color rgb="FF000000"/>
        <rFont val="Calibri"/>
        <family val="2"/>
      </rPr>
      <t>2</t>
    </r>
  </si>
  <si>
    <t>lb/ac</t>
  </si>
  <si>
    <t>kg/ha</t>
  </si>
  <si>
    <r>
      <t>ton/mi</t>
    </r>
    <r>
      <rPr>
        <vertAlign val="superscript"/>
        <sz val="11"/>
        <color rgb="FF000000"/>
        <rFont val="Calibri"/>
        <family val="2"/>
      </rPr>
      <t>2</t>
    </r>
  </si>
  <si>
    <r>
      <t>g.cm</t>
    </r>
    <r>
      <rPr>
        <vertAlign val="superscript"/>
        <sz val="11.5"/>
        <rFont val="Times New Roman"/>
        <family val="1"/>
      </rPr>
      <t>-3</t>
    </r>
  </si>
  <si>
    <r>
      <t>g/mm</t>
    </r>
    <r>
      <rPr>
        <vertAlign val="superscript"/>
        <sz val="11.5"/>
        <rFont val="Times New Roman"/>
        <family val="1"/>
      </rPr>
      <t>3</t>
    </r>
  </si>
  <si>
    <t>lb/gal</t>
  </si>
  <si>
    <t>oz/gal</t>
  </si>
  <si>
    <r>
      <t>g/dm</t>
    </r>
    <r>
      <rPr>
        <vertAlign val="superscript"/>
        <sz val="11.5"/>
        <rFont val="Times New Roman"/>
        <family val="1"/>
      </rPr>
      <t>3</t>
    </r>
  </si>
  <si>
    <t>gr/gal</t>
  </si>
  <si>
    <r>
      <t>g/m</t>
    </r>
    <r>
      <rPr>
        <vertAlign val="superscript"/>
        <sz val="11.5"/>
        <rFont val="Times New Roman"/>
        <family val="1"/>
      </rPr>
      <t>3</t>
    </r>
  </si>
  <si>
    <r>
      <t>kg/dm</t>
    </r>
    <r>
      <rPr>
        <vertAlign val="superscript"/>
        <sz val="11"/>
        <color theme="1"/>
        <rFont val="Calibri"/>
        <family val="2"/>
        <scheme val="minor"/>
      </rPr>
      <t>3</t>
    </r>
  </si>
  <si>
    <r>
      <t>gr/ft</t>
    </r>
    <r>
      <rPr>
        <vertAlign val="superscript"/>
        <sz val="11.5"/>
        <rFont val="Times New Roman"/>
        <family val="1"/>
      </rPr>
      <t>3</t>
    </r>
  </si>
  <si>
    <t>are</t>
  </si>
  <si>
    <t>yottameter</t>
  </si>
  <si>
    <t>zettameter</t>
  </si>
  <si>
    <t>exameter</t>
  </si>
  <si>
    <t>yoctometer</t>
  </si>
  <si>
    <t>zeptometer</t>
  </si>
  <si>
    <t>attometer</t>
  </si>
  <si>
    <t>femtometer</t>
  </si>
  <si>
    <t>picometer</t>
  </si>
  <si>
    <t>nanometer</t>
  </si>
  <si>
    <t>micrometer</t>
  </si>
  <si>
    <t>decameter</t>
  </si>
  <si>
    <t>hectometer</t>
  </si>
  <si>
    <t>kilometer</t>
  </si>
  <si>
    <t>megameter</t>
  </si>
  <si>
    <t>gigameter</t>
  </si>
  <si>
    <t>terameter</t>
  </si>
  <si>
    <t>petameter</t>
  </si>
  <si>
    <t>Ym</t>
  </si>
  <si>
    <t>Zm</t>
  </si>
  <si>
    <t>Em</t>
  </si>
  <si>
    <t>Pm</t>
  </si>
  <si>
    <t>Tm</t>
  </si>
  <si>
    <t>Gm</t>
  </si>
  <si>
    <t>Mm</t>
  </si>
  <si>
    <t>km</t>
  </si>
  <si>
    <t>hm</t>
  </si>
  <si>
    <t>nm</t>
  </si>
  <si>
    <t>pm</t>
  </si>
  <si>
    <t>fm</t>
  </si>
  <si>
    <t>zm</t>
  </si>
  <si>
    <t>ym</t>
  </si>
  <si>
    <t>um</t>
  </si>
  <si>
    <t>Yg</t>
  </si>
  <si>
    <t>Zg</t>
  </si>
  <si>
    <t>Eg</t>
  </si>
  <si>
    <t>Pg</t>
  </si>
  <si>
    <t>Tg</t>
  </si>
  <si>
    <t>Gg</t>
  </si>
  <si>
    <t>Mg</t>
  </si>
  <si>
    <t>hg</t>
  </si>
  <si>
    <t>dag</t>
  </si>
  <si>
    <t>dg</t>
  </si>
  <si>
    <t>cg</t>
  </si>
  <si>
    <t>mg</t>
  </si>
  <si>
    <t>ug</t>
  </si>
  <si>
    <t>ng</t>
  </si>
  <si>
    <t>pg</t>
  </si>
  <si>
    <t>ag</t>
  </si>
  <si>
    <t>zg</t>
  </si>
  <si>
    <t>yg</t>
  </si>
  <si>
    <t>yottagram</t>
  </si>
  <si>
    <t>zettagram</t>
  </si>
  <si>
    <t>exagram</t>
  </si>
  <si>
    <t>petagram</t>
  </si>
  <si>
    <t>teragram</t>
  </si>
  <si>
    <t>gigagram</t>
  </si>
  <si>
    <t>megagram</t>
  </si>
  <si>
    <t>hectogram</t>
  </si>
  <si>
    <t>decagram</t>
  </si>
  <si>
    <t>decigram</t>
  </si>
  <si>
    <t>centigram</t>
  </si>
  <si>
    <t>milligram</t>
  </si>
  <si>
    <t>microgram</t>
  </si>
  <si>
    <t>nanogram</t>
  </si>
  <si>
    <t>picogram</t>
  </si>
  <si>
    <t>femtogram</t>
  </si>
  <si>
    <t>attogram</t>
  </si>
  <si>
    <t>zeptogram</t>
  </si>
  <si>
    <t>yoctogram</t>
  </si>
  <si>
    <t>yottahertz</t>
  </si>
  <si>
    <t>zettahertz</t>
  </si>
  <si>
    <t>exahertz</t>
  </si>
  <si>
    <t>petahertz</t>
  </si>
  <si>
    <t>terahertz</t>
  </si>
  <si>
    <t>gigahertz</t>
  </si>
  <si>
    <t>megahertz</t>
  </si>
  <si>
    <t>kilohertz</t>
  </si>
  <si>
    <t>hectohertz</t>
  </si>
  <si>
    <t>decahertz</t>
  </si>
  <si>
    <t>decihertz</t>
  </si>
  <si>
    <t>centihertz</t>
  </si>
  <si>
    <t>millihertz</t>
  </si>
  <si>
    <t>microhertz</t>
  </si>
  <si>
    <t>nanohertz</t>
  </si>
  <si>
    <t>picohertz</t>
  </si>
  <si>
    <t>femtohertz</t>
  </si>
  <si>
    <t>attohertz</t>
  </si>
  <si>
    <t>zeptohertz</t>
  </si>
  <si>
    <t>yoctohertz</t>
  </si>
  <si>
    <t>YHz</t>
  </si>
  <si>
    <t>ZHz</t>
  </si>
  <si>
    <t>Ehz</t>
  </si>
  <si>
    <t>PHz</t>
  </si>
  <si>
    <t>THz</t>
  </si>
  <si>
    <t>GHz</t>
  </si>
  <si>
    <t>MHz</t>
  </si>
  <si>
    <t>kHz</t>
  </si>
  <si>
    <t>hHz</t>
  </si>
  <si>
    <t>daHz</t>
  </si>
  <si>
    <t>dHz</t>
  </si>
  <si>
    <t>cHz</t>
  </si>
  <si>
    <t>mHz</t>
  </si>
  <si>
    <t>nHz</t>
  </si>
  <si>
    <t>pHz</t>
  </si>
  <si>
    <t>fHz</t>
  </si>
  <si>
    <t>aHz</t>
  </si>
  <si>
    <t>zHz</t>
  </si>
  <si>
    <t>yHz</t>
  </si>
  <si>
    <t>yottabecquerel</t>
  </si>
  <si>
    <t>zettabecquerel</t>
  </si>
  <si>
    <t>exabecquerel</t>
  </si>
  <si>
    <t>petabecquerel</t>
  </si>
  <si>
    <t>terabecquerel</t>
  </si>
  <si>
    <t>gigabecquerel</t>
  </si>
  <si>
    <t>megabecquerel</t>
  </si>
  <si>
    <t>kilobecquerel</t>
  </si>
  <si>
    <t>hectobecquerel</t>
  </si>
  <si>
    <t>decabecquerel</t>
  </si>
  <si>
    <t>decibecquerel</t>
  </si>
  <si>
    <t>centibecquerel</t>
  </si>
  <si>
    <t>millibecquerel</t>
  </si>
  <si>
    <t>microbecquerel</t>
  </si>
  <si>
    <t>nanobecquerel</t>
  </si>
  <si>
    <t>picobecquerel</t>
  </si>
  <si>
    <t>femtobecquerel</t>
  </si>
  <si>
    <t>attobecquerel</t>
  </si>
  <si>
    <t>zeptobecquerel</t>
  </si>
  <si>
    <t>yoctobecquerel</t>
  </si>
  <si>
    <t>uHz</t>
  </si>
  <si>
    <t>uBq</t>
  </si>
  <si>
    <t>nBq</t>
  </si>
  <si>
    <t>pBq</t>
  </si>
  <si>
    <t>fBq</t>
  </si>
  <si>
    <t>aBq</t>
  </si>
  <si>
    <t>zBq</t>
  </si>
  <si>
    <t>yBq</t>
  </si>
  <si>
    <t>Ybq</t>
  </si>
  <si>
    <t>ZBq</t>
  </si>
  <si>
    <t>Ebq</t>
  </si>
  <si>
    <t>PBq</t>
  </si>
  <si>
    <t>TBq</t>
  </si>
  <si>
    <t>GBq</t>
  </si>
  <si>
    <t>MBq</t>
  </si>
  <si>
    <t>kBq</t>
  </si>
  <si>
    <t>hBq</t>
  </si>
  <si>
    <t>daBq</t>
  </si>
  <si>
    <t>dBq</t>
  </si>
  <si>
    <t>cBq</t>
  </si>
  <si>
    <t>mBq</t>
  </si>
  <si>
    <t>yottacoulomb</t>
  </si>
  <si>
    <t>zettacoulomb</t>
  </si>
  <si>
    <t>exacoulomb</t>
  </si>
  <si>
    <t>petacoulomb</t>
  </si>
  <si>
    <t>teracoulomb</t>
  </si>
  <si>
    <t>gigacoulomb</t>
  </si>
  <si>
    <t>megacoulomb</t>
  </si>
  <si>
    <t>kilocoulomb</t>
  </si>
  <si>
    <t>hectocoulomb</t>
  </si>
  <si>
    <t>decacoulomb</t>
  </si>
  <si>
    <t>decicoulomb</t>
  </si>
  <si>
    <t>centicoulomb</t>
  </si>
  <si>
    <t>millicoulomb</t>
  </si>
  <si>
    <t>microcoulomb</t>
  </si>
  <si>
    <t>nanocoulomb</t>
  </si>
  <si>
    <t>picocoulomb</t>
  </si>
  <si>
    <t>femtocoulomb</t>
  </si>
  <si>
    <t>attocoulomb</t>
  </si>
  <si>
    <t>zeptocoulomb</t>
  </si>
  <si>
    <t>yoctocoulomb</t>
  </si>
  <si>
    <t>YC</t>
  </si>
  <si>
    <t>ZC</t>
  </si>
  <si>
    <t>EC</t>
  </si>
  <si>
    <t>PC</t>
  </si>
  <si>
    <t>TC</t>
  </si>
  <si>
    <t>GC</t>
  </si>
  <si>
    <t>MC</t>
  </si>
  <si>
    <t>kC</t>
  </si>
  <si>
    <t>hC</t>
  </si>
  <si>
    <t>daC</t>
  </si>
  <si>
    <t>dC</t>
  </si>
  <si>
    <t>cC</t>
  </si>
  <si>
    <t>mC</t>
  </si>
  <si>
    <t>uC</t>
  </si>
  <si>
    <t>nC</t>
  </si>
  <si>
    <t>pC</t>
  </si>
  <si>
    <t>fC</t>
  </si>
  <si>
    <t>zC</t>
  </si>
  <si>
    <t>yC</t>
  </si>
  <si>
    <t>yoctofarad</t>
  </si>
  <si>
    <t>yottafarad</t>
  </si>
  <si>
    <t>zettafarad</t>
  </si>
  <si>
    <t>exacfarad</t>
  </si>
  <si>
    <t>petafarad</t>
  </si>
  <si>
    <t>terafarad</t>
  </si>
  <si>
    <t>gigafarad</t>
  </si>
  <si>
    <t>megafarad</t>
  </si>
  <si>
    <t>hectofarad</t>
  </si>
  <si>
    <t>decifarad</t>
  </si>
  <si>
    <t>centifarad</t>
  </si>
  <si>
    <t>millifarad</t>
  </si>
  <si>
    <t>microfarad</t>
  </si>
  <si>
    <t>nanofarad</t>
  </si>
  <si>
    <t>picofarad</t>
  </si>
  <si>
    <t>femtofarad</t>
  </si>
  <si>
    <t>attofarad</t>
  </si>
  <si>
    <t>zeptofarad</t>
  </si>
  <si>
    <t>YF</t>
  </si>
  <si>
    <t>ZF</t>
  </si>
  <si>
    <t>PF</t>
  </si>
  <si>
    <t>TF</t>
  </si>
  <si>
    <t>GF</t>
  </si>
  <si>
    <t>MF</t>
  </si>
  <si>
    <t>kF</t>
  </si>
  <si>
    <t>hF</t>
  </si>
  <si>
    <t>daF</t>
  </si>
  <si>
    <t>dF</t>
  </si>
  <si>
    <t>cF</t>
  </si>
  <si>
    <t>mF</t>
  </si>
  <si>
    <t>uF</t>
  </si>
  <si>
    <t>nF</t>
  </si>
  <si>
    <t>pF</t>
  </si>
  <si>
    <t>fF</t>
  </si>
  <si>
    <t>zF</t>
  </si>
  <si>
    <t>yF</t>
  </si>
  <si>
    <t>yottagray</t>
  </si>
  <si>
    <t>zettagray</t>
  </si>
  <si>
    <t>exacgray</t>
  </si>
  <si>
    <t>petagray</t>
  </si>
  <si>
    <t>teragray</t>
  </si>
  <si>
    <t>gigagray</t>
  </si>
  <si>
    <t>megagray</t>
  </si>
  <si>
    <t>kilocgray</t>
  </si>
  <si>
    <t>hectogray</t>
  </si>
  <si>
    <t>decacgray</t>
  </si>
  <si>
    <t>decigray</t>
  </si>
  <si>
    <t>centigray</t>
  </si>
  <si>
    <t>milligray</t>
  </si>
  <si>
    <t>microgray</t>
  </si>
  <si>
    <t>nanogray</t>
  </si>
  <si>
    <t>picogray</t>
  </si>
  <si>
    <t>femtogray</t>
  </si>
  <si>
    <t>attogray</t>
  </si>
  <si>
    <t>zeptogray</t>
  </si>
  <si>
    <t>yoctogray</t>
  </si>
  <si>
    <t>YGy</t>
  </si>
  <si>
    <t>kGy</t>
  </si>
  <si>
    <t>hGy</t>
  </si>
  <si>
    <t>daGy</t>
  </si>
  <si>
    <t>dGy</t>
  </si>
  <si>
    <t>cGy</t>
  </si>
  <si>
    <t>mGy</t>
  </si>
  <si>
    <t>uGy</t>
  </si>
  <si>
    <t>nGy</t>
  </si>
  <si>
    <t>pGy</t>
  </si>
  <si>
    <t>fGy</t>
  </si>
  <si>
    <t>aGy</t>
  </si>
  <si>
    <t>zGy</t>
  </si>
  <si>
    <t>yGy</t>
  </si>
  <si>
    <t>zettasievert</t>
  </si>
  <si>
    <t>exacsievert</t>
  </si>
  <si>
    <t>petasievert</t>
  </si>
  <si>
    <t>terasievert</t>
  </si>
  <si>
    <t>gigasievert</t>
  </si>
  <si>
    <t>megasievert</t>
  </si>
  <si>
    <t>kilocsievert</t>
  </si>
  <si>
    <t>hectosievert</t>
  </si>
  <si>
    <t>decacsievert</t>
  </si>
  <si>
    <t>decisievert</t>
  </si>
  <si>
    <t>centisievert</t>
  </si>
  <si>
    <t>millisievert</t>
  </si>
  <si>
    <t>microsievert</t>
  </si>
  <si>
    <t>nanosievert</t>
  </si>
  <si>
    <t>picosievert</t>
  </si>
  <si>
    <t>femtosievert</t>
  </si>
  <si>
    <t>attosievert</t>
  </si>
  <si>
    <t>zeptosievert</t>
  </si>
  <si>
    <t>yoctosievert</t>
  </si>
  <si>
    <t>YSv</t>
  </si>
  <si>
    <t>MSv</t>
  </si>
  <si>
    <t>ZSv</t>
  </si>
  <si>
    <t>PSv</t>
  </si>
  <si>
    <t>ESv</t>
  </si>
  <si>
    <t>TSv</t>
  </si>
  <si>
    <t>GSv</t>
  </si>
  <si>
    <t>kSv</t>
  </si>
  <si>
    <t>hSv</t>
  </si>
  <si>
    <t>daSv</t>
  </si>
  <si>
    <t>dSv</t>
  </si>
  <si>
    <t>cSv</t>
  </si>
  <si>
    <t>mSv</t>
  </si>
  <si>
    <t>uSv</t>
  </si>
  <si>
    <t>nSv</t>
  </si>
  <si>
    <t>pSv</t>
  </si>
  <si>
    <t>fSv</t>
  </si>
  <si>
    <t>aSv</t>
  </si>
  <si>
    <t>zSv</t>
  </si>
  <si>
    <t>ySv</t>
  </si>
  <si>
    <t>ZGy</t>
  </si>
  <si>
    <t>EGy</t>
  </si>
  <si>
    <t>PGy</t>
  </si>
  <si>
    <t>TGy</t>
  </si>
  <si>
    <t>GGy</t>
  </si>
  <si>
    <t>MGy</t>
  </si>
  <si>
    <t>yottahenry</t>
  </si>
  <si>
    <t>zettahenry</t>
  </si>
  <si>
    <t>exachenry</t>
  </si>
  <si>
    <t>petahenry</t>
  </si>
  <si>
    <t>terahenry</t>
  </si>
  <si>
    <t>gigahenry</t>
  </si>
  <si>
    <t>megahenry</t>
  </si>
  <si>
    <t>kilochenry</t>
  </si>
  <si>
    <t>hectohenry</t>
  </si>
  <si>
    <t>decachenry</t>
  </si>
  <si>
    <t>decihenry</t>
  </si>
  <si>
    <t>centihenry</t>
  </si>
  <si>
    <t>millihenry</t>
  </si>
  <si>
    <t>microhenry</t>
  </si>
  <si>
    <t>nanohenry</t>
  </si>
  <si>
    <t>picohenry</t>
  </si>
  <si>
    <t>femtohenry</t>
  </si>
  <si>
    <t>attohenry</t>
  </si>
  <si>
    <t>zeptohenry</t>
  </si>
  <si>
    <t>yoctohenry</t>
  </si>
  <si>
    <t>YH</t>
  </si>
  <si>
    <t>ZH</t>
  </si>
  <si>
    <t>EH</t>
  </si>
  <si>
    <t>PH</t>
  </si>
  <si>
    <t>TH</t>
  </si>
  <si>
    <t>GH</t>
  </si>
  <si>
    <t>MH</t>
  </si>
  <si>
    <t>kH</t>
  </si>
  <si>
    <t>hH</t>
  </si>
  <si>
    <t>daH</t>
  </si>
  <si>
    <t>dH</t>
  </si>
  <si>
    <t>cH</t>
  </si>
  <si>
    <t>mH</t>
  </si>
  <si>
    <t>uH</t>
  </si>
  <si>
    <t>nH</t>
  </si>
  <si>
    <t>fH</t>
  </si>
  <si>
    <t>zH</t>
  </si>
  <si>
    <t>yH</t>
  </si>
  <si>
    <t>yottalumen</t>
  </si>
  <si>
    <t>zettalumen</t>
  </si>
  <si>
    <t>exalumen</t>
  </si>
  <si>
    <t>petalumen</t>
  </si>
  <si>
    <t>teralumen</t>
  </si>
  <si>
    <t>gigalumen</t>
  </si>
  <si>
    <t>megalumen</t>
  </si>
  <si>
    <t>kilolumen</t>
  </si>
  <si>
    <t>hectolumen</t>
  </si>
  <si>
    <t>decalumen</t>
  </si>
  <si>
    <t>decilumen</t>
  </si>
  <si>
    <t>centilumen</t>
  </si>
  <si>
    <t>millilumen</t>
  </si>
  <si>
    <t>microlumen</t>
  </si>
  <si>
    <t>nanolumen</t>
  </si>
  <si>
    <t>picolumen</t>
  </si>
  <si>
    <t>femtolumen</t>
  </si>
  <si>
    <t>attolumen</t>
  </si>
  <si>
    <t>zeptolumen</t>
  </si>
  <si>
    <t>yoctolumen</t>
  </si>
  <si>
    <t>Ylm</t>
  </si>
  <si>
    <t>Zlm</t>
  </si>
  <si>
    <t>Elm</t>
  </si>
  <si>
    <t>Plm</t>
  </si>
  <si>
    <t>Tlm</t>
  </si>
  <si>
    <t>Glm</t>
  </si>
  <si>
    <t>Mlm</t>
  </si>
  <si>
    <t>klm</t>
  </si>
  <si>
    <t>hlm</t>
  </si>
  <si>
    <t>dalm</t>
  </si>
  <si>
    <t>dlm</t>
  </si>
  <si>
    <t>clm</t>
  </si>
  <si>
    <t>mlm</t>
  </si>
  <si>
    <t>ulm</t>
  </si>
  <si>
    <t>nlm</t>
  </si>
  <si>
    <t>flm</t>
  </si>
  <si>
    <t>alm</t>
  </si>
  <si>
    <t>zlm</t>
  </si>
  <si>
    <t>ylm</t>
  </si>
  <si>
    <t>yottajoule</t>
  </si>
  <si>
    <t>zettajoule</t>
  </si>
  <si>
    <t>exacjoule</t>
  </si>
  <si>
    <t>petajoule</t>
  </si>
  <si>
    <t>terajoule</t>
  </si>
  <si>
    <t>gigajoule</t>
  </si>
  <si>
    <t>megajoule</t>
  </si>
  <si>
    <t>hectojoule</t>
  </si>
  <si>
    <t>decijoule</t>
  </si>
  <si>
    <t>centijoule</t>
  </si>
  <si>
    <t>millijoule</t>
  </si>
  <si>
    <t>microjoule</t>
  </si>
  <si>
    <t>nanojoule</t>
  </si>
  <si>
    <t>picojoule</t>
  </si>
  <si>
    <t>femtojoule</t>
  </si>
  <si>
    <t>attojoule</t>
  </si>
  <si>
    <t>zeptojoule</t>
  </si>
  <si>
    <t>yoctojoule</t>
  </si>
  <si>
    <t>YJ</t>
  </si>
  <si>
    <t>ZJ</t>
  </si>
  <si>
    <t>EJ</t>
  </si>
  <si>
    <t>PJ</t>
  </si>
  <si>
    <t>TJ</t>
  </si>
  <si>
    <t>GJ</t>
  </si>
  <si>
    <t>MJ</t>
  </si>
  <si>
    <t>kJ</t>
  </si>
  <si>
    <t>hJ</t>
  </si>
  <si>
    <t>daJ</t>
  </si>
  <si>
    <t>dJ</t>
  </si>
  <si>
    <t>cJ</t>
  </si>
  <si>
    <t>mJ</t>
  </si>
  <si>
    <t>uJ</t>
  </si>
  <si>
    <t>nJ</t>
  </si>
  <si>
    <t>pJ</t>
  </si>
  <si>
    <t>fJ</t>
  </si>
  <si>
    <t>aJ</t>
  </si>
  <si>
    <t>zv</t>
  </si>
  <si>
    <t>yJ</t>
  </si>
  <si>
    <t>yottalux</t>
  </si>
  <si>
    <t>zettalux</t>
  </si>
  <si>
    <t>exalux</t>
  </si>
  <si>
    <t>petalux</t>
  </si>
  <si>
    <t>teralux</t>
  </si>
  <si>
    <t>gigalux</t>
  </si>
  <si>
    <t>megalux</t>
  </si>
  <si>
    <t>kilolux</t>
  </si>
  <si>
    <t>hectolux</t>
  </si>
  <si>
    <t>decalux</t>
  </si>
  <si>
    <t>decilux</t>
  </si>
  <si>
    <t>centilux</t>
  </si>
  <si>
    <t>millilux</t>
  </si>
  <si>
    <t>microlux</t>
  </si>
  <si>
    <t>nanolux</t>
  </si>
  <si>
    <t>picolux</t>
  </si>
  <si>
    <t>femtolux</t>
  </si>
  <si>
    <t>attolux</t>
  </si>
  <si>
    <t>zeptolux</t>
  </si>
  <si>
    <t>yoctolux</t>
  </si>
  <si>
    <t>Ylx</t>
  </si>
  <si>
    <t>Zlx</t>
  </si>
  <si>
    <t>Elx</t>
  </si>
  <si>
    <t>Plx</t>
  </si>
  <si>
    <t>Tlx</t>
  </si>
  <si>
    <t>Glx</t>
  </si>
  <si>
    <t>Mlx</t>
  </si>
  <si>
    <t>klx</t>
  </si>
  <si>
    <t>hlx</t>
  </si>
  <si>
    <t>dalx</t>
  </si>
  <si>
    <t>dlx</t>
  </si>
  <si>
    <t>clx</t>
  </si>
  <si>
    <t>mlx</t>
  </si>
  <si>
    <t>ulx</t>
  </si>
  <si>
    <t>nlx</t>
  </si>
  <si>
    <t>plx</t>
  </si>
  <si>
    <t>flx</t>
  </si>
  <si>
    <t>alx</t>
  </si>
  <si>
    <t>zlx</t>
  </si>
  <si>
    <t>ylx</t>
  </si>
  <si>
    <t>yottanewton</t>
  </si>
  <si>
    <t>zettanewton</t>
  </si>
  <si>
    <t>exacnewton</t>
  </si>
  <si>
    <t>petanewton</t>
  </si>
  <si>
    <t>teranewton</t>
  </si>
  <si>
    <t>giganewton</t>
  </si>
  <si>
    <t>meganewton</t>
  </si>
  <si>
    <t>hectonewton</t>
  </si>
  <si>
    <t>decacnewton</t>
  </si>
  <si>
    <t>decinewton</t>
  </si>
  <si>
    <t>centinewton</t>
  </si>
  <si>
    <t>millinewton</t>
  </si>
  <si>
    <t>micronewton</t>
  </si>
  <si>
    <t>nanonewton</t>
  </si>
  <si>
    <t>piconewton</t>
  </si>
  <si>
    <t>femtonewton</t>
  </si>
  <si>
    <t>attonewton</t>
  </si>
  <si>
    <t>zeptonewton</t>
  </si>
  <si>
    <t>yoctonewton</t>
  </si>
  <si>
    <t>YN</t>
  </si>
  <si>
    <t>ZN</t>
  </si>
  <si>
    <t>EN</t>
  </si>
  <si>
    <t>PN</t>
  </si>
  <si>
    <t>TN</t>
  </si>
  <si>
    <t>GN</t>
  </si>
  <si>
    <t>MN</t>
  </si>
  <si>
    <t>kN</t>
  </si>
  <si>
    <t>hN</t>
  </si>
  <si>
    <t>daN</t>
  </si>
  <si>
    <t>dN</t>
  </si>
  <si>
    <t>cN</t>
  </si>
  <si>
    <t>NH</t>
  </si>
  <si>
    <t>uN</t>
  </si>
  <si>
    <t>nN</t>
  </si>
  <si>
    <t>pN</t>
  </si>
  <si>
    <t>fN</t>
  </si>
  <si>
    <t>aN</t>
  </si>
  <si>
    <t>zN</t>
  </si>
  <si>
    <t>yN</t>
  </si>
  <si>
    <t>yottaohm</t>
  </si>
  <si>
    <t>zettaohm</t>
  </si>
  <si>
    <t>exacohm</t>
  </si>
  <si>
    <t>petaohm</t>
  </si>
  <si>
    <t>teraohm</t>
  </si>
  <si>
    <t>gigaohm</t>
  </si>
  <si>
    <t>megaohm</t>
  </si>
  <si>
    <t>hectoohm</t>
  </si>
  <si>
    <t>deciohm</t>
  </si>
  <si>
    <t>centiohm</t>
  </si>
  <si>
    <t>milliohm</t>
  </si>
  <si>
    <t>microohm</t>
  </si>
  <si>
    <t>nanoohm</t>
  </si>
  <si>
    <t>picoohm</t>
  </si>
  <si>
    <t>femtoohm</t>
  </si>
  <si>
    <t>attoohm</t>
  </si>
  <si>
    <t>zeptoohm</t>
  </si>
  <si>
    <t>yoctoohm</t>
  </si>
  <si>
    <r>
      <t>Y</t>
    </r>
    <r>
      <rPr>
        <sz val="11"/>
        <color theme="1"/>
        <rFont val="Symbol"/>
        <family val="1"/>
        <charset val="2"/>
      </rPr>
      <t>W</t>
    </r>
  </si>
  <si>
    <r>
      <t>da</t>
    </r>
    <r>
      <rPr>
        <sz val="11"/>
        <color theme="1"/>
        <rFont val="Symbol"/>
        <family val="1"/>
        <charset val="2"/>
      </rPr>
      <t>W</t>
    </r>
  </si>
  <si>
    <r>
      <t>z</t>
    </r>
    <r>
      <rPr>
        <sz val="11"/>
        <color theme="1"/>
        <rFont val="Symbol"/>
        <family val="1"/>
        <charset val="2"/>
      </rPr>
      <t>W</t>
    </r>
  </si>
  <si>
    <r>
      <t>y</t>
    </r>
    <r>
      <rPr>
        <sz val="11"/>
        <color theme="1"/>
        <rFont val="Symbol"/>
        <family val="1"/>
        <charset val="2"/>
      </rPr>
      <t>W</t>
    </r>
  </si>
  <si>
    <r>
      <t>f</t>
    </r>
    <r>
      <rPr>
        <sz val="11"/>
        <color theme="1"/>
        <rFont val="Symbol"/>
        <family val="1"/>
        <charset val="2"/>
      </rPr>
      <t>W</t>
    </r>
  </si>
  <si>
    <r>
      <t>p</t>
    </r>
    <r>
      <rPr>
        <sz val="11"/>
        <color theme="1"/>
        <rFont val="Symbol"/>
        <family val="1"/>
        <charset val="2"/>
      </rPr>
      <t>W</t>
    </r>
  </si>
  <si>
    <r>
      <t>n</t>
    </r>
    <r>
      <rPr>
        <sz val="11"/>
        <color theme="1"/>
        <rFont val="Symbol"/>
        <family val="1"/>
        <charset val="2"/>
      </rPr>
      <t>W</t>
    </r>
  </si>
  <si>
    <r>
      <t>u</t>
    </r>
    <r>
      <rPr>
        <sz val="11"/>
        <color theme="1"/>
        <rFont val="Symbol"/>
        <family val="1"/>
        <charset val="2"/>
      </rPr>
      <t>W</t>
    </r>
  </si>
  <si>
    <r>
      <t>m</t>
    </r>
    <r>
      <rPr>
        <sz val="11"/>
        <color theme="1"/>
        <rFont val="Symbol"/>
        <family val="1"/>
        <charset val="2"/>
      </rPr>
      <t>W</t>
    </r>
  </si>
  <si>
    <r>
      <t>c</t>
    </r>
    <r>
      <rPr>
        <sz val="11"/>
        <color theme="1"/>
        <rFont val="Symbol"/>
        <family val="1"/>
        <charset val="2"/>
      </rPr>
      <t>W</t>
    </r>
  </si>
  <si>
    <r>
      <t>d</t>
    </r>
    <r>
      <rPr>
        <sz val="11"/>
        <color theme="1"/>
        <rFont val="Symbol"/>
        <family val="1"/>
        <charset val="2"/>
      </rPr>
      <t>W</t>
    </r>
  </si>
  <si>
    <r>
      <t>h</t>
    </r>
    <r>
      <rPr>
        <sz val="11"/>
        <color theme="1"/>
        <rFont val="Symbol"/>
        <family val="1"/>
        <charset val="2"/>
      </rPr>
      <t>W</t>
    </r>
  </si>
  <si>
    <r>
      <t>k</t>
    </r>
    <r>
      <rPr>
        <sz val="11"/>
        <color theme="1"/>
        <rFont val="Symbol"/>
        <family val="1"/>
        <charset val="2"/>
      </rPr>
      <t>W</t>
    </r>
  </si>
  <si>
    <r>
      <t>M</t>
    </r>
    <r>
      <rPr>
        <sz val="11"/>
        <color theme="1"/>
        <rFont val="Symbol"/>
        <family val="1"/>
        <charset val="2"/>
      </rPr>
      <t>W</t>
    </r>
  </si>
  <si>
    <r>
      <t>G</t>
    </r>
    <r>
      <rPr>
        <sz val="11"/>
        <color theme="1"/>
        <rFont val="Symbol"/>
        <family val="1"/>
        <charset val="2"/>
      </rPr>
      <t>W</t>
    </r>
  </si>
  <si>
    <r>
      <t>T</t>
    </r>
    <r>
      <rPr>
        <sz val="11"/>
        <color theme="1"/>
        <rFont val="Symbol"/>
        <family val="1"/>
        <charset val="2"/>
      </rPr>
      <t>W</t>
    </r>
  </si>
  <si>
    <r>
      <t>P</t>
    </r>
    <r>
      <rPr>
        <sz val="11"/>
        <color theme="1"/>
        <rFont val="Symbol"/>
        <family val="1"/>
        <charset val="2"/>
      </rPr>
      <t>W</t>
    </r>
  </si>
  <si>
    <r>
      <t>E</t>
    </r>
    <r>
      <rPr>
        <sz val="11"/>
        <color theme="1"/>
        <rFont val="Symbol"/>
        <family val="1"/>
        <charset val="2"/>
      </rPr>
      <t>W</t>
    </r>
  </si>
  <si>
    <r>
      <t>Z</t>
    </r>
    <r>
      <rPr>
        <sz val="11"/>
        <color theme="1"/>
        <rFont val="Symbol"/>
        <family val="1"/>
        <charset val="2"/>
      </rPr>
      <t>W</t>
    </r>
  </si>
  <si>
    <t>yottapascal</t>
  </si>
  <si>
    <t>zettapascal</t>
  </si>
  <si>
    <t>exacpascal</t>
  </si>
  <si>
    <t>petapascal</t>
  </si>
  <si>
    <t>terapascal</t>
  </si>
  <si>
    <t>gigapascal</t>
  </si>
  <si>
    <t>megapascal</t>
  </si>
  <si>
    <t>kilocpascal</t>
  </si>
  <si>
    <t>hectopascal</t>
  </si>
  <si>
    <t>decipascal</t>
  </si>
  <si>
    <t>centipascal</t>
  </si>
  <si>
    <t>millipascal</t>
  </si>
  <si>
    <t>micropascal</t>
  </si>
  <si>
    <t>nanopascal</t>
  </si>
  <si>
    <t>picopascal</t>
  </si>
  <si>
    <t>femtopascal</t>
  </si>
  <si>
    <t>attopascal</t>
  </si>
  <si>
    <t>zeptopascal</t>
  </si>
  <si>
    <t>yoctopascal</t>
  </si>
  <si>
    <t>YPa</t>
  </si>
  <si>
    <t>ZPa</t>
  </si>
  <si>
    <t>EPa</t>
  </si>
  <si>
    <t>PPa</t>
  </si>
  <si>
    <t>TPa</t>
  </si>
  <si>
    <t>GPa</t>
  </si>
  <si>
    <t>MPa</t>
  </si>
  <si>
    <t>kPa</t>
  </si>
  <si>
    <t>hPa</t>
  </si>
  <si>
    <t>daPa</t>
  </si>
  <si>
    <t>dPa</t>
  </si>
  <si>
    <t>cPa</t>
  </si>
  <si>
    <t>mPa</t>
  </si>
  <si>
    <t>uPa</t>
  </si>
  <si>
    <t>nPa</t>
  </si>
  <si>
    <t>pPa</t>
  </si>
  <si>
    <t>fPa</t>
  </si>
  <si>
    <t>aPa</t>
  </si>
  <si>
    <t>zPa</t>
  </si>
  <si>
    <t>yPa</t>
  </si>
  <si>
    <t>yottasiemens</t>
  </si>
  <si>
    <t>zettasiemens</t>
  </si>
  <si>
    <t>exacsiemens</t>
  </si>
  <si>
    <t>petasiemens</t>
  </si>
  <si>
    <t>terasiemens</t>
  </si>
  <si>
    <t>gigasiemens</t>
  </si>
  <si>
    <t>megasiemens</t>
  </si>
  <si>
    <t>hectosiemens</t>
  </si>
  <si>
    <t>decisiemens</t>
  </si>
  <si>
    <t>centisiemens</t>
  </si>
  <si>
    <t>millisiemens</t>
  </si>
  <si>
    <t>microsiemens</t>
  </si>
  <si>
    <t>nanosiemens</t>
  </si>
  <si>
    <t>picosiemens</t>
  </si>
  <si>
    <t>femtosiemens</t>
  </si>
  <si>
    <t>attosiemens</t>
  </si>
  <si>
    <t>zeptosiemens</t>
  </si>
  <si>
    <t>yoctosiemens</t>
  </si>
  <si>
    <t>YS</t>
  </si>
  <si>
    <t>ZS</t>
  </si>
  <si>
    <t>ES</t>
  </si>
  <si>
    <t>PS</t>
  </si>
  <si>
    <t>TS</t>
  </si>
  <si>
    <t>GS</t>
  </si>
  <si>
    <t>MS</t>
  </si>
  <si>
    <t>kS</t>
  </si>
  <si>
    <t>hS</t>
  </si>
  <si>
    <t>daS</t>
  </si>
  <si>
    <t>dS</t>
  </si>
  <si>
    <t>cS</t>
  </si>
  <si>
    <t>mS</t>
  </si>
  <si>
    <t>uS</t>
  </si>
  <si>
    <t>nS</t>
  </si>
  <si>
    <t>pS</t>
  </si>
  <si>
    <t>fS</t>
  </si>
  <si>
    <t>aS</t>
  </si>
  <si>
    <t>zS</t>
  </si>
  <si>
    <t>yS</t>
  </si>
  <si>
    <t>yottatesla</t>
  </si>
  <si>
    <t>zettatesla</t>
  </si>
  <si>
    <t>exactesla</t>
  </si>
  <si>
    <t>petatesla</t>
  </si>
  <si>
    <t>teratesla</t>
  </si>
  <si>
    <t>gigatesla</t>
  </si>
  <si>
    <t>megatesla</t>
  </si>
  <si>
    <t>kiloctesla</t>
  </si>
  <si>
    <t>hectotesla</t>
  </si>
  <si>
    <t>decatesla</t>
  </si>
  <si>
    <t>decitesla</t>
  </si>
  <si>
    <t>centitesla</t>
  </si>
  <si>
    <t>millitesla</t>
  </si>
  <si>
    <t>microtesla</t>
  </si>
  <si>
    <t>nanotesla</t>
  </si>
  <si>
    <t>picotesla</t>
  </si>
  <si>
    <t>femtotesla</t>
  </si>
  <si>
    <t>attotesla</t>
  </si>
  <si>
    <t>zeptotesla</t>
  </si>
  <si>
    <t>yoctotesla</t>
  </si>
  <si>
    <t>kilonewton</t>
  </si>
  <si>
    <t>YT</t>
  </si>
  <si>
    <t>ZT</t>
  </si>
  <si>
    <t>ET</t>
  </si>
  <si>
    <t>PT</t>
  </si>
  <si>
    <t>TT</t>
  </si>
  <si>
    <t>GT</t>
  </si>
  <si>
    <t>MT</t>
  </si>
  <si>
    <t>kT</t>
  </si>
  <si>
    <t>hT</t>
  </si>
  <si>
    <t>daT</t>
  </si>
  <si>
    <t>dT</t>
  </si>
  <si>
    <t>cT</t>
  </si>
  <si>
    <t>NT</t>
  </si>
  <si>
    <t>uT</t>
  </si>
  <si>
    <t>nT</t>
  </si>
  <si>
    <t>pT</t>
  </si>
  <si>
    <t>fT</t>
  </si>
  <si>
    <t>aT</t>
  </si>
  <si>
    <t>zT</t>
  </si>
  <si>
    <t>yT</t>
  </si>
  <si>
    <t>yottavolt</t>
  </si>
  <si>
    <t>zettavolt</t>
  </si>
  <si>
    <t>exacvolt</t>
  </si>
  <si>
    <t>petavolt</t>
  </si>
  <si>
    <t>teravolt</t>
  </si>
  <si>
    <t>gigavolt</t>
  </si>
  <si>
    <t>megavolt</t>
  </si>
  <si>
    <t>kilocvolt</t>
  </si>
  <si>
    <t>hectovolt</t>
  </si>
  <si>
    <t>decavolt</t>
  </si>
  <si>
    <t>decivolt</t>
  </si>
  <si>
    <t>centivolt</t>
  </si>
  <si>
    <t>millivolt</t>
  </si>
  <si>
    <t>microvolt</t>
  </si>
  <si>
    <t>nanovolt</t>
  </si>
  <si>
    <t>picovolt</t>
  </si>
  <si>
    <t>femtovolt</t>
  </si>
  <si>
    <t>attovolt</t>
  </si>
  <si>
    <t>zeptovolt</t>
  </si>
  <si>
    <t>yoctovolt</t>
  </si>
  <si>
    <t>YV</t>
  </si>
  <si>
    <r>
      <t>Z</t>
    </r>
    <r>
      <rPr>
        <sz val="11"/>
        <color theme="1"/>
        <rFont val="Calibri"/>
        <family val="2"/>
        <scheme val="minor"/>
      </rPr>
      <t>V</t>
    </r>
  </si>
  <si>
    <r>
      <t>E</t>
    </r>
    <r>
      <rPr>
        <sz val="11"/>
        <color theme="1"/>
        <rFont val="Calibri"/>
        <family val="2"/>
        <scheme val="minor"/>
      </rPr>
      <t>V</t>
    </r>
  </si>
  <si>
    <r>
      <t>P</t>
    </r>
    <r>
      <rPr>
        <sz val="11"/>
        <color theme="1"/>
        <rFont val="Calibri"/>
        <family val="2"/>
        <scheme val="minor"/>
      </rPr>
      <t>V</t>
    </r>
  </si>
  <si>
    <r>
      <t>T</t>
    </r>
    <r>
      <rPr>
        <sz val="11"/>
        <color theme="1"/>
        <rFont val="Calibri"/>
        <family val="2"/>
        <scheme val="minor"/>
      </rPr>
      <t>V</t>
    </r>
  </si>
  <si>
    <r>
      <t>G</t>
    </r>
    <r>
      <rPr>
        <sz val="11"/>
        <color theme="1"/>
        <rFont val="Calibri"/>
        <family val="2"/>
        <scheme val="minor"/>
      </rPr>
      <t>V</t>
    </r>
  </si>
  <si>
    <r>
      <t>M</t>
    </r>
    <r>
      <rPr>
        <sz val="11"/>
        <color theme="1"/>
        <rFont val="Calibri"/>
        <family val="2"/>
        <scheme val="minor"/>
      </rPr>
      <t>V</t>
    </r>
  </si>
  <si>
    <r>
      <t>k</t>
    </r>
    <r>
      <rPr>
        <sz val="11"/>
        <color theme="1"/>
        <rFont val="Calibri"/>
        <family val="2"/>
        <scheme val="minor"/>
      </rPr>
      <t>W</t>
    </r>
  </si>
  <si>
    <r>
      <t>h</t>
    </r>
    <r>
      <rPr>
        <sz val="11"/>
        <color theme="1"/>
        <rFont val="Calibri"/>
        <family val="2"/>
        <scheme val="minor"/>
      </rPr>
      <t>W</t>
    </r>
  </si>
  <si>
    <r>
      <t>da</t>
    </r>
    <r>
      <rPr>
        <sz val="11"/>
        <color theme="1"/>
        <rFont val="Calibri"/>
        <family val="2"/>
        <scheme val="minor"/>
      </rPr>
      <t>W</t>
    </r>
  </si>
  <si>
    <r>
      <t>d</t>
    </r>
    <r>
      <rPr>
        <sz val="11"/>
        <color theme="1"/>
        <rFont val="Calibri"/>
        <family val="2"/>
        <scheme val="minor"/>
      </rPr>
      <t>W</t>
    </r>
  </si>
  <si>
    <r>
      <t>c</t>
    </r>
    <r>
      <rPr>
        <sz val="11"/>
        <color theme="1"/>
        <rFont val="Calibri"/>
        <family val="2"/>
        <scheme val="minor"/>
      </rPr>
      <t>W</t>
    </r>
  </si>
  <si>
    <r>
      <t>m</t>
    </r>
    <r>
      <rPr>
        <sz val="11"/>
        <color theme="1"/>
        <rFont val="Calibri"/>
        <family val="2"/>
        <scheme val="minor"/>
      </rPr>
      <t>W</t>
    </r>
  </si>
  <si>
    <r>
      <t>u</t>
    </r>
    <r>
      <rPr>
        <sz val="11"/>
        <color theme="1"/>
        <rFont val="Calibri"/>
        <family val="2"/>
        <scheme val="minor"/>
      </rPr>
      <t>W</t>
    </r>
  </si>
  <si>
    <r>
      <t>n</t>
    </r>
    <r>
      <rPr>
        <sz val="11"/>
        <color theme="1"/>
        <rFont val="Calibri"/>
        <family val="2"/>
        <scheme val="minor"/>
      </rPr>
      <t>W</t>
    </r>
  </si>
  <si>
    <r>
      <t>p</t>
    </r>
    <r>
      <rPr>
        <sz val="11"/>
        <color theme="1"/>
        <rFont val="Calibri"/>
        <family val="2"/>
        <scheme val="minor"/>
      </rPr>
      <t>W</t>
    </r>
  </si>
  <si>
    <r>
      <t>f</t>
    </r>
    <r>
      <rPr>
        <sz val="11"/>
        <color theme="1"/>
        <rFont val="Calibri"/>
        <family val="2"/>
        <scheme val="minor"/>
      </rPr>
      <t>W</t>
    </r>
  </si>
  <si>
    <r>
      <t>a</t>
    </r>
    <r>
      <rPr>
        <sz val="11"/>
        <color theme="1"/>
        <rFont val="Calibri"/>
        <family val="2"/>
        <scheme val="minor"/>
      </rPr>
      <t>W</t>
    </r>
  </si>
  <si>
    <r>
      <t>z</t>
    </r>
    <r>
      <rPr>
        <sz val="11"/>
        <color theme="1"/>
        <rFont val="Calibri"/>
        <family val="2"/>
        <scheme val="minor"/>
      </rPr>
      <t>W</t>
    </r>
  </si>
  <si>
    <r>
      <t>y</t>
    </r>
    <r>
      <rPr>
        <sz val="11"/>
        <color theme="1"/>
        <rFont val="Calibri"/>
        <family val="2"/>
        <scheme val="minor"/>
      </rPr>
      <t>W</t>
    </r>
  </si>
  <si>
    <r>
      <t>k</t>
    </r>
    <r>
      <rPr>
        <sz val="11"/>
        <color theme="1"/>
        <rFont val="Calibri"/>
        <family val="2"/>
        <scheme val="minor"/>
      </rPr>
      <t>V</t>
    </r>
  </si>
  <si>
    <r>
      <t>h</t>
    </r>
    <r>
      <rPr>
        <sz val="11"/>
        <color theme="1"/>
        <rFont val="Calibri"/>
        <family val="2"/>
        <scheme val="minor"/>
      </rPr>
      <t>V</t>
    </r>
  </si>
  <si>
    <r>
      <t>da</t>
    </r>
    <r>
      <rPr>
        <sz val="11"/>
        <color theme="1"/>
        <rFont val="Calibri"/>
        <family val="2"/>
        <scheme val="minor"/>
      </rPr>
      <t>V</t>
    </r>
  </si>
  <si>
    <r>
      <t>d</t>
    </r>
    <r>
      <rPr>
        <sz val="11"/>
        <color theme="1"/>
        <rFont val="Calibri"/>
        <family val="2"/>
        <scheme val="minor"/>
      </rPr>
      <t>V</t>
    </r>
  </si>
  <si>
    <r>
      <t>c</t>
    </r>
    <r>
      <rPr>
        <sz val="11"/>
        <color theme="1"/>
        <rFont val="Calibri"/>
        <family val="2"/>
        <scheme val="minor"/>
      </rPr>
      <t>V</t>
    </r>
  </si>
  <si>
    <r>
      <t>m</t>
    </r>
    <r>
      <rPr>
        <sz val="11"/>
        <color theme="1"/>
        <rFont val="Calibri"/>
        <family val="2"/>
        <scheme val="minor"/>
      </rPr>
      <t>V</t>
    </r>
  </si>
  <si>
    <r>
      <t>u</t>
    </r>
    <r>
      <rPr>
        <sz val="11"/>
        <color theme="1"/>
        <rFont val="Calibri"/>
        <family val="2"/>
        <scheme val="minor"/>
      </rPr>
      <t>V</t>
    </r>
  </si>
  <si>
    <r>
      <t>n</t>
    </r>
    <r>
      <rPr>
        <sz val="11"/>
        <color theme="1"/>
        <rFont val="Calibri"/>
        <family val="2"/>
        <scheme val="minor"/>
      </rPr>
      <t>V</t>
    </r>
  </si>
  <si>
    <r>
      <t>p</t>
    </r>
    <r>
      <rPr>
        <sz val="11"/>
        <color theme="1"/>
        <rFont val="Calibri"/>
        <family val="2"/>
        <scheme val="minor"/>
      </rPr>
      <t>V</t>
    </r>
  </si>
  <si>
    <r>
      <t>f</t>
    </r>
    <r>
      <rPr>
        <sz val="11"/>
        <color theme="1"/>
        <rFont val="Calibri"/>
        <family val="2"/>
        <scheme val="minor"/>
      </rPr>
      <t>V</t>
    </r>
  </si>
  <si>
    <r>
      <t>a</t>
    </r>
    <r>
      <rPr>
        <sz val="11"/>
        <color theme="1"/>
        <rFont val="Calibri"/>
        <family val="2"/>
        <scheme val="minor"/>
      </rPr>
      <t>V</t>
    </r>
  </si>
  <si>
    <r>
      <t>z</t>
    </r>
    <r>
      <rPr>
        <sz val="11"/>
        <color theme="1"/>
        <rFont val="Calibri"/>
        <family val="2"/>
        <scheme val="minor"/>
      </rPr>
      <t>V</t>
    </r>
  </si>
  <si>
    <r>
      <t>y</t>
    </r>
    <r>
      <rPr>
        <sz val="11"/>
        <color theme="1"/>
        <rFont val="Calibri"/>
        <family val="2"/>
        <scheme val="minor"/>
      </rPr>
      <t>V</t>
    </r>
  </si>
  <si>
    <t>yottawatt</t>
  </si>
  <si>
    <t>zettawatt</t>
  </si>
  <si>
    <t>exacwatt</t>
  </si>
  <si>
    <t>petawatt</t>
  </si>
  <si>
    <t>terawatt</t>
  </si>
  <si>
    <t>gigawatt</t>
  </si>
  <si>
    <t>megawatt</t>
  </si>
  <si>
    <t>kilowatt</t>
  </si>
  <si>
    <t>hectowatt</t>
  </si>
  <si>
    <t>decawatt</t>
  </si>
  <si>
    <t>deciwatt</t>
  </si>
  <si>
    <t>centiwatt</t>
  </si>
  <si>
    <t>milliwatt</t>
  </si>
  <si>
    <t>microwatt</t>
  </si>
  <si>
    <t>nanowatt</t>
  </si>
  <si>
    <t>picowatt</t>
  </si>
  <si>
    <t>femtowatt</t>
  </si>
  <si>
    <t>attowatt</t>
  </si>
  <si>
    <t>zeptowatt</t>
  </si>
  <si>
    <t>yoctowatt</t>
  </si>
  <si>
    <t>decaohm</t>
  </si>
  <si>
    <t>kiloohm</t>
  </si>
  <si>
    <r>
      <t>Y</t>
    </r>
    <r>
      <rPr>
        <sz val="11"/>
        <color theme="1"/>
        <rFont val="Calibri"/>
        <family val="2"/>
        <scheme val="minor"/>
      </rPr>
      <t>W</t>
    </r>
  </si>
  <si>
    <r>
      <t>Z</t>
    </r>
    <r>
      <rPr>
        <sz val="11"/>
        <color theme="1"/>
        <rFont val="Calibri"/>
        <family val="2"/>
        <scheme val="minor"/>
      </rPr>
      <t>W</t>
    </r>
  </si>
  <si>
    <r>
      <t>E</t>
    </r>
    <r>
      <rPr>
        <sz val="11"/>
        <color theme="1"/>
        <rFont val="Calibri"/>
        <family val="2"/>
        <scheme val="minor"/>
      </rPr>
      <t>W</t>
    </r>
  </si>
  <si>
    <r>
      <t>P</t>
    </r>
    <r>
      <rPr>
        <sz val="11"/>
        <color theme="1"/>
        <rFont val="Calibri"/>
        <family val="2"/>
        <scheme val="minor"/>
      </rPr>
      <t>W</t>
    </r>
  </si>
  <si>
    <r>
      <t>T</t>
    </r>
    <r>
      <rPr>
        <sz val="11"/>
        <color theme="1"/>
        <rFont val="Calibri"/>
        <family val="2"/>
        <scheme val="minor"/>
      </rPr>
      <t>W</t>
    </r>
  </si>
  <si>
    <r>
      <t>G</t>
    </r>
    <r>
      <rPr>
        <sz val="11"/>
        <color theme="1"/>
        <rFont val="Calibri"/>
        <family val="2"/>
        <scheme val="minor"/>
      </rPr>
      <t>W</t>
    </r>
  </si>
  <si>
    <r>
      <t>M</t>
    </r>
    <r>
      <rPr>
        <sz val="11"/>
        <color theme="1"/>
        <rFont val="Calibri"/>
        <family val="2"/>
        <scheme val="minor"/>
      </rPr>
      <t>W</t>
    </r>
  </si>
  <si>
    <t>yottaweber</t>
  </si>
  <si>
    <t>zettaweber</t>
  </si>
  <si>
    <t>exacweber</t>
  </si>
  <si>
    <t>petaweber</t>
  </si>
  <si>
    <t>teraweber</t>
  </si>
  <si>
    <t>gigaweber</t>
  </si>
  <si>
    <t>megaweber</t>
  </si>
  <si>
    <t>kiloweber</t>
  </si>
  <si>
    <t>hectoweber</t>
  </si>
  <si>
    <t>decaweber</t>
  </si>
  <si>
    <t>deciweber</t>
  </si>
  <si>
    <t>centiweber</t>
  </si>
  <si>
    <t>milliweber</t>
  </si>
  <si>
    <t>microweber</t>
  </si>
  <si>
    <t>nanoweber</t>
  </si>
  <si>
    <t>picoweber</t>
  </si>
  <si>
    <t>femtoweber</t>
  </si>
  <si>
    <t>attoweber</t>
  </si>
  <si>
    <t>zeptoweber</t>
  </si>
  <si>
    <t>yoctoweber</t>
  </si>
  <si>
    <t>kilojoule</t>
  </si>
  <si>
    <t>decajoule</t>
  </si>
  <si>
    <t>YWb</t>
  </si>
  <si>
    <t>ZWb</t>
  </si>
  <si>
    <t>EWb</t>
  </si>
  <si>
    <t>PWb</t>
  </si>
  <si>
    <t>TWb</t>
  </si>
  <si>
    <t>GWb</t>
  </si>
  <si>
    <t>MWb</t>
  </si>
  <si>
    <t>kWb</t>
  </si>
  <si>
    <t>hWb</t>
  </si>
  <si>
    <t>daWb</t>
  </si>
  <si>
    <t>dWb</t>
  </si>
  <si>
    <t>cWb</t>
  </si>
  <si>
    <t>mWb</t>
  </si>
  <si>
    <t>uWb</t>
  </si>
  <si>
    <t>nWb</t>
  </si>
  <si>
    <t>pWb</t>
  </si>
  <si>
    <t>fWb</t>
  </si>
  <si>
    <t>aWb</t>
  </si>
  <si>
    <t>zWb</t>
  </si>
  <si>
    <t>yWb</t>
  </si>
  <si>
    <t>yottapoiseuille</t>
  </si>
  <si>
    <t>zettapoiseuille</t>
  </si>
  <si>
    <t>exacpoiseuille</t>
  </si>
  <si>
    <t>petapoiseuille</t>
  </si>
  <si>
    <t>terapoiseuille</t>
  </si>
  <si>
    <t>gigapoiseuille</t>
  </si>
  <si>
    <t>megapoiseuille</t>
  </si>
  <si>
    <t>kilocpoiseuille</t>
  </si>
  <si>
    <t>hectopoiseuille</t>
  </si>
  <si>
    <t>decapoiseuille</t>
  </si>
  <si>
    <t>decipoiseuille</t>
  </si>
  <si>
    <t>centipoiseuille</t>
  </si>
  <si>
    <t>millipoiseuille</t>
  </si>
  <si>
    <t>micropoiseuille</t>
  </si>
  <si>
    <t>nanopoiseuille</t>
  </si>
  <si>
    <t>picopoiseuille</t>
  </si>
  <si>
    <t>femtopoiseuille</t>
  </si>
  <si>
    <t>attopoiseuille</t>
  </si>
  <si>
    <t>zeptopoiseuille</t>
  </si>
  <si>
    <t>yoctopoiseuille</t>
  </si>
  <si>
    <t>decafarad</t>
  </si>
  <si>
    <t>kilofarad</t>
  </si>
  <si>
    <t>decasiemens</t>
  </si>
  <si>
    <t>kilosiemens</t>
  </si>
  <si>
    <t>decapascal</t>
  </si>
  <si>
    <t>YPo</t>
  </si>
  <si>
    <t>ZPo</t>
  </si>
  <si>
    <t>EPo</t>
  </si>
  <si>
    <t>PPo</t>
  </si>
  <si>
    <t>TPo</t>
  </si>
  <si>
    <t>GPo</t>
  </si>
  <si>
    <t>MPo</t>
  </si>
  <si>
    <t>kPo</t>
  </si>
  <si>
    <t>hPo</t>
  </si>
  <si>
    <t>daPo</t>
  </si>
  <si>
    <t>dPo</t>
  </si>
  <si>
    <t>cPo</t>
  </si>
  <si>
    <t>mPo</t>
  </si>
  <si>
    <t>uPo</t>
  </si>
  <si>
    <t>nPo</t>
  </si>
  <si>
    <t>pPo</t>
  </si>
  <si>
    <t>fPo</t>
  </si>
  <si>
    <t>aPo</t>
  </si>
  <si>
    <t>zPo</t>
  </si>
  <si>
    <t>yPo</t>
  </si>
  <si>
    <t>megayear</t>
  </si>
  <si>
    <t>gigan</t>
  </si>
  <si>
    <t>km/hr</t>
  </si>
  <si>
    <t>yd/min</t>
  </si>
  <si>
    <t>in/min</t>
  </si>
  <si>
    <t>m/min</t>
  </si>
  <si>
    <t>m/hr</t>
  </si>
  <si>
    <t>yd/hr</t>
  </si>
  <si>
    <t>in/hr</t>
  </si>
  <si>
    <t>mm/min</t>
  </si>
  <si>
    <t>mm/hr</t>
  </si>
  <si>
    <t>knot</t>
  </si>
  <si>
    <t>mi/min</t>
  </si>
  <si>
    <t>mi/sec</t>
  </si>
  <si>
    <t>ch/min</t>
  </si>
  <si>
    <t>fur/min</t>
  </si>
  <si>
    <t>km/min</t>
  </si>
  <si>
    <t>leag/min</t>
  </si>
  <si>
    <t>cm/min</t>
  </si>
  <si>
    <t>cm/hr</t>
  </si>
  <si>
    <t>ym/min</t>
  </si>
  <si>
    <t>ym/hr</t>
  </si>
  <si>
    <t>zm/min</t>
  </si>
  <si>
    <t>zm/hr</t>
  </si>
  <si>
    <t>Mm/min</t>
  </si>
  <si>
    <t>Mm/hr</t>
  </si>
  <si>
    <t>hm/hr</t>
  </si>
  <si>
    <t>hm/min</t>
  </si>
  <si>
    <t>dam/hr</t>
  </si>
  <si>
    <t>dam/min</t>
  </si>
  <si>
    <t>dm/hr</t>
  </si>
  <si>
    <t>dm/min</t>
  </si>
  <si>
    <t>um/min</t>
  </si>
  <si>
    <t>um/hr</t>
  </si>
  <si>
    <t>nm/min</t>
  </si>
  <si>
    <t>nm/hr</t>
  </si>
  <si>
    <t>pm/min</t>
  </si>
  <si>
    <t>pm/hr</t>
  </si>
  <si>
    <t>fm/hr</t>
  </si>
  <si>
    <t>fm/min</t>
  </si>
  <si>
    <t>am/hr</t>
  </si>
  <si>
    <t>am/min</t>
  </si>
  <si>
    <t>am/mon</t>
  </si>
  <si>
    <t>cm/mon</t>
  </si>
  <si>
    <t>ch/mon</t>
  </si>
  <si>
    <t>dam/mon</t>
  </si>
  <si>
    <t>dm/mon</t>
  </si>
  <si>
    <t>fm/mon</t>
  </si>
  <si>
    <t>ft/mon</t>
  </si>
  <si>
    <t>fur/mon</t>
  </si>
  <si>
    <t>hd/min</t>
  </si>
  <si>
    <t>hd/hr</t>
  </si>
  <si>
    <t>hm/mon</t>
  </si>
  <si>
    <t>in/mon</t>
  </si>
  <si>
    <t>km/mon</t>
  </si>
  <si>
    <t>leag/mon</t>
  </si>
  <si>
    <t>um/mon</t>
  </si>
  <si>
    <t>mm/mon</t>
  </si>
  <si>
    <t>Mm/mon</t>
  </si>
  <si>
    <t>m/mon</t>
  </si>
  <si>
    <t>mi/mon</t>
  </si>
  <si>
    <t>nm/mon</t>
  </si>
  <si>
    <t>pm/mon</t>
  </si>
  <si>
    <t>yd/mon</t>
  </si>
  <si>
    <t>ym/mon</t>
  </si>
  <si>
    <t>zm/mon</t>
  </si>
  <si>
    <t>tr/min</t>
  </si>
  <si>
    <t>gon/min</t>
  </si>
  <si>
    <t>rph, rev/hr</t>
  </si>
  <si>
    <t>rad/mon</t>
  </si>
  <si>
    <t>rev/mon</t>
  </si>
  <si>
    <t>tr/hr</t>
  </si>
  <si>
    <t>tr/mon</t>
  </si>
  <si>
    <t>gon/hr</t>
  </si>
  <si>
    <t>gon/mon</t>
  </si>
  <si>
    <t>gon/yr</t>
  </si>
  <si>
    <t>tr/yr</t>
  </si>
  <si>
    <t>rpy, rev/yr</t>
  </si>
  <si>
    <t>deciliter</t>
  </si>
  <si>
    <t>dl,dL</t>
  </si>
  <si>
    <t>cc, centicube</t>
  </si>
  <si>
    <t>centiliter</t>
  </si>
  <si>
    <t>cl, cL</t>
  </si>
  <si>
    <t>milliliter</t>
  </si>
  <si>
    <t>ml, mL</t>
  </si>
  <si>
    <t>millistokes</t>
  </si>
  <si>
    <t>mSt</t>
  </si>
  <si>
    <t>millipoise</t>
  </si>
  <si>
    <t>mP, mPo</t>
  </si>
  <si>
    <r>
      <t>pdl/ft</t>
    </r>
    <r>
      <rPr>
        <vertAlign val="superscript"/>
        <sz val="11"/>
        <color theme="1"/>
        <rFont val="Calibri"/>
        <family val="2"/>
        <scheme val="minor"/>
      </rPr>
      <t>2</t>
    </r>
  </si>
  <si>
    <t>yottasecond</t>
  </si>
  <si>
    <t>zettasecond</t>
  </si>
  <si>
    <t>exasecond</t>
  </si>
  <si>
    <t>petasecond</t>
  </si>
  <si>
    <t>terasecond</t>
  </si>
  <si>
    <t>gigasecond</t>
  </si>
  <si>
    <t>megasecond</t>
  </si>
  <si>
    <t>kilosecond</t>
  </si>
  <si>
    <t>hectosecond</t>
  </si>
  <si>
    <t>decasecond</t>
  </si>
  <si>
    <t>decisecond</t>
  </si>
  <si>
    <t>centisecond</t>
  </si>
  <si>
    <t>millisecond</t>
  </si>
  <si>
    <t>microsecond</t>
  </si>
  <si>
    <t>nanosecond</t>
  </si>
  <si>
    <t>picosecond</t>
  </si>
  <si>
    <t>femtosecond</t>
  </si>
  <si>
    <t>attosecond</t>
  </si>
  <si>
    <t>zeptosecond</t>
  </si>
  <si>
    <t>yoctosecond</t>
  </si>
  <si>
    <t>Ys</t>
  </si>
  <si>
    <t>Zs</t>
  </si>
  <si>
    <t>Es</t>
  </si>
  <si>
    <t>Ps</t>
  </si>
  <si>
    <t>Ts</t>
  </si>
  <si>
    <t>Gs</t>
  </si>
  <si>
    <t>Ms</t>
  </si>
  <si>
    <t>ks</t>
  </si>
  <si>
    <t>hs</t>
  </si>
  <si>
    <t>ds</t>
  </si>
  <si>
    <t>cs</t>
  </si>
  <si>
    <t>ms</t>
  </si>
  <si>
    <t>ns</t>
  </si>
  <si>
    <t>ps</t>
  </si>
  <si>
    <t>fs</t>
  </si>
  <si>
    <t>as</t>
  </si>
  <si>
    <t>zs</t>
  </si>
  <si>
    <t>ys</t>
  </si>
  <si>
    <r>
      <t>dyn/cm</t>
    </r>
    <r>
      <rPr>
        <vertAlign val="superscript"/>
        <sz val="11"/>
        <color theme="1"/>
        <rFont val="Calibri"/>
        <family val="2"/>
        <scheme val="minor"/>
      </rPr>
      <t>2</t>
    </r>
  </si>
  <si>
    <t>yottacandela</t>
  </si>
  <si>
    <t>zettacandela</t>
  </si>
  <si>
    <t>exacandela</t>
  </si>
  <si>
    <t>petacandela</t>
  </si>
  <si>
    <t>teracandela</t>
  </si>
  <si>
    <t>gigacandela</t>
  </si>
  <si>
    <t>megacandela</t>
  </si>
  <si>
    <t>kilocandela</t>
  </si>
  <si>
    <t>hectocandela</t>
  </si>
  <si>
    <t>decacandela</t>
  </si>
  <si>
    <t>decicandela</t>
  </si>
  <si>
    <t>centicandela</t>
  </si>
  <si>
    <t>millicandela</t>
  </si>
  <si>
    <t>microcandela</t>
  </si>
  <si>
    <t>nanocandela</t>
  </si>
  <si>
    <t>picocandela</t>
  </si>
  <si>
    <t>femtocandela</t>
  </si>
  <si>
    <t>attocandela</t>
  </si>
  <si>
    <t>zeptocandela</t>
  </si>
  <si>
    <t>yoctocandela</t>
  </si>
  <si>
    <t>Ycd</t>
  </si>
  <si>
    <t>Zcd</t>
  </si>
  <si>
    <t>Ecd</t>
  </si>
  <si>
    <t>Pcd</t>
  </si>
  <si>
    <t>Tcd</t>
  </si>
  <si>
    <t>Gcd</t>
  </si>
  <si>
    <t>Mcd</t>
  </si>
  <si>
    <t>kcd</t>
  </si>
  <si>
    <t>hcd</t>
  </si>
  <si>
    <t>dacd</t>
  </si>
  <si>
    <t>dcd</t>
  </si>
  <si>
    <t>ccd</t>
  </si>
  <si>
    <t>mcd</t>
  </si>
  <si>
    <t>ucd</t>
  </si>
  <si>
    <t>ncd</t>
  </si>
  <si>
    <t>pcd</t>
  </si>
  <si>
    <t>fcd</t>
  </si>
  <si>
    <t>acd</t>
  </si>
  <si>
    <t>zcd</t>
  </si>
  <si>
    <t>ycd</t>
  </si>
  <si>
    <r>
      <t>cm</t>
    </r>
    <r>
      <rPr>
        <vertAlign val="superscript"/>
        <sz val="11"/>
        <color theme="1"/>
        <rFont val="Calibri"/>
        <family val="2"/>
        <scheme val="minor"/>
      </rPr>
      <t>2</t>
    </r>
    <r>
      <rPr>
        <sz val="11"/>
        <color theme="1"/>
        <rFont val="Calibri"/>
        <family val="2"/>
        <scheme val="minor"/>
      </rPr>
      <t>/mol</t>
    </r>
  </si>
  <si>
    <r>
      <t>mm</t>
    </r>
    <r>
      <rPr>
        <vertAlign val="superscript"/>
        <sz val="11"/>
        <color theme="1"/>
        <rFont val="Calibri"/>
        <family val="2"/>
        <scheme val="minor"/>
      </rPr>
      <t>2</t>
    </r>
    <r>
      <rPr>
        <sz val="11"/>
        <color theme="1"/>
        <rFont val="Calibri"/>
        <family val="2"/>
        <scheme val="minor"/>
      </rPr>
      <t>/mol</t>
    </r>
  </si>
  <si>
    <r>
      <t>ft</t>
    </r>
    <r>
      <rPr>
        <vertAlign val="superscript"/>
        <sz val="11"/>
        <color theme="1"/>
        <rFont val="Calibri"/>
        <family val="2"/>
        <scheme val="minor"/>
      </rPr>
      <t>2</t>
    </r>
    <r>
      <rPr>
        <sz val="11"/>
        <color theme="1"/>
        <rFont val="Calibri"/>
        <family val="2"/>
        <scheme val="minor"/>
      </rPr>
      <t>/mol</t>
    </r>
  </si>
  <si>
    <r>
      <t>mole/mm</t>
    </r>
    <r>
      <rPr>
        <vertAlign val="superscript"/>
        <sz val="11"/>
        <color theme="1"/>
        <rFont val="Calibri"/>
        <family val="2"/>
        <scheme val="minor"/>
      </rPr>
      <t>2</t>
    </r>
  </si>
  <si>
    <r>
      <t>mole/cm</t>
    </r>
    <r>
      <rPr>
        <vertAlign val="superscript"/>
        <sz val="11"/>
        <color theme="1"/>
        <rFont val="Calibri"/>
        <family val="2"/>
        <scheme val="minor"/>
      </rPr>
      <t>2</t>
    </r>
  </si>
  <si>
    <r>
      <t>mole/m</t>
    </r>
    <r>
      <rPr>
        <vertAlign val="superscript"/>
        <sz val="11"/>
        <color theme="1"/>
        <rFont val="Calibri"/>
        <family val="2"/>
        <scheme val="minor"/>
      </rPr>
      <t>2</t>
    </r>
  </si>
  <si>
    <r>
      <t>mole/ft</t>
    </r>
    <r>
      <rPr>
        <vertAlign val="superscript"/>
        <sz val="11"/>
        <color theme="1"/>
        <rFont val="Calibri"/>
        <family val="2"/>
        <scheme val="minor"/>
      </rPr>
      <t>2</t>
    </r>
  </si>
  <si>
    <r>
      <t>mole/yd</t>
    </r>
    <r>
      <rPr>
        <vertAlign val="superscript"/>
        <sz val="11"/>
        <color theme="1"/>
        <rFont val="Calibri"/>
        <family val="2"/>
        <scheme val="minor"/>
      </rPr>
      <t>2</t>
    </r>
  </si>
  <si>
    <r>
      <t>mole/in</t>
    </r>
    <r>
      <rPr>
        <vertAlign val="superscript"/>
        <sz val="11"/>
        <color theme="1"/>
        <rFont val="Calibri"/>
        <family val="2"/>
        <scheme val="minor"/>
      </rPr>
      <t>2</t>
    </r>
  </si>
  <si>
    <r>
      <t>in</t>
    </r>
    <r>
      <rPr>
        <vertAlign val="superscript"/>
        <sz val="11"/>
        <color theme="1"/>
        <rFont val="Calibri"/>
        <family val="2"/>
        <scheme val="minor"/>
      </rPr>
      <t>2</t>
    </r>
    <r>
      <rPr>
        <sz val="11"/>
        <color theme="1"/>
        <rFont val="Calibri"/>
        <family val="2"/>
        <scheme val="minor"/>
      </rPr>
      <t>/mol</t>
    </r>
  </si>
  <si>
    <r>
      <t>yd</t>
    </r>
    <r>
      <rPr>
        <vertAlign val="superscript"/>
        <sz val="11"/>
        <color theme="1"/>
        <rFont val="Calibri"/>
        <family val="2"/>
        <scheme val="minor"/>
      </rPr>
      <t>2</t>
    </r>
    <r>
      <rPr>
        <sz val="11"/>
        <color theme="1"/>
        <rFont val="Calibri"/>
        <family val="2"/>
        <scheme val="minor"/>
      </rPr>
      <t>/mol</t>
    </r>
  </si>
  <si>
    <r>
      <t>C/cm</t>
    </r>
    <r>
      <rPr>
        <vertAlign val="superscript"/>
        <sz val="11"/>
        <color theme="1"/>
        <rFont val="Calibri"/>
        <family val="2"/>
        <scheme val="minor"/>
      </rPr>
      <t>2</t>
    </r>
  </si>
  <si>
    <r>
      <t>C/mm</t>
    </r>
    <r>
      <rPr>
        <vertAlign val="superscript"/>
        <sz val="11"/>
        <color theme="1"/>
        <rFont val="Calibri"/>
        <family val="2"/>
        <scheme val="minor"/>
      </rPr>
      <t>2</t>
    </r>
  </si>
  <si>
    <r>
      <t>C/yd</t>
    </r>
    <r>
      <rPr>
        <vertAlign val="superscript"/>
        <sz val="11"/>
        <color theme="1"/>
        <rFont val="Calibri"/>
        <family val="2"/>
        <scheme val="minor"/>
      </rPr>
      <t>2</t>
    </r>
  </si>
  <si>
    <r>
      <t>C/ft</t>
    </r>
    <r>
      <rPr>
        <vertAlign val="superscript"/>
        <sz val="11"/>
        <color theme="1"/>
        <rFont val="Calibri"/>
        <family val="2"/>
        <scheme val="minor"/>
      </rPr>
      <t>2</t>
    </r>
  </si>
  <si>
    <r>
      <t>C/in</t>
    </r>
    <r>
      <rPr>
        <vertAlign val="superscript"/>
        <sz val="11"/>
        <color theme="1"/>
        <rFont val="Calibri"/>
        <family val="2"/>
        <scheme val="minor"/>
      </rPr>
      <t>2</t>
    </r>
  </si>
  <si>
    <r>
      <t>C/cm</t>
    </r>
    <r>
      <rPr>
        <vertAlign val="superscript"/>
        <sz val="11"/>
        <color theme="1"/>
        <rFont val="Calibri"/>
        <family val="2"/>
        <scheme val="minor"/>
      </rPr>
      <t>3</t>
    </r>
  </si>
  <si>
    <r>
      <t>C/mm</t>
    </r>
    <r>
      <rPr>
        <vertAlign val="superscript"/>
        <sz val="11"/>
        <color theme="1"/>
        <rFont val="Calibri"/>
        <family val="2"/>
        <scheme val="minor"/>
      </rPr>
      <t>3</t>
    </r>
  </si>
  <si>
    <r>
      <t>C/yd</t>
    </r>
    <r>
      <rPr>
        <vertAlign val="superscript"/>
        <sz val="11"/>
        <color theme="1"/>
        <rFont val="Calibri"/>
        <family val="2"/>
        <scheme val="minor"/>
      </rPr>
      <t>3</t>
    </r>
  </si>
  <si>
    <r>
      <t>C/ft</t>
    </r>
    <r>
      <rPr>
        <vertAlign val="superscript"/>
        <sz val="11"/>
        <color theme="1"/>
        <rFont val="Calibri"/>
        <family val="2"/>
        <scheme val="minor"/>
      </rPr>
      <t>3</t>
    </r>
  </si>
  <si>
    <r>
      <t>C/in</t>
    </r>
    <r>
      <rPr>
        <vertAlign val="superscript"/>
        <sz val="11"/>
        <color theme="1"/>
        <rFont val="Calibri"/>
        <family val="2"/>
        <scheme val="minor"/>
      </rPr>
      <t>3</t>
    </r>
  </si>
  <si>
    <r>
      <t>C/um</t>
    </r>
    <r>
      <rPr>
        <vertAlign val="superscript"/>
        <sz val="11"/>
        <color theme="1"/>
        <rFont val="Calibri"/>
        <family val="2"/>
        <scheme val="minor"/>
      </rPr>
      <t>2</t>
    </r>
  </si>
  <si>
    <r>
      <t>C/nm</t>
    </r>
    <r>
      <rPr>
        <vertAlign val="superscript"/>
        <sz val="11"/>
        <color theme="1"/>
        <rFont val="Calibri"/>
        <family val="2"/>
        <scheme val="minor"/>
      </rPr>
      <t>2</t>
    </r>
  </si>
  <si>
    <r>
      <t>C/km</t>
    </r>
    <r>
      <rPr>
        <vertAlign val="superscript"/>
        <sz val="11"/>
        <color theme="1"/>
        <rFont val="Calibri"/>
        <family val="2"/>
        <scheme val="minor"/>
      </rPr>
      <t>2</t>
    </r>
  </si>
  <si>
    <r>
      <t>C/mi</t>
    </r>
    <r>
      <rPr>
        <vertAlign val="superscript"/>
        <sz val="11"/>
        <color theme="1"/>
        <rFont val="Calibri"/>
        <family val="2"/>
        <scheme val="minor"/>
      </rPr>
      <t>2</t>
    </r>
  </si>
  <si>
    <r>
      <t>C/km</t>
    </r>
    <r>
      <rPr>
        <vertAlign val="superscript"/>
        <sz val="11"/>
        <color theme="1"/>
        <rFont val="Calibri"/>
        <family val="2"/>
        <scheme val="minor"/>
      </rPr>
      <t>3</t>
    </r>
  </si>
  <si>
    <r>
      <t>C/um</t>
    </r>
    <r>
      <rPr>
        <vertAlign val="superscript"/>
        <sz val="11"/>
        <color theme="1"/>
        <rFont val="Calibri"/>
        <family val="2"/>
        <scheme val="minor"/>
      </rPr>
      <t>3</t>
    </r>
  </si>
  <si>
    <r>
      <t>C/nm</t>
    </r>
    <r>
      <rPr>
        <vertAlign val="superscript"/>
        <sz val="11"/>
        <color theme="1"/>
        <rFont val="Calibri"/>
        <family val="2"/>
        <scheme val="minor"/>
      </rPr>
      <t>3</t>
    </r>
  </si>
  <si>
    <r>
      <t>C/mi</t>
    </r>
    <r>
      <rPr>
        <vertAlign val="superscript"/>
        <sz val="11"/>
        <color theme="1"/>
        <rFont val="Calibri"/>
        <family val="2"/>
        <scheme val="minor"/>
      </rPr>
      <t>3</t>
    </r>
  </si>
  <si>
    <r>
      <t>cal(20</t>
    </r>
    <r>
      <rPr>
        <vertAlign val="superscript"/>
        <sz val="11"/>
        <color theme="1"/>
        <rFont val="Calibri"/>
        <family val="2"/>
        <scheme val="minor"/>
      </rPr>
      <t>o</t>
    </r>
    <r>
      <rPr>
        <sz val="11"/>
        <color theme="1"/>
        <rFont val="Calibri"/>
        <family val="2"/>
        <scheme val="minor"/>
      </rPr>
      <t>C)/kg</t>
    </r>
  </si>
  <si>
    <r>
      <t>cal(4</t>
    </r>
    <r>
      <rPr>
        <vertAlign val="superscript"/>
        <sz val="11"/>
        <color theme="1"/>
        <rFont val="Calibri"/>
        <family val="2"/>
        <scheme val="minor"/>
      </rPr>
      <t>o</t>
    </r>
    <r>
      <rPr>
        <sz val="11"/>
        <color theme="1"/>
        <rFont val="Calibri"/>
        <family val="2"/>
        <scheme val="minor"/>
      </rPr>
      <t>C)/kg</t>
    </r>
  </si>
  <si>
    <t>cal/kg</t>
  </si>
  <si>
    <t>cal/g</t>
  </si>
  <si>
    <r>
      <t>cal(4</t>
    </r>
    <r>
      <rPr>
        <vertAlign val="superscript"/>
        <sz val="11"/>
        <color theme="1"/>
        <rFont val="Calibri"/>
        <family val="2"/>
        <scheme val="minor"/>
      </rPr>
      <t>o</t>
    </r>
    <r>
      <rPr>
        <sz val="11"/>
        <color theme="1"/>
        <rFont val="Calibri"/>
        <family val="2"/>
        <scheme val="minor"/>
      </rPr>
      <t>C)/g</t>
    </r>
  </si>
  <si>
    <r>
      <t>M.L/T</t>
    </r>
    <r>
      <rPr>
        <vertAlign val="superscript"/>
        <sz val="11"/>
        <color theme="1"/>
        <rFont val="Calibri"/>
        <family val="2"/>
        <scheme val="minor"/>
      </rPr>
      <t>2</t>
    </r>
    <r>
      <rPr>
        <sz val="11"/>
        <color theme="1"/>
        <rFont val="Calibri"/>
        <family val="2"/>
        <scheme val="minor"/>
      </rPr>
      <t>.I</t>
    </r>
    <r>
      <rPr>
        <vertAlign val="superscript"/>
        <sz val="11"/>
        <color theme="1"/>
        <rFont val="Calibri"/>
        <family val="2"/>
        <scheme val="minor"/>
      </rPr>
      <t>2</t>
    </r>
  </si>
  <si>
    <r>
      <t>F/s</t>
    </r>
    <r>
      <rPr>
        <vertAlign val="superscript"/>
        <sz val="11"/>
        <color theme="1"/>
        <rFont val="Calibri"/>
        <family val="2"/>
        <scheme val="minor"/>
      </rPr>
      <t>2</t>
    </r>
  </si>
  <si>
    <r>
      <t>F/min</t>
    </r>
    <r>
      <rPr>
        <vertAlign val="superscript"/>
        <sz val="11"/>
        <color theme="1"/>
        <rFont val="Calibri"/>
        <family val="2"/>
        <scheme val="minor"/>
      </rPr>
      <t>2</t>
    </r>
  </si>
  <si>
    <r>
      <t>F/mon</t>
    </r>
    <r>
      <rPr>
        <vertAlign val="superscript"/>
        <sz val="11"/>
        <color theme="1"/>
        <rFont val="Calibri"/>
        <family val="2"/>
        <scheme val="minor"/>
      </rPr>
      <t>2</t>
    </r>
  </si>
  <si>
    <r>
      <t>H/min</t>
    </r>
    <r>
      <rPr>
        <vertAlign val="superscript"/>
        <sz val="11"/>
        <color theme="1"/>
        <rFont val="Calibri"/>
        <family val="2"/>
        <scheme val="minor"/>
      </rPr>
      <t>2</t>
    </r>
  </si>
  <si>
    <r>
      <t>H/mon</t>
    </r>
    <r>
      <rPr>
        <vertAlign val="superscript"/>
        <sz val="11"/>
        <color theme="1"/>
        <rFont val="Calibri"/>
        <family val="2"/>
        <scheme val="minor"/>
      </rPr>
      <t>2</t>
    </r>
  </si>
  <si>
    <t>Wb/cm</t>
  </si>
  <si>
    <t>Wb/mm</t>
  </si>
  <si>
    <t>Wb/um</t>
  </si>
  <si>
    <t>Wb/nm</t>
  </si>
  <si>
    <t>Wb/km</t>
  </si>
  <si>
    <t>Wb/mi</t>
  </si>
  <si>
    <t>Wb/yd</t>
  </si>
  <si>
    <t>Wb/ft</t>
  </si>
  <si>
    <t>Wb/in</t>
  </si>
  <si>
    <t>H/km</t>
  </si>
  <si>
    <t>H/cm</t>
  </si>
  <si>
    <t>H/mm</t>
  </si>
  <si>
    <t>H/um</t>
  </si>
  <si>
    <t>H/nm</t>
  </si>
  <si>
    <t>H/mi</t>
  </si>
  <si>
    <t>H/yd</t>
  </si>
  <si>
    <t>H/ft</t>
  </si>
  <si>
    <t>H/in</t>
  </si>
  <si>
    <t>dr, drachm</t>
  </si>
  <si>
    <t>dr(troy)</t>
  </si>
  <si>
    <t>u</t>
  </si>
  <si>
    <r>
      <t>(gr)</t>
    </r>
    <r>
      <rPr>
        <vertAlign val="superscript"/>
        <sz val="11"/>
        <color theme="1"/>
        <rFont val="Calibri"/>
        <family val="2"/>
      </rPr>
      <t>2</t>
    </r>
  </si>
  <si>
    <t>wd</t>
  </si>
  <si>
    <t>ny</t>
  </si>
  <si>
    <t>kilobyte</t>
  </si>
  <si>
    <t>megabyte</t>
  </si>
  <si>
    <t>MB</t>
  </si>
  <si>
    <t>KB</t>
  </si>
  <si>
    <t>gigabyte</t>
  </si>
  <si>
    <t>GB</t>
  </si>
  <si>
    <t>terabyte</t>
  </si>
  <si>
    <t>TB</t>
  </si>
  <si>
    <t>petabyte</t>
  </si>
  <si>
    <t>PB</t>
  </si>
  <si>
    <t>kn</t>
  </si>
  <si>
    <t>pz</t>
  </si>
  <si>
    <r>
      <t>lbf/ft</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 xml:space="preserve"> </t>
    </r>
    <r>
      <rPr>
        <sz val="11"/>
        <color theme="1"/>
        <rFont val="Calibri"/>
        <family val="2"/>
        <scheme val="minor"/>
      </rPr>
      <t>psf, PSF</t>
    </r>
  </si>
  <si>
    <r>
      <t>lbf/ft</t>
    </r>
    <r>
      <rPr>
        <vertAlign val="superscript"/>
        <sz val="11"/>
        <color theme="1"/>
        <rFont val="Calibri"/>
        <family val="2"/>
        <scheme val="minor"/>
      </rPr>
      <t>2</t>
    </r>
    <r>
      <rPr>
        <sz val="11"/>
        <color theme="1"/>
        <rFont val="Calibri"/>
        <family val="2"/>
        <scheme val="minor"/>
      </rPr>
      <t>, psf, PSF</t>
    </r>
  </si>
  <si>
    <r>
      <t>lbf/in</t>
    </r>
    <r>
      <rPr>
        <vertAlign val="superscript"/>
        <sz val="11"/>
        <color theme="1"/>
        <rFont val="Calibri"/>
        <family val="2"/>
        <scheme val="minor"/>
      </rPr>
      <t>2</t>
    </r>
    <r>
      <rPr>
        <sz val="11"/>
        <color theme="1"/>
        <rFont val="Calibri"/>
        <family val="2"/>
        <scheme val="minor"/>
      </rPr>
      <t>, psi, PSI</t>
    </r>
  </si>
  <si>
    <r>
      <t>cal(15</t>
    </r>
    <r>
      <rPr>
        <vertAlign val="superscript"/>
        <sz val="11"/>
        <color theme="1"/>
        <rFont val="Calibri"/>
        <family val="2"/>
        <scheme val="minor"/>
      </rPr>
      <t>o</t>
    </r>
    <r>
      <rPr>
        <sz val="11"/>
        <color theme="1"/>
        <rFont val="Calibri"/>
        <family val="2"/>
        <scheme val="minor"/>
      </rPr>
      <t>C)/min</t>
    </r>
  </si>
  <si>
    <r>
      <t>A/yd</t>
    </r>
    <r>
      <rPr>
        <vertAlign val="superscript"/>
        <sz val="11"/>
        <color theme="1"/>
        <rFont val="Calibri"/>
        <family val="2"/>
        <scheme val="minor"/>
      </rPr>
      <t>2</t>
    </r>
  </si>
  <si>
    <r>
      <t>A/ft</t>
    </r>
    <r>
      <rPr>
        <vertAlign val="superscript"/>
        <sz val="11"/>
        <color theme="1"/>
        <rFont val="Calibri"/>
        <family val="2"/>
        <scheme val="minor"/>
      </rPr>
      <t>2</t>
    </r>
  </si>
  <si>
    <r>
      <t>A/in</t>
    </r>
    <r>
      <rPr>
        <vertAlign val="superscript"/>
        <sz val="11"/>
        <color theme="1"/>
        <rFont val="Calibri"/>
        <family val="2"/>
        <scheme val="minor"/>
      </rPr>
      <t>2</t>
    </r>
  </si>
  <si>
    <r>
      <t>A/mm</t>
    </r>
    <r>
      <rPr>
        <vertAlign val="superscript"/>
        <sz val="11"/>
        <color theme="1"/>
        <rFont val="Calibri"/>
        <family val="2"/>
        <scheme val="minor"/>
      </rPr>
      <t>2</t>
    </r>
  </si>
  <si>
    <r>
      <t>A/um</t>
    </r>
    <r>
      <rPr>
        <vertAlign val="superscript"/>
        <sz val="11"/>
        <color theme="1"/>
        <rFont val="Calibri"/>
        <family val="2"/>
        <scheme val="minor"/>
      </rPr>
      <t>2</t>
    </r>
  </si>
  <si>
    <r>
      <t>A/nm</t>
    </r>
    <r>
      <rPr>
        <vertAlign val="superscript"/>
        <sz val="11"/>
        <color theme="1"/>
        <rFont val="Calibri"/>
        <family val="2"/>
        <scheme val="minor"/>
      </rPr>
      <t>2</t>
    </r>
  </si>
  <si>
    <r>
      <t>mA/m</t>
    </r>
    <r>
      <rPr>
        <vertAlign val="superscript"/>
        <sz val="11"/>
        <color theme="1"/>
        <rFont val="Calibri"/>
        <family val="2"/>
        <scheme val="minor"/>
      </rPr>
      <t>2</t>
    </r>
  </si>
  <si>
    <r>
      <t>mA/dm</t>
    </r>
    <r>
      <rPr>
        <vertAlign val="superscript"/>
        <sz val="11"/>
        <color theme="1"/>
        <rFont val="Calibri"/>
        <family val="2"/>
        <scheme val="minor"/>
      </rPr>
      <t>2</t>
    </r>
  </si>
  <si>
    <r>
      <t>mA/mm</t>
    </r>
    <r>
      <rPr>
        <vertAlign val="superscript"/>
        <sz val="11"/>
        <color theme="1"/>
        <rFont val="Calibri"/>
        <family val="2"/>
        <scheme val="minor"/>
      </rPr>
      <t>2</t>
    </r>
  </si>
  <si>
    <r>
      <t>mA/um</t>
    </r>
    <r>
      <rPr>
        <vertAlign val="superscript"/>
        <sz val="11"/>
        <color theme="1"/>
        <rFont val="Calibri"/>
        <family val="2"/>
        <scheme val="minor"/>
      </rPr>
      <t>2</t>
    </r>
  </si>
  <si>
    <r>
      <t>mA/nm</t>
    </r>
    <r>
      <rPr>
        <vertAlign val="superscript"/>
        <sz val="11"/>
        <color theme="1"/>
        <rFont val="Calibri"/>
        <family val="2"/>
        <scheme val="minor"/>
      </rPr>
      <t>2</t>
    </r>
  </si>
  <si>
    <r>
      <t>mA/in</t>
    </r>
    <r>
      <rPr>
        <vertAlign val="superscript"/>
        <sz val="11"/>
        <color theme="1"/>
        <rFont val="Calibri"/>
        <family val="2"/>
        <scheme val="minor"/>
      </rPr>
      <t>2</t>
    </r>
  </si>
  <si>
    <r>
      <t>mA/ft</t>
    </r>
    <r>
      <rPr>
        <vertAlign val="superscript"/>
        <sz val="11"/>
        <color theme="1"/>
        <rFont val="Calibri"/>
        <family val="2"/>
        <scheme val="minor"/>
      </rPr>
      <t>2</t>
    </r>
  </si>
  <si>
    <r>
      <t>mA/yd</t>
    </r>
    <r>
      <rPr>
        <vertAlign val="superscript"/>
        <sz val="11"/>
        <color theme="1"/>
        <rFont val="Calibri"/>
        <family val="2"/>
        <scheme val="minor"/>
      </rPr>
      <t>2</t>
    </r>
  </si>
  <si>
    <r>
      <t>uA/m</t>
    </r>
    <r>
      <rPr>
        <vertAlign val="superscript"/>
        <sz val="11"/>
        <color theme="1"/>
        <rFont val="Calibri"/>
        <family val="2"/>
        <scheme val="minor"/>
      </rPr>
      <t>2</t>
    </r>
  </si>
  <si>
    <r>
      <t>uA/dm</t>
    </r>
    <r>
      <rPr>
        <vertAlign val="superscript"/>
        <sz val="11"/>
        <color theme="1"/>
        <rFont val="Calibri"/>
        <family val="2"/>
        <scheme val="minor"/>
      </rPr>
      <t>2</t>
    </r>
  </si>
  <si>
    <r>
      <t>uA/cm</t>
    </r>
    <r>
      <rPr>
        <vertAlign val="superscript"/>
        <sz val="11"/>
        <color theme="1"/>
        <rFont val="Calibri"/>
        <family val="2"/>
        <scheme val="minor"/>
      </rPr>
      <t>2</t>
    </r>
  </si>
  <si>
    <r>
      <t>uA/mm</t>
    </r>
    <r>
      <rPr>
        <vertAlign val="superscript"/>
        <sz val="11"/>
        <color theme="1"/>
        <rFont val="Calibri"/>
        <family val="2"/>
        <scheme val="minor"/>
      </rPr>
      <t>2</t>
    </r>
  </si>
  <si>
    <r>
      <t>uA/um</t>
    </r>
    <r>
      <rPr>
        <vertAlign val="superscript"/>
        <sz val="11"/>
        <color theme="1"/>
        <rFont val="Calibri"/>
        <family val="2"/>
        <scheme val="minor"/>
      </rPr>
      <t>2</t>
    </r>
  </si>
  <si>
    <r>
      <t>uA/nm</t>
    </r>
    <r>
      <rPr>
        <vertAlign val="superscript"/>
        <sz val="11"/>
        <color theme="1"/>
        <rFont val="Calibri"/>
        <family val="2"/>
        <scheme val="minor"/>
      </rPr>
      <t>2</t>
    </r>
  </si>
  <si>
    <r>
      <t>uA/in</t>
    </r>
    <r>
      <rPr>
        <vertAlign val="superscript"/>
        <sz val="11"/>
        <color theme="1"/>
        <rFont val="Calibri"/>
        <family val="2"/>
        <scheme val="minor"/>
      </rPr>
      <t>2</t>
    </r>
  </si>
  <si>
    <r>
      <t>uA/ft</t>
    </r>
    <r>
      <rPr>
        <vertAlign val="superscript"/>
        <sz val="11"/>
        <color theme="1"/>
        <rFont val="Calibri"/>
        <family val="2"/>
        <scheme val="minor"/>
      </rPr>
      <t>2</t>
    </r>
  </si>
  <si>
    <r>
      <t>uA/yd</t>
    </r>
    <r>
      <rPr>
        <vertAlign val="superscript"/>
        <sz val="11"/>
        <color theme="1"/>
        <rFont val="Calibri"/>
        <family val="2"/>
        <scheme val="minor"/>
      </rPr>
      <t>2</t>
    </r>
  </si>
  <si>
    <t>roi</t>
  </si>
  <si>
    <t>V/cm</t>
  </si>
  <si>
    <t>V/mm</t>
  </si>
  <si>
    <t>V/um</t>
  </si>
  <si>
    <t>V/nm</t>
  </si>
  <si>
    <t>V/km</t>
  </si>
  <si>
    <t>mV/m</t>
  </si>
  <si>
    <t>mV/cm</t>
  </si>
  <si>
    <t>mV/mm</t>
  </si>
  <si>
    <t>mV/um</t>
  </si>
  <si>
    <t>mV/nm</t>
  </si>
  <si>
    <t>uV/m</t>
  </si>
  <si>
    <t>uV/cm</t>
  </si>
  <si>
    <t>uV/mm</t>
  </si>
  <si>
    <t>uV/um</t>
  </si>
  <si>
    <t>uV/nm</t>
  </si>
  <si>
    <t>V/mi</t>
  </si>
  <si>
    <t>V/yd</t>
  </si>
  <si>
    <t>V/ft</t>
  </si>
  <si>
    <t>V/in</t>
  </si>
  <si>
    <t>mV/yd</t>
  </si>
  <si>
    <t>mV/ft</t>
  </si>
  <si>
    <t>mV/in</t>
  </si>
  <si>
    <t>uV/yd</t>
  </si>
  <si>
    <t>uV/ft</t>
  </si>
  <si>
    <t>uV/in</t>
  </si>
  <si>
    <t>lb/in</t>
  </si>
  <si>
    <r>
      <t>lb/yd</t>
    </r>
    <r>
      <rPr>
        <vertAlign val="superscript"/>
        <sz val="11"/>
        <color rgb="FF000000"/>
        <rFont val="Calibri"/>
        <family val="2"/>
      </rPr>
      <t>2</t>
    </r>
  </si>
  <si>
    <t>t/yd</t>
  </si>
  <si>
    <t>g/m</t>
  </si>
  <si>
    <t>g/cm</t>
  </si>
  <si>
    <t>g/dm</t>
  </si>
  <si>
    <t>g/mm</t>
  </si>
  <si>
    <t>t/ft</t>
  </si>
  <si>
    <r>
      <t>kg/mm</t>
    </r>
    <r>
      <rPr>
        <vertAlign val="superscript"/>
        <sz val="11"/>
        <color rgb="FF000000"/>
        <rFont val="Calibri"/>
        <family val="2"/>
      </rPr>
      <t>2</t>
    </r>
  </si>
  <si>
    <r>
      <t>ton/yd</t>
    </r>
    <r>
      <rPr>
        <vertAlign val="superscript"/>
        <sz val="11"/>
        <color rgb="FF000000"/>
        <rFont val="Calibri"/>
        <family val="2"/>
      </rPr>
      <t>2</t>
    </r>
  </si>
  <si>
    <r>
      <t>ton/ft</t>
    </r>
    <r>
      <rPr>
        <vertAlign val="superscript"/>
        <sz val="11"/>
        <color rgb="FF000000"/>
        <rFont val="Calibri"/>
        <family val="2"/>
      </rPr>
      <t>2</t>
    </r>
  </si>
  <si>
    <r>
      <t>ton/in</t>
    </r>
    <r>
      <rPr>
        <vertAlign val="superscript"/>
        <sz val="11"/>
        <color rgb="FF000000"/>
        <rFont val="Calibri"/>
        <family val="2"/>
      </rPr>
      <t>2</t>
    </r>
  </si>
  <si>
    <r>
      <t>lb/mi</t>
    </r>
    <r>
      <rPr>
        <vertAlign val="superscript"/>
        <sz val="11"/>
        <color rgb="FF000000"/>
        <rFont val="Calibri"/>
        <family val="2"/>
      </rPr>
      <t>2</t>
    </r>
  </si>
  <si>
    <r>
      <t>mg/mm</t>
    </r>
    <r>
      <rPr>
        <vertAlign val="superscript"/>
        <sz val="11"/>
        <color rgb="FF000000"/>
        <rFont val="Calibri"/>
        <family val="2"/>
      </rPr>
      <t>2</t>
    </r>
  </si>
  <si>
    <r>
      <t>kg/km</t>
    </r>
    <r>
      <rPr>
        <vertAlign val="superscript"/>
        <sz val="11"/>
        <color theme="1"/>
        <rFont val="Calibri"/>
        <family val="2"/>
        <scheme val="minor"/>
      </rPr>
      <t>2</t>
    </r>
  </si>
  <si>
    <r>
      <t>gr/in</t>
    </r>
    <r>
      <rPr>
        <vertAlign val="superscript"/>
        <sz val="11.5"/>
        <rFont val="Times New Roman"/>
        <family val="1"/>
      </rPr>
      <t>3</t>
    </r>
  </si>
  <si>
    <r>
      <t>kg/cm</t>
    </r>
    <r>
      <rPr>
        <vertAlign val="superscript"/>
        <sz val="11"/>
        <color theme="1"/>
        <rFont val="Calibri"/>
        <family val="2"/>
        <scheme val="minor"/>
      </rPr>
      <t>3</t>
    </r>
  </si>
  <si>
    <r>
      <t>lb/in</t>
    </r>
    <r>
      <rPr>
        <vertAlign val="superscript"/>
        <sz val="11"/>
        <rFont val="Calibri"/>
        <family val="2"/>
        <scheme val="minor"/>
      </rPr>
      <t>3</t>
    </r>
  </si>
  <si>
    <r>
      <t>t/m</t>
    </r>
    <r>
      <rPr>
        <vertAlign val="superscript"/>
        <sz val="11"/>
        <rFont val="Calibri"/>
        <family val="2"/>
        <scheme val="minor"/>
      </rPr>
      <t>3</t>
    </r>
  </si>
  <si>
    <r>
      <t>ton/yd</t>
    </r>
    <r>
      <rPr>
        <vertAlign val="superscript"/>
        <sz val="11"/>
        <rFont val="Calibri"/>
        <family val="2"/>
        <scheme val="minor"/>
      </rPr>
      <t>3</t>
    </r>
  </si>
  <si>
    <r>
      <t>lb/yd</t>
    </r>
    <r>
      <rPr>
        <vertAlign val="superscript"/>
        <sz val="11"/>
        <color theme="1"/>
        <rFont val="Calibri"/>
        <family val="2"/>
        <scheme val="minor"/>
      </rPr>
      <t>3</t>
    </r>
  </si>
  <si>
    <r>
      <t>t/cm</t>
    </r>
    <r>
      <rPr>
        <vertAlign val="superscript"/>
        <sz val="11"/>
        <rFont val="Calibri"/>
        <family val="2"/>
        <scheme val="minor"/>
      </rPr>
      <t>3</t>
    </r>
  </si>
  <si>
    <r>
      <t>ton/ft</t>
    </r>
    <r>
      <rPr>
        <vertAlign val="superscript"/>
        <sz val="11"/>
        <rFont val="Calibri"/>
        <family val="2"/>
        <scheme val="minor"/>
      </rPr>
      <t>3</t>
    </r>
  </si>
  <si>
    <r>
      <t>ton/in</t>
    </r>
    <r>
      <rPr>
        <vertAlign val="superscript"/>
        <sz val="11"/>
        <rFont val="Calibri"/>
        <family val="2"/>
        <scheme val="minor"/>
      </rPr>
      <t>3</t>
    </r>
  </si>
  <si>
    <r>
      <t>t/dm</t>
    </r>
    <r>
      <rPr>
        <vertAlign val="superscript"/>
        <sz val="11"/>
        <rFont val="Calibri"/>
        <family val="2"/>
        <scheme val="minor"/>
      </rPr>
      <t>3</t>
    </r>
  </si>
  <si>
    <r>
      <t>m</t>
    </r>
    <r>
      <rPr>
        <vertAlign val="superscript"/>
        <sz val="11"/>
        <color theme="1"/>
        <rFont val="Calibri"/>
        <family val="2"/>
        <scheme val="minor"/>
      </rPr>
      <t>3</t>
    </r>
    <r>
      <rPr>
        <sz val="11"/>
        <color theme="1"/>
        <rFont val="Calibri"/>
        <family val="2"/>
        <scheme val="minor"/>
      </rPr>
      <t>/min</t>
    </r>
  </si>
  <si>
    <r>
      <t>W/</t>
    </r>
    <r>
      <rPr>
        <sz val="11"/>
        <color theme="1"/>
        <rFont val="Symbol"/>
        <family val="1"/>
        <charset val="2"/>
      </rPr>
      <t>W</t>
    </r>
  </si>
  <si>
    <r>
      <t>MW/</t>
    </r>
    <r>
      <rPr>
        <sz val="11"/>
        <color theme="1"/>
        <rFont val="Symbol"/>
        <family val="1"/>
        <charset val="2"/>
      </rPr>
      <t>W</t>
    </r>
  </si>
  <si>
    <r>
      <t>GW/</t>
    </r>
    <r>
      <rPr>
        <sz val="11"/>
        <color theme="1"/>
        <rFont val="Symbol"/>
        <family val="1"/>
        <charset val="2"/>
      </rPr>
      <t>W</t>
    </r>
  </si>
  <si>
    <r>
      <t>kW/</t>
    </r>
    <r>
      <rPr>
        <sz val="11"/>
        <color theme="1"/>
        <rFont val="Symbol"/>
        <family val="1"/>
        <charset val="2"/>
      </rPr>
      <t>W</t>
    </r>
  </si>
  <si>
    <r>
      <t>mW/</t>
    </r>
    <r>
      <rPr>
        <sz val="11"/>
        <color theme="1"/>
        <rFont val="Symbol"/>
        <family val="1"/>
        <charset val="2"/>
      </rPr>
      <t>W</t>
    </r>
  </si>
  <si>
    <r>
      <t>uW/</t>
    </r>
    <r>
      <rPr>
        <sz val="11"/>
        <color theme="1"/>
        <rFont val="Symbol"/>
        <family val="1"/>
        <charset val="2"/>
      </rPr>
      <t>W</t>
    </r>
  </si>
  <si>
    <r>
      <t>mol/dm</t>
    </r>
    <r>
      <rPr>
        <vertAlign val="superscript"/>
        <sz val="11"/>
        <color theme="1"/>
        <rFont val="Calibri"/>
        <family val="2"/>
        <scheme val="minor"/>
      </rPr>
      <t>3</t>
    </r>
  </si>
  <si>
    <r>
      <t>mol/cm</t>
    </r>
    <r>
      <rPr>
        <vertAlign val="superscript"/>
        <sz val="11"/>
        <color theme="1"/>
        <rFont val="Calibri"/>
        <family val="2"/>
        <scheme val="minor"/>
      </rPr>
      <t>3</t>
    </r>
  </si>
  <si>
    <t>mol/l</t>
  </si>
  <si>
    <r>
      <t>cm</t>
    </r>
    <r>
      <rPr>
        <vertAlign val="superscript"/>
        <sz val="11"/>
        <color theme="1"/>
        <rFont val="Calibri"/>
        <family val="2"/>
        <scheme val="minor"/>
      </rPr>
      <t>3</t>
    </r>
    <r>
      <rPr>
        <sz val="11"/>
        <color theme="1"/>
        <rFont val="Calibri"/>
        <family val="2"/>
        <scheme val="minor"/>
      </rPr>
      <t>/mol</t>
    </r>
  </si>
  <si>
    <r>
      <t>mm</t>
    </r>
    <r>
      <rPr>
        <vertAlign val="superscript"/>
        <sz val="11"/>
        <color theme="1"/>
        <rFont val="Calibri"/>
        <family val="2"/>
        <scheme val="minor"/>
      </rPr>
      <t>3</t>
    </r>
    <r>
      <rPr>
        <sz val="11"/>
        <color theme="1"/>
        <rFont val="Calibri"/>
        <family val="2"/>
        <scheme val="minor"/>
      </rPr>
      <t>/mol</t>
    </r>
  </si>
  <si>
    <t>1/ft</t>
  </si>
  <si>
    <t>wavenumber, reciprocal length, resolution</t>
  </si>
  <si>
    <t>kinematicViscosity</t>
  </si>
  <si>
    <t>dynamicViscosity, absolute viscosity</t>
  </si>
  <si>
    <t>jerk, rate of change of
acceleration with time</t>
  </si>
  <si>
    <t>time, duration</t>
  </si>
  <si>
    <t>temperature, thermal potential
difference, temperature difference</t>
  </si>
  <si>
    <t>specificVolume</t>
  </si>
  <si>
    <t>specificLength</t>
  </si>
  <si>
    <t>specificEnergy</t>
  </si>
  <si>
    <t>radioactiveConcentration</t>
  </si>
  <si>
    <t>exposureRate</t>
  </si>
  <si>
    <t>specificRadioactivity</t>
  </si>
  <si>
    <t>particleFlux, particle flux per unit of solid angle</t>
  </si>
  <si>
    <t>surfaceMolarity, surface molar concentration</t>
  </si>
  <si>
    <t>molarDensity</t>
  </si>
  <si>
    <t>molarAbsorption, molar absorption coefficient</t>
  </si>
  <si>
    <t>radiochemicalYield</t>
  </si>
  <si>
    <t>enzymaticActivity</t>
  </si>
  <si>
    <t>molarCharge, molar electric charge</t>
  </si>
  <si>
    <t>quantity, amount of substance</t>
  </si>
  <si>
    <t>luminousIntensity</t>
  </si>
  <si>
    <t>luminousFlux</t>
  </si>
  <si>
    <t>luminance, luminous luminance</t>
  </si>
  <si>
    <t>radiantIntensity</t>
  </si>
  <si>
    <t>momentum, linear momentum</t>
  </si>
  <si>
    <t>massFlow, mass flow rate</t>
  </si>
  <si>
    <t>quadMoment, quadratic moment of a plane area</t>
  </si>
  <si>
    <t>flow, volume flow rate</t>
  </si>
  <si>
    <t>frequency, rate of data transmission, quantity of information, sent per time unit, telegraph signalling speed</t>
  </si>
  <si>
    <t>frequency, radioactivity</t>
  </si>
  <si>
    <t>frequency, failure rate</t>
  </si>
  <si>
    <t>frequency, number of computations made per unit of time</t>
  </si>
  <si>
    <t>frequency, radioaactivity</t>
  </si>
  <si>
    <t>frequency, number of lnstructions computed per unit of time</t>
  </si>
  <si>
    <t>frequency, computing power</t>
  </si>
  <si>
    <t>frequency, particle flux rate of solar
neutrinos at the Earth's surface</t>
  </si>
  <si>
    <t>specificHeat</t>
  </si>
  <si>
    <t>specificHeatCapacity</t>
  </si>
  <si>
    <t>energyConsumption</t>
  </si>
  <si>
    <t>heatInsulation, heat insulation coefficient (thermal resistance multiplied by area)</t>
  </si>
  <si>
    <t>molarEntropy</t>
  </si>
  <si>
    <t>radiantEnergy, energy per surface area</t>
  </si>
  <si>
    <t>thermalConductivity</t>
  </si>
  <si>
    <t>heatTransfer, coefficient of heat transfer</t>
  </si>
  <si>
    <t>thermalConductance</t>
  </si>
  <si>
    <t>heatFlux, energy flux, heat flux</t>
  </si>
  <si>
    <t>count, dimensionless counting unit</t>
  </si>
  <si>
    <t>count, number of paper sheet</t>
  </si>
  <si>
    <t>count, dimensionless unit of
quantity</t>
  </si>
  <si>
    <t>count, number of sheets of paper</t>
  </si>
  <si>
    <t>count, dimensionless number of
entities</t>
  </si>
  <si>
    <t>count, dimensionless unit of quantity</t>
  </si>
  <si>
    <t>count, quantity of herrings</t>
  </si>
  <si>
    <t>count, quantity of paper sheet</t>
  </si>
  <si>
    <t>count, dimensionless quantity</t>
  </si>
  <si>
    <t>count, dimensionless quantity
unit</t>
  </si>
  <si>
    <t>current, electric current intensity</t>
  </si>
  <si>
    <t>charge, quantity of electricity, electric charge</t>
  </si>
  <si>
    <t>magneticFieldStrength</t>
  </si>
  <si>
    <t>magneticDipoleMoment</t>
  </si>
  <si>
    <t>currentDensity, electric current density</t>
  </si>
  <si>
    <t>surfaceChargeDensity, surface density of charge, electric flux density, eleclric displacement</t>
  </si>
  <si>
    <t>chargeDensity, electnc charge density</t>
  </si>
  <si>
    <t>magneticReluctance</t>
  </si>
  <si>
    <t>electricElastance</t>
  </si>
  <si>
    <t>electricConductance</t>
  </si>
  <si>
    <t>capacitance, electric capacitance</t>
  </si>
  <si>
    <t>conductivity, electrical conductivity</t>
  </si>
  <si>
    <t>specificAcousticImpedance, specific acoustic impedance</t>
  </si>
  <si>
    <t>potential, electric potential, electric potential difference, electromotive force</t>
  </si>
  <si>
    <t>resistance, electric resistance</t>
  </si>
  <si>
    <t>acousticImpedance, acoustic impedance</t>
  </si>
  <si>
    <t>electricFieldStrength, electric field strength</t>
  </si>
  <si>
    <t>magneticPotential, magnetic potential vector</t>
  </si>
  <si>
    <t>magneticPermeability</t>
  </si>
  <si>
    <t>linearDensity</t>
  </si>
  <si>
    <t>surfaceDensity</t>
  </si>
  <si>
    <t>density, hardness of water, concentration of calcium and magnesium in water</t>
  </si>
  <si>
    <t>solidAngle, solid angle</t>
  </si>
  <si>
    <t>angularVelocity, angular frequency, circular frequency</t>
  </si>
  <si>
    <t>angularAcceleration</t>
  </si>
  <si>
    <t>angle, plane angle</t>
  </si>
  <si>
    <t>computer, quantity of information</t>
  </si>
  <si>
    <t>screenResolution</t>
  </si>
  <si>
    <t>voxel, logical unit of visual
information</t>
  </si>
  <si>
    <r>
      <t>E</t>
    </r>
    <r>
      <rPr>
        <vertAlign val="subscript"/>
        <sz val="11"/>
        <color theme="1"/>
        <rFont val="Calibri"/>
        <family val="2"/>
        <scheme val="minor"/>
      </rPr>
      <t>h</t>
    </r>
    <r>
      <rPr>
        <sz val="11"/>
        <color theme="1"/>
        <rFont val="Calibri"/>
        <family val="2"/>
        <scheme val="minor"/>
      </rPr>
      <t>, aue</t>
    </r>
  </si>
  <si>
    <r>
      <t>sec</t>
    </r>
    <r>
      <rPr>
        <vertAlign val="superscript"/>
        <sz val="11"/>
        <color theme="1"/>
        <rFont val="Calibri"/>
        <family val="2"/>
        <scheme val="minor"/>
      </rPr>
      <t>2</t>
    </r>
  </si>
  <si>
    <t>tr</t>
  </si>
  <si>
    <r>
      <rPr>
        <vertAlign val="superscript"/>
        <sz val="11"/>
        <color theme="1"/>
        <rFont val="Calibri"/>
        <family val="2"/>
        <scheme val="minor"/>
      </rPr>
      <t>o</t>
    </r>
    <r>
      <rPr>
        <sz val="11"/>
        <color theme="1"/>
        <rFont val="Calibri"/>
        <family val="2"/>
        <scheme val="minor"/>
      </rPr>
      <t>DHF</t>
    </r>
  </si>
  <si>
    <t>C/K</t>
  </si>
  <si>
    <r>
      <t>cal(20</t>
    </r>
    <r>
      <rPr>
        <vertAlign val="superscript"/>
        <sz val="11"/>
        <color theme="1"/>
        <rFont val="Calibri"/>
        <family val="2"/>
        <scheme val="minor"/>
      </rPr>
      <t>o</t>
    </r>
    <r>
      <rPr>
        <sz val="11"/>
        <color theme="1"/>
        <rFont val="Calibri"/>
        <family val="2"/>
        <scheme val="minor"/>
      </rPr>
      <t>C)/g</t>
    </r>
  </si>
  <si>
    <t>yottasievert</t>
  </si>
  <si>
    <t>us</t>
  </si>
  <si>
    <t>hd/mon</t>
  </si>
  <si>
    <t>magneticInduction, magnetic induction flux</t>
  </si>
  <si>
    <t>inductance, electric inductance</t>
  </si>
  <si>
    <t>resistivity, electric resistivity</t>
  </si>
  <si>
    <t>magneticFluxDensity, magnetic induction field, magnetic flux density</t>
  </si>
  <si>
    <t>WGS84</t>
  </si>
  <si>
    <t>if</t>
  </si>
  <si>
    <t>flattening</t>
  </si>
  <si>
    <t>angular velocity</t>
  </si>
  <si>
    <r>
      <t>e</t>
    </r>
    <r>
      <rPr>
        <vertAlign val="superscript"/>
        <sz val="11"/>
        <color theme="1"/>
        <rFont val="Calibri"/>
        <family val="2"/>
        <scheme val="minor"/>
      </rPr>
      <t>2</t>
    </r>
  </si>
  <si>
    <t>eccentricity</t>
  </si>
  <si>
    <r>
      <t>g</t>
    </r>
    <r>
      <rPr>
        <vertAlign val="subscript"/>
        <sz val="11"/>
        <color theme="1"/>
        <rFont val="Calibri"/>
        <family val="2"/>
        <scheme val="minor"/>
      </rPr>
      <t>e</t>
    </r>
  </si>
  <si>
    <r>
      <t>g</t>
    </r>
    <r>
      <rPr>
        <vertAlign val="subscript"/>
        <sz val="11"/>
        <color theme="1"/>
        <rFont val="Calibri"/>
        <family val="2"/>
        <scheme val="minor"/>
      </rPr>
      <t>p</t>
    </r>
  </si>
  <si>
    <r>
      <t>c</t>
    </r>
    <r>
      <rPr>
        <vertAlign val="subscript"/>
        <sz val="11"/>
        <color theme="1"/>
        <rFont val="Calibri"/>
        <family val="2"/>
        <scheme val="minor"/>
      </rPr>
      <t>g</t>
    </r>
  </si>
  <si>
    <r>
      <t>kgH</t>
    </r>
    <r>
      <rPr>
        <vertAlign val="subscript"/>
        <sz val="11"/>
        <color theme="1"/>
        <rFont val="Calibri"/>
        <family val="2"/>
        <scheme val="minor"/>
      </rPr>
      <t>2</t>
    </r>
    <r>
      <rPr>
        <sz val="11"/>
        <color theme="1"/>
        <rFont val="Calibri"/>
        <family val="2"/>
        <scheme val="minor"/>
      </rPr>
      <t>O</t>
    </r>
  </si>
  <si>
    <t>cal</t>
  </si>
  <si>
    <r>
      <t>g</t>
    </r>
    <r>
      <rPr>
        <vertAlign val="subscript"/>
        <sz val="11"/>
        <color theme="1"/>
        <rFont val="Calibri"/>
        <family val="2"/>
        <scheme val="minor"/>
      </rPr>
      <t>N</t>
    </r>
  </si>
  <si>
    <t>astronomical-unit</t>
  </si>
  <si>
    <t>light-minute</t>
  </si>
  <si>
    <t>light-second</t>
  </si>
  <si>
    <t>light-year</t>
  </si>
  <si>
    <t>bohr-radius</t>
  </si>
  <si>
    <t>square-bohr</t>
  </si>
  <si>
    <t>atomic-volume</t>
  </si>
  <si>
    <t>au-of-mass</t>
  </si>
  <si>
    <t>electron-rest-mass</t>
  </si>
  <si>
    <t>square-parsec</t>
  </si>
  <si>
    <t>cubic-parsec</t>
  </si>
  <si>
    <t>mass-of-sun</t>
  </si>
  <si>
    <t>solar-mass</t>
  </si>
  <si>
    <t>au-of-length</t>
  </si>
  <si>
    <t>square-pic</t>
  </si>
  <si>
    <t>cubic-pic</t>
  </si>
  <si>
    <t>ardeb(long)</t>
  </si>
  <si>
    <t>sq-parsec</t>
  </si>
  <si>
    <t>cu-parsec</t>
  </si>
  <si>
    <t>ardeb(short)</t>
  </si>
  <si>
    <t>nus(raby)</t>
  </si>
  <si>
    <t>nus(torky)</t>
  </si>
  <si>
    <t>pic(dzera-a-raby)</t>
  </si>
  <si>
    <t>pic(dzera-a-torky)</t>
  </si>
  <si>
    <t>rebia(raby)</t>
  </si>
  <si>
    <t>rebia(torky)</t>
  </si>
  <si>
    <t>termin(raby)</t>
  </si>
  <si>
    <t>termin(torky)</t>
  </si>
  <si>
    <t>square-pic(dzera-a-raby)</t>
  </si>
  <si>
    <t>cantar(kebyr)</t>
  </si>
  <si>
    <t>cantar(khaldary)</t>
  </si>
  <si>
    <t>cantar(thary)</t>
  </si>
  <si>
    <t>rottolo(kebyr)</t>
  </si>
  <si>
    <t>rottolo(khaldary)</t>
  </si>
  <si>
    <t>rottolo(thary)</t>
  </si>
  <si>
    <t>chai-vai</t>
  </si>
  <si>
    <t>cong-ly</t>
  </si>
  <si>
    <t>ly(Annamite)</t>
  </si>
  <si>
    <t>ngu(Annamite)</t>
  </si>
  <si>
    <t>phan(1914)</t>
  </si>
  <si>
    <t>phi-unit</t>
  </si>
  <si>
    <t>p-unit</t>
  </si>
  <si>
    <t>thuoc-de-ruong</t>
  </si>
  <si>
    <t>thuoc-moc</t>
  </si>
  <si>
    <t>thuoc-ta</t>
  </si>
  <si>
    <t>thuoc-vai</t>
  </si>
  <si>
    <t>truong(Annamite)</t>
  </si>
  <si>
    <t>cong-dat</t>
  </si>
  <si>
    <t>dam-vuong</t>
  </si>
  <si>
    <t>mau(Annamite)</t>
  </si>
  <si>
    <t>sao(Annamite)</t>
  </si>
  <si>
    <t>square-ngu</t>
  </si>
  <si>
    <t>thuoc(Annamite)</t>
  </si>
  <si>
    <t>gia(rice)</t>
  </si>
  <si>
    <t>phuong(rice)</t>
  </si>
  <si>
    <t>thang(cochinchina)</t>
  </si>
  <si>
    <t>thung(cochinchina)</t>
  </si>
  <si>
    <t>thuoc(cochinchina)</t>
  </si>
  <si>
    <t>vuong(cochinchina)</t>
  </si>
  <si>
    <t>can-ta</t>
  </si>
  <si>
    <t>dong-can</t>
  </si>
  <si>
    <t>cubit(new)</t>
  </si>
  <si>
    <t>dhira(hachemic)</t>
  </si>
  <si>
    <t>dhira(new)</t>
  </si>
  <si>
    <t>square-cubit</t>
  </si>
  <si>
    <t>square-aldan</t>
  </si>
  <si>
    <t>cubic-aldan</t>
  </si>
  <si>
    <t>bema-diplun</t>
  </si>
  <si>
    <t>bema-haplun</t>
  </si>
  <si>
    <t>cubit(long)</t>
  </si>
  <si>
    <t>diploun-bema</t>
  </si>
  <si>
    <t>haploun-bema</t>
  </si>
  <si>
    <t>royal-pechus</t>
  </si>
  <si>
    <t>square-akaina</t>
  </si>
  <si>
    <t>square-dekapode</t>
  </si>
  <si>
    <t>square-plethron</t>
  </si>
  <si>
    <t>square-pous</t>
  </si>
  <si>
    <t>meile(Bohemia)</t>
  </si>
  <si>
    <t>meile(Malachia)</t>
  </si>
  <si>
    <t>square-klafter</t>
  </si>
  <si>
    <t>probmetze</t>
  </si>
  <si>
    <t>drachme(apothecary)</t>
  </si>
  <si>
    <t>gran(apothecary)</t>
  </si>
  <si>
    <t>pfund(apothecary)</t>
  </si>
  <si>
    <t>pfund(ordinary-apothecary)</t>
  </si>
  <si>
    <t>scruple(apothecary)</t>
  </si>
  <si>
    <t>unze(apothecary)</t>
  </si>
  <si>
    <t>square-canna</t>
  </si>
  <si>
    <t>cantaro-barbaresco</t>
  </si>
  <si>
    <t>libra-mayor</t>
  </si>
  <si>
    <t>passo-geometrico</t>
  </si>
  <si>
    <t>almude(salt)</t>
  </si>
  <si>
    <t>alquiera(salt)</t>
  </si>
  <si>
    <t>canada(salt)</t>
  </si>
  <si>
    <t>moio(salt)</t>
  </si>
  <si>
    <t>cubic-pe</t>
  </si>
  <si>
    <t>pipa(salt)</t>
  </si>
  <si>
    <t>tonel(salt)</t>
  </si>
  <si>
    <t>almude(Bahia)</t>
  </si>
  <si>
    <t>almude(common)</t>
  </si>
  <si>
    <t>alquiera(Bahia)</t>
  </si>
  <si>
    <t>alquiera(common</t>
  </si>
  <si>
    <t>canada(Bahia)</t>
  </si>
  <si>
    <t>canada(common)</t>
  </si>
  <si>
    <t>moio(Bahia))</t>
  </si>
  <si>
    <t>moio(common)</t>
  </si>
  <si>
    <t>pipa(Bahia)</t>
  </si>
  <si>
    <t>pipa(common)</t>
  </si>
  <si>
    <t>tonel(Bahia)</t>
  </si>
  <si>
    <t>tonel(common)</t>
  </si>
  <si>
    <t>square-arshin</t>
  </si>
  <si>
    <t>cubic-arshin</t>
  </si>
  <si>
    <t>oke-thapal</t>
  </si>
  <si>
    <t>square-sandong</t>
  </si>
  <si>
    <t>cubic-sandong</t>
  </si>
  <si>
    <t>cham-am</t>
  </si>
  <si>
    <t>muoi-thuoc</t>
  </si>
  <si>
    <t>square-muoi</t>
  </si>
  <si>
    <t>cubic-muoi</t>
  </si>
  <si>
    <t>pram-roi</t>
  </si>
  <si>
    <t>arpent(du-roi)</t>
  </si>
  <si>
    <t>square-league</t>
  </si>
  <si>
    <t>square-foot</t>
  </si>
  <si>
    <t>bank-cubic-meter</t>
  </si>
  <si>
    <t>pied-mesure-planche</t>
  </si>
  <si>
    <t>liter-per-flush</t>
  </si>
  <si>
    <t>hundredweight(long)</t>
  </si>
  <si>
    <t>hundredweight(gross)</t>
  </si>
  <si>
    <t>cH(long), cwt(long), Ig(long)</t>
  </si>
  <si>
    <t>cH(gross), cwt(gross), Ig(gross)</t>
  </si>
  <si>
    <t>hundredweight(short)</t>
  </si>
  <si>
    <t>sh(short), cwt(short)</t>
  </si>
  <si>
    <t>sh(net), cwt(net)</t>
  </si>
  <si>
    <t>hundredweight(net)</t>
  </si>
  <si>
    <t>covid(Ceylon)</t>
  </si>
  <si>
    <t>covid(Madras)</t>
  </si>
  <si>
    <t>square-covid(Ceylon)</t>
  </si>
  <si>
    <t>square-covid(Madras)</t>
  </si>
  <si>
    <t>candy(Ceylon)</t>
  </si>
  <si>
    <t>candy(Madras)</t>
  </si>
  <si>
    <t>fanam(Ceylon)</t>
  </si>
  <si>
    <t>fanam(Madras)</t>
  </si>
  <si>
    <t>maund(Ceylon)</t>
  </si>
  <si>
    <t>maund(Madras)</t>
  </si>
  <si>
    <t>pagoda(Ceylon)</t>
  </si>
  <si>
    <t>pagoda(Madras)</t>
  </si>
  <si>
    <t>pollam(Ceylon)</t>
  </si>
  <si>
    <t>pollam(Madras)</t>
  </si>
  <si>
    <t>powa(Ceylon)</t>
  </si>
  <si>
    <t>powa(Madras)</t>
  </si>
  <si>
    <t>seer(Ceylon)</t>
  </si>
  <si>
    <t>seer(Madras)</t>
  </si>
  <si>
    <t>varahan(Ceylon)</t>
  </si>
  <si>
    <t>varahan(Madras)</t>
  </si>
  <si>
    <t>vis(Ceylon)</t>
  </si>
  <si>
    <t>vis(Madras)</t>
  </si>
  <si>
    <t>cubic-covid(Ceylon)</t>
  </si>
  <si>
    <t>cubic-covid(Madras)</t>
  </si>
  <si>
    <t>square-centimeter</t>
  </si>
  <si>
    <t>cubic-centimeter</t>
  </si>
  <si>
    <r>
      <t>cm</t>
    </r>
    <r>
      <rPr>
        <vertAlign val="superscript"/>
        <sz val="11"/>
        <color theme="1"/>
        <rFont val="Calibri"/>
        <family val="2"/>
        <scheme val="minor"/>
      </rPr>
      <t>2</t>
    </r>
  </si>
  <si>
    <r>
      <t>cm</t>
    </r>
    <r>
      <rPr>
        <vertAlign val="superscript"/>
        <sz val="11"/>
        <color theme="1"/>
        <rFont val="Calibri"/>
        <family val="2"/>
        <scheme val="minor"/>
      </rPr>
      <t>3</t>
    </r>
  </si>
  <si>
    <t>square-bara</t>
  </si>
  <si>
    <t>cubic-bara</t>
  </si>
  <si>
    <t>chi(metric)</t>
  </si>
  <si>
    <t>cun(metric)</t>
  </si>
  <si>
    <t>fen(gros)</t>
  </si>
  <si>
    <t>fen(metric)</t>
  </si>
  <si>
    <t>hao(metric)</t>
  </si>
  <si>
    <t>hu(metric)</t>
  </si>
  <si>
    <t>pou(old)</t>
  </si>
  <si>
    <t>si(metic)</t>
  </si>
  <si>
    <t>fang-chi</t>
  </si>
  <si>
    <t>fang-cun</t>
  </si>
  <si>
    <t>fang-zhang</t>
  </si>
  <si>
    <t>cubic-tchi</t>
  </si>
  <si>
    <t>gam1-dak6</t>
  </si>
  <si>
    <t>candareen(troy)</t>
  </si>
  <si>
    <t>mace(troy)</t>
  </si>
  <si>
    <t>tail(Hong-Kong)</t>
  </si>
  <si>
    <t>tail(Singapore)</t>
  </si>
  <si>
    <t>tail(Taiwan)</t>
  </si>
  <si>
    <t>square-vara</t>
  </si>
  <si>
    <t>cubic-vara</t>
  </si>
  <si>
    <t>latro(Bohemian)</t>
  </si>
  <si>
    <t>latro(Moravian)</t>
  </si>
  <si>
    <t>latro-(Praha)</t>
  </si>
  <si>
    <t>latro(Silesian)</t>
  </si>
  <si>
    <t>loket(Bohemian)</t>
  </si>
  <si>
    <t>loket(Moravian)</t>
  </si>
  <si>
    <t>loket(Praha)</t>
  </si>
  <si>
    <t>loket(Silesian)</t>
  </si>
  <si>
    <t>mile(Bohemian)</t>
  </si>
  <si>
    <t>mile(Moravian)</t>
  </si>
  <si>
    <t>mile(Praha)</t>
  </si>
  <si>
    <t>mile(Silesian)</t>
  </si>
  <si>
    <t>sah(Bohemian)</t>
  </si>
  <si>
    <t>sah(Moravian)</t>
  </si>
  <si>
    <t>sah(Praha)</t>
  </si>
  <si>
    <t>sah(Silesian)</t>
  </si>
  <si>
    <t>stopa(Bohemian)</t>
  </si>
  <si>
    <t>stopa(Moravian)</t>
  </si>
  <si>
    <t>stopa(Praha)</t>
  </si>
  <si>
    <t>stopa(Silesian)</t>
  </si>
  <si>
    <t>cubic-stopa(Bohemian)</t>
  </si>
  <si>
    <t>cubic-stopa(Praha)</t>
  </si>
  <si>
    <t>cubic-stopa(Silesian)</t>
  </si>
  <si>
    <t>square-ruthe</t>
  </si>
  <si>
    <t>cubic-fod</t>
  </si>
  <si>
    <t>duim(metric)</t>
  </si>
  <si>
    <t>el(metric)</t>
  </si>
  <si>
    <t>ell(metric)</t>
  </si>
  <si>
    <t>line(metric)</t>
  </si>
  <si>
    <t>mijl(metric)</t>
  </si>
  <si>
    <t>palm(metric)</t>
  </si>
  <si>
    <t>roede(metric)</t>
  </si>
  <si>
    <t>rood(metric)</t>
  </si>
  <si>
    <t>streep(metric)</t>
  </si>
  <si>
    <t>vierkante-roede(metric)</t>
  </si>
  <si>
    <t>kop(metric)</t>
  </si>
  <si>
    <t>maatje(metric)</t>
  </si>
  <si>
    <t>mud(metric)</t>
  </si>
  <si>
    <t>teerling-el(metric)</t>
  </si>
  <si>
    <t>vingerhoed(metric)</t>
  </si>
  <si>
    <t>wisse(metric)</t>
  </si>
  <si>
    <t>grein(apothecary)</t>
  </si>
  <si>
    <t>korrel(metric)</t>
  </si>
  <si>
    <t>lood(metric)</t>
  </si>
  <si>
    <t>ons(Apothecary)</t>
  </si>
  <si>
    <t>ons(metric)</t>
  </si>
  <si>
    <t>pond(Amsterdam)</t>
  </si>
  <si>
    <t>pond(apothecary)</t>
  </si>
  <si>
    <t>pond(metric)</t>
  </si>
  <si>
    <t>scrupel(apothecary)</t>
  </si>
  <si>
    <t>wigtje(metric)</t>
  </si>
  <si>
    <t>atour(royal)</t>
  </si>
  <si>
    <t>derah(royal)</t>
  </si>
  <si>
    <t>double-remen</t>
  </si>
  <si>
    <t>palm(short)</t>
  </si>
  <si>
    <t>feddan-masri</t>
  </si>
  <si>
    <t>kirat-kamel</t>
  </si>
  <si>
    <t>nisf-keddah</t>
  </si>
  <si>
    <t>square-cubi</t>
  </si>
  <si>
    <t>cubic-cubi</t>
  </si>
  <si>
    <t>lofstelle(Livonian)</t>
  </si>
  <si>
    <t>lofstelle(Reval)</t>
  </si>
  <si>
    <t>tonnland(Livonian)</t>
  </si>
  <si>
    <t>tonnland(Reval)</t>
  </si>
  <si>
    <t>cubic-elle</t>
  </si>
  <si>
    <t>lof-(Livonian)</t>
  </si>
  <si>
    <t>lof-(Reval)</t>
  </si>
  <si>
    <t>square-kend</t>
  </si>
  <si>
    <t>farasula(coffee)</t>
  </si>
  <si>
    <t>farasula(ivory)</t>
  </si>
  <si>
    <t>farasula(rubber)</t>
  </si>
  <si>
    <t>peninkulma(new)</t>
  </si>
  <si>
    <t>peninkulma(old)</t>
  </si>
  <si>
    <t>square-inch</t>
  </si>
  <si>
    <t>cubic-foot</t>
  </si>
  <si>
    <t>pound-mass</t>
  </si>
  <si>
    <t>pound(WMA1963)</t>
  </si>
  <si>
    <t>lb(1963), USMB</t>
  </si>
  <si>
    <t>agate(old)</t>
  </si>
  <si>
    <t>cubic-inch</t>
  </si>
  <si>
    <t>square-yard</t>
  </si>
  <si>
    <t>square-mile</t>
  </si>
  <si>
    <t>cubic-yard</t>
  </si>
  <si>
    <t>cubic-mile</t>
  </si>
  <si>
    <t>square-decimeter</t>
  </si>
  <si>
    <t>square-millimeter</t>
  </si>
  <si>
    <t>square-microimeter</t>
  </si>
  <si>
    <t>square-nanometer</t>
  </si>
  <si>
    <t>square-decameter</t>
  </si>
  <si>
    <t>square-meter</t>
  </si>
  <si>
    <t>square-hectometer</t>
  </si>
  <si>
    <t>square-kilometer</t>
  </si>
  <si>
    <r>
      <t>dm</t>
    </r>
    <r>
      <rPr>
        <vertAlign val="superscript"/>
        <sz val="11"/>
        <color theme="1"/>
        <rFont val="Calibri"/>
        <family val="2"/>
        <scheme val="minor"/>
      </rPr>
      <t>2</t>
    </r>
  </si>
  <si>
    <r>
      <t>mm</t>
    </r>
    <r>
      <rPr>
        <vertAlign val="superscript"/>
        <sz val="11"/>
        <color theme="1"/>
        <rFont val="Calibri"/>
        <family val="2"/>
        <scheme val="minor"/>
      </rPr>
      <t>2</t>
    </r>
  </si>
  <si>
    <r>
      <t>um</t>
    </r>
    <r>
      <rPr>
        <vertAlign val="superscript"/>
        <sz val="11"/>
        <color theme="1"/>
        <rFont val="Calibri"/>
        <family val="2"/>
        <scheme val="minor"/>
      </rPr>
      <t>2</t>
    </r>
  </si>
  <si>
    <r>
      <t>nm</t>
    </r>
    <r>
      <rPr>
        <vertAlign val="superscript"/>
        <sz val="11"/>
        <color theme="1"/>
        <rFont val="Calibri"/>
        <family val="2"/>
        <scheme val="minor"/>
      </rPr>
      <t>2</t>
    </r>
  </si>
  <si>
    <r>
      <t>dam</t>
    </r>
    <r>
      <rPr>
        <vertAlign val="superscript"/>
        <sz val="11"/>
        <color theme="1"/>
        <rFont val="Calibri"/>
        <family val="2"/>
        <scheme val="minor"/>
      </rPr>
      <t>2</t>
    </r>
  </si>
  <si>
    <r>
      <t>hm</t>
    </r>
    <r>
      <rPr>
        <vertAlign val="superscript"/>
        <sz val="11"/>
        <color theme="1"/>
        <rFont val="Calibri"/>
        <family val="2"/>
        <scheme val="minor"/>
      </rPr>
      <t>2</t>
    </r>
  </si>
  <si>
    <r>
      <t>km</t>
    </r>
    <r>
      <rPr>
        <vertAlign val="superscript"/>
        <sz val="11"/>
        <color theme="1"/>
        <rFont val="Calibri"/>
        <family val="2"/>
        <scheme val="minor"/>
      </rPr>
      <t>2</t>
    </r>
  </si>
  <si>
    <t>cubic-decimeter</t>
  </si>
  <si>
    <t>cubic-millimeter</t>
  </si>
  <si>
    <t>cubic-microimeter</t>
  </si>
  <si>
    <t>cubic-nanometer</t>
  </si>
  <si>
    <t>cubic-decameter</t>
  </si>
  <si>
    <t>cubic-meter</t>
  </si>
  <si>
    <t>cubic-hectometer</t>
  </si>
  <si>
    <t>cubic-kilometer</t>
  </si>
  <si>
    <r>
      <t>dm</t>
    </r>
    <r>
      <rPr>
        <vertAlign val="superscript"/>
        <sz val="11"/>
        <color theme="1"/>
        <rFont val="Calibri"/>
        <family val="2"/>
        <scheme val="minor"/>
      </rPr>
      <t>3</t>
    </r>
  </si>
  <si>
    <r>
      <t>mm</t>
    </r>
    <r>
      <rPr>
        <vertAlign val="superscript"/>
        <sz val="11"/>
        <color theme="1"/>
        <rFont val="Calibri"/>
        <family val="2"/>
        <scheme val="minor"/>
      </rPr>
      <t>3</t>
    </r>
  </si>
  <si>
    <r>
      <t>um</t>
    </r>
    <r>
      <rPr>
        <vertAlign val="superscript"/>
        <sz val="11"/>
        <color theme="1"/>
        <rFont val="Calibri"/>
        <family val="2"/>
        <scheme val="minor"/>
      </rPr>
      <t>3</t>
    </r>
  </si>
  <si>
    <r>
      <t>nm</t>
    </r>
    <r>
      <rPr>
        <vertAlign val="superscript"/>
        <sz val="11"/>
        <color theme="1"/>
        <rFont val="Calibri"/>
        <family val="2"/>
        <scheme val="minor"/>
      </rPr>
      <t>3</t>
    </r>
  </si>
  <si>
    <r>
      <t>dam</t>
    </r>
    <r>
      <rPr>
        <vertAlign val="superscript"/>
        <sz val="11"/>
        <color theme="1"/>
        <rFont val="Calibri"/>
        <family val="2"/>
        <scheme val="minor"/>
      </rPr>
      <t>3</t>
    </r>
  </si>
  <si>
    <r>
      <t>hm</t>
    </r>
    <r>
      <rPr>
        <vertAlign val="superscript"/>
        <sz val="11"/>
        <color theme="1"/>
        <rFont val="Calibri"/>
        <family val="2"/>
        <scheme val="minor"/>
      </rPr>
      <t>3</t>
    </r>
  </si>
  <si>
    <r>
      <t>km</t>
    </r>
    <r>
      <rPr>
        <vertAlign val="superscript"/>
        <sz val="11"/>
        <color theme="1"/>
        <rFont val="Calibri"/>
        <family val="2"/>
        <scheme val="minor"/>
      </rPr>
      <t>3</t>
    </r>
  </si>
  <si>
    <t>arpent(metric)</t>
  </si>
  <si>
    <t>arpent(commun)</t>
  </si>
  <si>
    <t>arpent(ordinaire)</t>
  </si>
  <si>
    <t>coudee(de-Paris)</t>
  </si>
  <si>
    <t>lieue(Anjou)</t>
  </si>
  <si>
    <t>lieue(Artois)</t>
  </si>
  <si>
    <t>lieue(Beauce)</t>
  </si>
  <si>
    <t>lieue(Bourbonnais)</t>
  </si>
  <si>
    <t>lieue(Bourgogne)</t>
  </si>
  <si>
    <t>lieue(Bretagne)</t>
  </si>
  <si>
    <t>lieue(de-20-aue-degre)</t>
  </si>
  <si>
    <t>lieue(de-25-aue-degre)</t>
  </si>
  <si>
    <t>lieue(deParis)</t>
  </si>
  <si>
    <t>lieue(Gascogne)</t>
  </si>
  <si>
    <t>lieue(Gatinais)</t>
  </si>
  <si>
    <t>lieue(Maine)</t>
  </si>
  <si>
    <t>lieue(marine)</t>
  </si>
  <si>
    <t>lieue(mean)</t>
  </si>
  <si>
    <t>lieue(metric)</t>
  </si>
  <si>
    <t>lieue(nautical)</t>
  </si>
  <si>
    <t>lieue(Poitou)</t>
  </si>
  <si>
    <t>lieue(Provence)</t>
  </si>
  <si>
    <t>lieue(Sologne-et-Touraine)</t>
  </si>
  <si>
    <t>lieue(vieille)</t>
  </si>
  <si>
    <t>lieue(ancienne)</t>
  </si>
  <si>
    <t>lieue(tarifaire)</t>
  </si>
  <si>
    <t>ligne(metric)</t>
  </si>
  <si>
    <t>mille-marin</t>
  </si>
  <si>
    <t>pas(de-Paris)</t>
  </si>
  <si>
    <t>pas(geographique)</t>
  </si>
  <si>
    <t>perche(du-roi)</t>
  </si>
  <si>
    <t>perche(Eaux-et-Forets)</t>
  </si>
  <si>
    <t>perche(ordinaire)</t>
  </si>
  <si>
    <t>perche-d'arpent</t>
  </si>
  <si>
    <t>petit-romain</t>
  </si>
  <si>
    <t>petit-texte</t>
  </si>
  <si>
    <t>pied(commum)</t>
  </si>
  <si>
    <t>pied(d'Ordonance)</t>
  </si>
  <si>
    <t>pied(du-roi)</t>
  </si>
  <si>
    <t>pied(metric)</t>
  </si>
  <si>
    <t>point(Berthold)</t>
  </si>
  <si>
    <t>point(Didot)</t>
  </si>
  <si>
    <t>point(Fournier)</t>
  </si>
  <si>
    <t>point(IN)</t>
  </si>
  <si>
    <t>point(metric)</t>
  </si>
  <si>
    <t>point(Truchet)</t>
  </si>
  <si>
    <t>pouce(metric)</t>
  </si>
  <si>
    <t>quinxe-seize(de-Paris)</t>
  </si>
  <si>
    <t>ruby(old)</t>
  </si>
  <si>
    <t>toise(de-Perou)</t>
  </si>
  <si>
    <t>toise(d'ordonance)</t>
  </si>
  <si>
    <t>toise(du-Chatelet)</t>
  </si>
  <si>
    <t>toise(metric)</t>
  </si>
  <si>
    <t>arpent(carre-du-roi)</t>
  </si>
  <si>
    <t>arpent(carre-ordinaire)</t>
  </si>
  <si>
    <t>arpent(carre)</t>
  </si>
  <si>
    <t>arpent(de-Paris)</t>
  </si>
  <si>
    <t>arpent(Eaux-et-Forets)</t>
  </si>
  <si>
    <t>arpent(ordinaire-metric)</t>
  </si>
  <si>
    <t>boisselee(Nantes)</t>
  </si>
  <si>
    <t>boisselee(Versailles)</t>
  </si>
  <si>
    <t>canne-carree</t>
  </si>
  <si>
    <t>carton(Montpellier)</t>
  </si>
  <si>
    <t>cartonnee(Haute-Loire)</t>
  </si>
  <si>
    <t>cartonnet(Agen)</t>
  </si>
  <si>
    <t>corterade(Montpellier)</t>
  </si>
  <si>
    <t>cosse(Provence)</t>
  </si>
  <si>
    <t>dextres(Montpellier)</t>
  </si>
  <si>
    <t>eminee(Provence)</t>
  </si>
  <si>
    <t>exots(Agen)</t>
  </si>
  <si>
    <t>hommee(Nantes)</t>
  </si>
  <si>
    <t>journal(Bretagne)</t>
  </si>
  <si>
    <t>journal(Lyonnais)</t>
  </si>
  <si>
    <t>journal(Nantes)</t>
  </si>
  <si>
    <t>minee(Versailles)</t>
  </si>
  <si>
    <t>minotee(Versailles)</t>
  </si>
  <si>
    <t>pan-carre</t>
  </si>
  <si>
    <t>perche(d'arpentcarree)</t>
  </si>
  <si>
    <t>perche(deParis)</t>
  </si>
  <si>
    <t>perche(du-roi-carree)</t>
  </si>
  <si>
    <t>perche(Versailles)</t>
  </si>
  <si>
    <t>pied-carre</t>
  </si>
  <si>
    <t>rege(ble)</t>
  </si>
  <si>
    <t>rege(vigne)</t>
  </si>
  <si>
    <t>square-league(metric)</t>
  </si>
  <si>
    <t>sq-lg(metric)</t>
  </si>
  <si>
    <t>toise-carree</t>
  </si>
  <si>
    <t>vergee(du-roi)</t>
  </si>
  <si>
    <t>vergee(ordinaire)</t>
  </si>
  <si>
    <t>boisseau(de-Paris)</t>
  </si>
  <si>
    <t>canne-cube</t>
  </si>
  <si>
    <t>litron(de-Paris)</t>
  </si>
  <si>
    <t>mine(de-Paris)</t>
  </si>
  <si>
    <t>minot(de-Paris)</t>
  </si>
  <si>
    <t>muid(de-Paris)</t>
  </si>
  <si>
    <t>pan-cube</t>
  </si>
  <si>
    <t>quart(de-Paris}</t>
  </si>
  <si>
    <t>setier(de-Paris)</t>
  </si>
  <si>
    <t>solive(de-Paris)</t>
  </si>
  <si>
    <t>tonneau-de-jauge</t>
  </si>
  <si>
    <t>tonneau-de-mer</t>
  </si>
  <si>
    <t>voie(de-Paris)</t>
  </si>
  <si>
    <t>bouteille-champenoise</t>
  </si>
  <si>
    <t>chopine(de-Paris)</t>
  </si>
  <si>
    <t>chopine(Provence-wine)</t>
  </si>
  <si>
    <t>demiard(de-Paris)</t>
  </si>
  <si>
    <t>feuillette(de-Paris)</t>
  </si>
  <si>
    <t>pied-cube</t>
  </si>
  <si>
    <t>pinte(deParis)</t>
  </si>
  <si>
    <t>pinte(wine)</t>
  </si>
  <si>
    <t>posson(de-Paris)</t>
  </si>
  <si>
    <t>pot(de-Paris)</t>
  </si>
  <si>
    <t>pot(Provence)</t>
  </si>
  <si>
    <t>potiche-de-mercure</t>
  </si>
  <si>
    <t>pouce-cube</t>
  </si>
  <si>
    <t>quade(de-Paris)</t>
  </si>
  <si>
    <t>quartaut(de-Paris)</t>
  </si>
  <si>
    <t>reputed-quart</t>
  </si>
  <si>
    <t>roquille(de-Paris)</t>
  </si>
  <si>
    <t>velte(de-Paris)</t>
  </si>
  <si>
    <t>denier(de-Charlemagne)</t>
  </si>
  <si>
    <t>denier(de-Paris)</t>
  </si>
  <si>
    <t>grain(de-Charlemange)</t>
  </si>
  <si>
    <t>denier(metric)</t>
  </si>
  <si>
    <t>grain(de-Paris)</t>
  </si>
  <si>
    <t>grain(metric)</t>
  </si>
  <si>
    <t>gros(de-Paris)</t>
  </si>
  <si>
    <t>gros(metric)</t>
  </si>
  <si>
    <t>livre(de-Charlemagne)</t>
  </si>
  <si>
    <t>livre(de-Paris-metric)</t>
  </si>
  <si>
    <t>livre(de-Paris)</t>
  </si>
  <si>
    <t>livre(metric)</t>
  </si>
  <si>
    <t>lot(deParis)</t>
  </si>
  <si>
    <t>marc(de-Paris)</t>
  </si>
  <si>
    <t>millier(de-Paris)</t>
  </si>
  <si>
    <t>millier(metric)</t>
  </si>
  <si>
    <t>obole(de-Charlemagne)</t>
  </si>
  <si>
    <t>once(de-Paris)</t>
  </si>
  <si>
    <t>once(metric)</t>
  </si>
  <si>
    <t>quarteron(de-Paris)</t>
  </si>
  <si>
    <t>quintal(metric)</t>
  </si>
  <si>
    <t>q(metric)</t>
  </si>
  <si>
    <t>sac(charcoal)</t>
  </si>
  <si>
    <t>sol(de-Charlemagne)</t>
  </si>
  <si>
    <t>meile(Baden)</t>
  </si>
  <si>
    <t>meile(Baltic)</t>
  </si>
  <si>
    <t>meile(Bayern)</t>
  </si>
  <si>
    <t>metric-slug</t>
  </si>
  <si>
    <t>amma(nautical)</t>
  </si>
  <si>
    <t>piki(long)</t>
  </si>
  <si>
    <t>piki(mansonry)</t>
  </si>
  <si>
    <t>piki(short)</t>
  </si>
  <si>
    <t>stremma(royal)</t>
  </si>
  <si>
    <t>cubic-toise</t>
  </si>
  <si>
    <t>toise-cube</t>
  </si>
  <si>
    <t>gwo-mamit</t>
  </si>
  <si>
    <t>cubit(sacred)</t>
  </si>
  <si>
    <t>derekh-yom</t>
  </si>
  <si>
    <t>amah-al-amah</t>
  </si>
  <si>
    <t>beit-kor</t>
  </si>
  <si>
    <t>beit-rova</t>
  </si>
  <si>
    <t>beit-seah</t>
  </si>
  <si>
    <t>ephah(new)</t>
  </si>
  <si>
    <t>ephah(old)</t>
  </si>
  <si>
    <t>bath(new)</t>
  </si>
  <si>
    <t>bath(old)</t>
  </si>
  <si>
    <t>kikkar(sacred)</t>
  </si>
  <si>
    <t>litra(sacred)</t>
  </si>
  <si>
    <t>mina(sacred)</t>
  </si>
  <si>
    <t>rabah(sacred)</t>
  </si>
  <si>
    <t>shekel(sacred)</t>
  </si>
  <si>
    <t>square-meile</t>
  </si>
  <si>
    <t>square-mertfold</t>
  </si>
  <si>
    <t>cubic-faust</t>
  </si>
  <si>
    <t>mila-alandi</t>
  </si>
  <si>
    <t>almen-tunna</t>
  </si>
  <si>
    <t>cubic-fet</t>
  </si>
  <si>
    <t>tunna-smjors</t>
  </si>
  <si>
    <t>finger-length</t>
  </si>
  <si>
    <t>great-primer</t>
  </si>
  <si>
    <t>league(statute)</t>
  </si>
  <si>
    <t>long-primer</t>
  </si>
  <si>
    <t>mile(geographical)</t>
  </si>
  <si>
    <t>mile(telegraph)</t>
  </si>
  <si>
    <t>nautical-mile</t>
  </si>
  <si>
    <t>small-pica</t>
  </si>
  <si>
    <t>yard(WMA1963)</t>
  </si>
  <si>
    <t>circular-inch</t>
  </si>
  <si>
    <t>circular-mil</t>
  </si>
  <si>
    <t>circular-mile(nautical)</t>
  </si>
  <si>
    <t>circular-mile(statute)</t>
  </si>
  <si>
    <t>column-inch</t>
  </si>
  <si>
    <t>quarter-section</t>
  </si>
  <si>
    <t>section-of-land</t>
  </si>
  <si>
    <t>square(Imperial)</t>
  </si>
  <si>
    <t>square-league(nautical)</t>
  </si>
  <si>
    <t>square-league(statute)</t>
  </si>
  <si>
    <t>square-miie</t>
  </si>
  <si>
    <t>sq-mi(geo)</t>
  </si>
  <si>
    <t>sq-mi(statute)</t>
  </si>
  <si>
    <t>sq-mi(tel)</t>
  </si>
  <si>
    <t>square-mile(geographical)</t>
  </si>
  <si>
    <t>square-mile(statute)</t>
  </si>
  <si>
    <t>square-mile(telegraph)</t>
  </si>
  <si>
    <t>square-perch</t>
  </si>
  <si>
    <t>square-pole</t>
  </si>
  <si>
    <t>square-rod</t>
  </si>
  <si>
    <t>square-yard(WMA1963)</t>
  </si>
  <si>
    <r>
      <t>yd</t>
    </r>
    <r>
      <rPr>
        <vertAlign val="superscript"/>
        <sz val="11"/>
        <color theme="1"/>
        <rFont val="Calibri"/>
        <family val="2"/>
        <scheme val="minor"/>
      </rPr>
      <t>2</t>
    </r>
    <r>
      <rPr>
        <sz val="11"/>
        <color theme="1"/>
        <rFont val="Calibri"/>
        <family val="2"/>
        <scheme val="minor"/>
      </rPr>
      <t>(WMA1963), sq-yd(WMA1963)</t>
    </r>
  </si>
  <si>
    <t>fl-oz</t>
  </si>
  <si>
    <t>fluid-ounce</t>
  </si>
  <si>
    <t>fluid-scruple</t>
  </si>
  <si>
    <t>fl-s</t>
  </si>
  <si>
    <t>fl-d</t>
  </si>
  <si>
    <t>fluid-drachm</t>
  </si>
  <si>
    <t>board-foot-measure</t>
  </si>
  <si>
    <t>cuben, cu-Mi</t>
  </si>
  <si>
    <t>forty-foot-equivalent-unit</t>
  </si>
  <si>
    <t>freight-ton</t>
  </si>
  <si>
    <t>perche(masonry)</t>
  </si>
  <si>
    <t>standard-cubic-foot</t>
  </si>
  <si>
    <r>
      <t>ft</t>
    </r>
    <r>
      <rPr>
        <vertAlign val="superscript"/>
        <sz val="11"/>
        <color theme="1"/>
        <rFont val="Calibri"/>
        <family val="2"/>
        <scheme val="minor"/>
      </rPr>
      <t>3</t>
    </r>
    <r>
      <rPr>
        <sz val="11"/>
        <color theme="1"/>
        <rFont val="Calibri"/>
        <family val="2"/>
        <scheme val="minor"/>
      </rPr>
      <t>(STP)</t>
    </r>
  </si>
  <si>
    <t>tablespoon(metric)</t>
  </si>
  <si>
    <t>tbsp(metric)</t>
  </si>
  <si>
    <t>twenty-foot-equivalent-unit</t>
  </si>
  <si>
    <t>dram(apothecary)</t>
  </si>
  <si>
    <t>dr(ap),  drachm(ap)</t>
  </si>
  <si>
    <t>drachm(troy)</t>
  </si>
  <si>
    <t>flask-of-mercury</t>
  </si>
  <si>
    <t>Hg-flask</t>
  </si>
  <si>
    <t>grain(apothecary)</t>
  </si>
  <si>
    <t>gr(ap)</t>
  </si>
  <si>
    <t>gr(troy)</t>
  </si>
  <si>
    <t>grain(troy)</t>
  </si>
  <si>
    <t>long-ton</t>
  </si>
  <si>
    <t>lg-ton</t>
  </si>
  <si>
    <t>ounce(apothecary)</t>
  </si>
  <si>
    <t>oz(ap)</t>
  </si>
  <si>
    <t>ounce(metric)</t>
  </si>
  <si>
    <t>ounce(troy)</t>
  </si>
  <si>
    <t>oz(troy)</t>
  </si>
  <si>
    <t>oz(metric)</t>
  </si>
  <si>
    <t>dwt(troy)</t>
  </si>
  <si>
    <t>pennyweight(troy)</t>
  </si>
  <si>
    <t>peridot(jeweller)</t>
  </si>
  <si>
    <t>point(jeweller)</t>
  </si>
  <si>
    <t>pound(apothecary)</t>
  </si>
  <si>
    <t>lb(ap), la(ap)</t>
  </si>
  <si>
    <t>lb(troy)</t>
  </si>
  <si>
    <t>pound(troy)</t>
  </si>
  <si>
    <t>lb(WMA1963), USMB</t>
  </si>
  <si>
    <t>anguli(Bombay)</t>
  </si>
  <si>
    <t>anguli(Calcutta)</t>
  </si>
  <si>
    <t>beesa(Bombay)</t>
  </si>
  <si>
    <t>begah(Bombay)</t>
  </si>
  <si>
    <t>begah(Calcutta)</t>
  </si>
  <si>
    <t>coss(Bombay)</t>
  </si>
  <si>
    <t>coss(Calcutta)</t>
  </si>
  <si>
    <t>covid(Bombay)</t>
  </si>
  <si>
    <t>covid(Calcutta)</t>
  </si>
  <si>
    <t>danda(Bombay)</t>
  </si>
  <si>
    <t>danda(Calcutta)</t>
  </si>
  <si>
    <t>gaz(Bombay)</t>
  </si>
  <si>
    <t>gaz(Calcutta)</t>
  </si>
  <si>
    <t>girah(Bombay)</t>
  </si>
  <si>
    <t>girah(Calcutta)</t>
  </si>
  <si>
    <t>guz(Bombay)</t>
  </si>
  <si>
    <t>guz(Calcutta)</t>
  </si>
  <si>
    <t>hath(Bombay)</t>
  </si>
  <si>
    <t>jaob(Bombay)</t>
  </si>
  <si>
    <t>jaob(Calcutta)</t>
  </si>
  <si>
    <t>jow(Bombay)</t>
  </si>
  <si>
    <t>jow(Calcutta)</t>
  </si>
  <si>
    <t>kan(Bombay)</t>
  </si>
  <si>
    <t>kan(Calcutta)</t>
  </si>
  <si>
    <t>karam(Bombay)</t>
  </si>
  <si>
    <t>karam(Calcutta)</t>
  </si>
  <si>
    <t>kathi(Bombay)</t>
  </si>
  <si>
    <t>kathi(Calcutta)</t>
  </si>
  <si>
    <t>moot(Bombay)</t>
  </si>
  <si>
    <t>moot(Calcutta)</t>
  </si>
  <si>
    <t>niranga(Bombay)</t>
  </si>
  <si>
    <t>niranga(Calcutta)</t>
  </si>
  <si>
    <t>pand(Bombay)</t>
  </si>
  <si>
    <t>pand(Calcutta)</t>
  </si>
  <si>
    <t>span(Bombay)</t>
  </si>
  <si>
    <t>span(Calcutta)</t>
  </si>
  <si>
    <t>span(vistati)</t>
  </si>
  <si>
    <t>tassoos(Bombay)</t>
  </si>
  <si>
    <t>tassoos(Calcutta)</t>
  </si>
  <si>
    <t>unglee(Bombay)</t>
  </si>
  <si>
    <t>unglee(Calcutta)</t>
  </si>
  <si>
    <t>biggah(Bombay)</t>
  </si>
  <si>
    <t>biggah(Calcutta)</t>
  </si>
  <si>
    <t>chattack(Bombay)</t>
  </si>
  <si>
    <t>chattack(Calcutta)</t>
  </si>
  <si>
    <t>cottah(Bombay)</t>
  </si>
  <si>
    <t>cottah(Calcutta)</t>
  </si>
  <si>
    <t>kanal(Bombay)</t>
  </si>
  <si>
    <t>kanal(Calcutta)</t>
  </si>
  <si>
    <t>marla(Bombay)</t>
  </si>
  <si>
    <t>marla(Calcutta)</t>
  </si>
  <si>
    <t>square-guz(Calcutta)</t>
  </si>
  <si>
    <t>tenab(Bombay)</t>
  </si>
  <si>
    <t>tenab(Calcutta)</t>
  </si>
  <si>
    <t>shon-cumbha</t>
  </si>
  <si>
    <t>cumbha(short)</t>
  </si>
  <si>
    <t>masha(old)</t>
  </si>
  <si>
    <t>pala(old)</t>
  </si>
  <si>
    <t>seer(SA)</t>
  </si>
  <si>
    <t>cubic-depa</t>
  </si>
  <si>
    <t>bahar(long)</t>
  </si>
  <si>
    <t>bahar(short)</t>
  </si>
  <si>
    <t>kojang(Batavia)</t>
  </si>
  <si>
    <t>kojang(Semarang)</t>
  </si>
  <si>
    <t>kojang(Soerabaya)</t>
  </si>
  <si>
    <t>soekoe(precious-metal)</t>
  </si>
  <si>
    <t>tali(precious-metal)</t>
  </si>
  <si>
    <t>thail(opium)</t>
  </si>
  <si>
    <t>thail(precious-metal)</t>
  </si>
  <si>
    <t>tjembang-mata</t>
  </si>
  <si>
    <t>cable-length</t>
  </si>
  <si>
    <t>mi(tel)</t>
  </si>
  <si>
    <t>nautical-mile(int)</t>
  </si>
  <si>
    <t>nmi(int)</t>
  </si>
  <si>
    <t>pica(ATA)</t>
  </si>
  <si>
    <t>pica(computer)</t>
  </si>
  <si>
    <t>pica(Postscript)</t>
  </si>
  <si>
    <t>pica(TeX)</t>
  </si>
  <si>
    <t>point(ATA)</t>
  </si>
  <si>
    <t>point(computer)</t>
  </si>
  <si>
    <t>point(Postscript)</t>
  </si>
  <si>
    <t>point(TeX)</t>
  </si>
  <si>
    <t>x-unit, CuKa1, X, Ux</t>
  </si>
  <si>
    <t>circular-mile</t>
  </si>
  <si>
    <t>sq-leag(nautical)</t>
  </si>
  <si>
    <t>sq-mi(nautical)</t>
  </si>
  <si>
    <t>square-mile(nautical)</t>
  </si>
  <si>
    <t>blood-unit</t>
  </si>
  <si>
    <t>L(1964), l(1964)</t>
  </si>
  <si>
    <t>liter(1964)</t>
  </si>
  <si>
    <t>normal-cubic-meter</t>
  </si>
  <si>
    <r>
      <t>m</t>
    </r>
    <r>
      <rPr>
        <vertAlign val="superscript"/>
        <sz val="11"/>
        <color theme="1"/>
        <rFont val="Calibri"/>
        <family val="2"/>
        <scheme val="minor"/>
      </rPr>
      <t>3</t>
    </r>
    <r>
      <rPr>
        <sz val="11"/>
        <color theme="1"/>
        <rFont val="Calibri"/>
        <family val="2"/>
        <scheme val="minor"/>
      </rPr>
      <t>(NTP), Nm</t>
    </r>
    <r>
      <rPr>
        <vertAlign val="superscript"/>
        <sz val="11"/>
        <color theme="1"/>
        <rFont val="Calibri"/>
        <family val="2"/>
        <scheme val="minor"/>
      </rPr>
      <t>3</t>
    </r>
  </si>
  <si>
    <t>cuMi</t>
  </si>
  <si>
    <t>standard-cubic-meter</t>
  </si>
  <si>
    <t>standard-cubic-meter(old)</t>
  </si>
  <si>
    <t>carat(metric)</t>
  </si>
  <si>
    <t>carat(old)</t>
  </si>
  <si>
    <t>dorn(1/2)</t>
  </si>
  <si>
    <t>dorn(5/12)</t>
  </si>
  <si>
    <t>cubic-troighid</t>
  </si>
  <si>
    <t>screpall-oir</t>
  </si>
  <si>
    <t>unge-beg</t>
  </si>
  <si>
    <t>unge-mor</t>
  </si>
  <si>
    <t>miglio(Lombardia)</t>
  </si>
  <si>
    <t>miglio(Napoli)</t>
  </si>
  <si>
    <t>miglio(Piemonte)</t>
  </si>
  <si>
    <t>miglio(Roma)</t>
  </si>
  <si>
    <t>miglio(Toscana)</t>
  </si>
  <si>
    <t>miglio(Venezia)</t>
  </si>
  <si>
    <t>piede-liprando</t>
  </si>
  <si>
    <t>cubic-piedi-liprando</t>
  </si>
  <si>
    <t>barile-di-olio</t>
  </si>
  <si>
    <t>barile-di-vino</t>
  </si>
  <si>
    <t>square-ri</t>
  </si>
  <si>
    <t>cubic-shaku</t>
  </si>
  <si>
    <t>karus-hiri-ichi-da</t>
  </si>
  <si>
    <t>fitel-kwadru</t>
  </si>
  <si>
    <t>pulzier-kwadru</t>
  </si>
  <si>
    <t>qasba-kwadra</t>
  </si>
  <si>
    <t>xiber-kwadru</t>
  </si>
  <si>
    <t>fitel-kubu</t>
  </si>
  <si>
    <t>pulzier-kubu</t>
  </si>
  <si>
    <t>qasba-kubu</t>
  </si>
  <si>
    <t>xiber-kubu</t>
  </si>
  <si>
    <t>kartocc(alcohol)</t>
  </si>
  <si>
    <t>kwarta(alcohol)</t>
  </si>
  <si>
    <t>nof(alcohol)</t>
  </si>
  <si>
    <t>terz(alcohol)</t>
  </si>
  <si>
    <t>kwart(small)</t>
  </si>
  <si>
    <t>cuartillo(oil)</t>
  </si>
  <si>
    <t>cuartillo(wine)</t>
  </si>
  <si>
    <t>jarra(oil)</t>
  </si>
  <si>
    <t>jarra(wine)</t>
  </si>
  <si>
    <t>unit-of-mass</t>
  </si>
  <si>
    <t>unite-de-masse</t>
  </si>
  <si>
    <t>sabine(metric)</t>
  </si>
  <si>
    <t>ton(metric)</t>
  </si>
  <si>
    <t>let-thit</t>
  </si>
  <si>
    <t>square-taung</t>
  </si>
  <si>
    <t>cubic-taung</t>
  </si>
  <si>
    <t>la-me</t>
  </si>
  <si>
    <t>la-my</t>
  </si>
  <si>
    <t>la-myet</t>
  </si>
  <si>
    <t>sa-le</t>
  </si>
  <si>
    <t>achein-taya</t>
  </si>
  <si>
    <t>nga-mutha</t>
  </si>
  <si>
    <t>ngase-tha</t>
  </si>
  <si>
    <t>yway-gyi</t>
  </si>
  <si>
    <t>yway-lay</t>
  </si>
  <si>
    <t>geografisk-mil</t>
  </si>
  <si>
    <t>kvadrat-rode</t>
  </si>
  <si>
    <t>mal(new)</t>
  </si>
  <si>
    <t>vara(old)</t>
  </si>
  <si>
    <t>lifio(old)</t>
  </si>
  <si>
    <t>libbra(old)</t>
  </si>
  <si>
    <t>parasang(old)</t>
  </si>
  <si>
    <t>daca-trayas</t>
  </si>
  <si>
    <t>kswacsh-dva</t>
  </si>
  <si>
    <t>panka-dva</t>
  </si>
  <si>
    <t>swacsh-dva</t>
  </si>
  <si>
    <t>amphora(long)</t>
  </si>
  <si>
    <t>artaba(long)</t>
  </si>
  <si>
    <t>artaba(short)</t>
  </si>
  <si>
    <t>woebe(modius)</t>
  </si>
  <si>
    <t>batman-shirez</t>
  </si>
  <si>
    <t>batman-tauris</t>
  </si>
  <si>
    <t>cubic-talampakan</t>
  </si>
  <si>
    <t>cal(Cracow)</t>
  </si>
  <si>
    <t>cal(new)</t>
  </si>
  <si>
    <t>cal(Warsaw)</t>
  </si>
  <si>
    <t>linja(Cracow)</t>
  </si>
  <si>
    <t>linja(new)</t>
  </si>
  <si>
    <t>linja(Warsaw)</t>
  </si>
  <si>
    <t>lockie(Cracow)</t>
  </si>
  <si>
    <t>lockie(new)</t>
  </si>
  <si>
    <t>lockie(Warsaw)</t>
  </si>
  <si>
    <t>pret(Cracow)</t>
  </si>
  <si>
    <t>pret(new)</t>
  </si>
  <si>
    <t>pret(Warsaw)</t>
  </si>
  <si>
    <t>sazen(Cracow)</t>
  </si>
  <si>
    <t>sazen(new)</t>
  </si>
  <si>
    <t>sazen(Warsaw)</t>
  </si>
  <si>
    <t>stopa(Cracow)</t>
  </si>
  <si>
    <t>stopa(new)</t>
  </si>
  <si>
    <t>stopa(Warsaw)</t>
  </si>
  <si>
    <t>morga(Cracow)</t>
  </si>
  <si>
    <t>morga(new)</t>
  </si>
  <si>
    <t>morga(Warsaw)</t>
  </si>
  <si>
    <t>square-pret(Cracow)</t>
  </si>
  <si>
    <t>square-pret(new)</t>
  </si>
  <si>
    <t>square-pret(Warsaw)</t>
  </si>
  <si>
    <t>square-topa(Cracow)</t>
  </si>
  <si>
    <t>square-stopa(new)</t>
  </si>
  <si>
    <t>square-stopa(Warsaw)</t>
  </si>
  <si>
    <t>wloka(Cracow)</t>
  </si>
  <si>
    <t>wloka(new)</t>
  </si>
  <si>
    <t>wloka(Warsaw)</t>
  </si>
  <si>
    <t>cubic-stopa</t>
  </si>
  <si>
    <t>decempeda-pertica</t>
  </si>
  <si>
    <t>gradus-pes-sestertius</t>
  </si>
  <si>
    <t>mille-passus</t>
  </si>
  <si>
    <t>mille-passuum</t>
  </si>
  <si>
    <t>palmus-major</t>
  </si>
  <si>
    <t>pes(1st-legal)</t>
  </si>
  <si>
    <t>pes(2nd-legal)</t>
  </si>
  <si>
    <t>pes(Drussian)</t>
  </si>
  <si>
    <t>actus-quadratus</t>
  </si>
  <si>
    <t>actus-simplex</t>
  </si>
  <si>
    <t>decempeda-quadrata</t>
  </si>
  <si>
    <t>dimidium-scruplum</t>
  </si>
  <si>
    <t>duo-scrupula</t>
  </si>
  <si>
    <t>quadratus-pes(2nd-legal)</t>
  </si>
  <si>
    <t>quadratus-pes(1st-legal)</t>
  </si>
  <si>
    <t>quadratus-pes(common)</t>
  </si>
  <si>
    <t>quadratus-pes(Drussian)</t>
  </si>
  <si>
    <t>short-actus</t>
  </si>
  <si>
    <t>modius-castrensis</t>
  </si>
  <si>
    <t>amphora-quadrantal</t>
  </si>
  <si>
    <t>centum-podium</t>
  </si>
  <si>
    <t>demidia-sextula</t>
  </si>
  <si>
    <t>quadrans-teruncius</t>
  </si>
  <si>
    <t>cot(Moldavia)</t>
  </si>
  <si>
    <t>cot(Wallachia)</t>
  </si>
  <si>
    <t>lat-de-palma</t>
  </si>
  <si>
    <t>pas-mare</t>
  </si>
  <si>
    <t>pas-mic</t>
  </si>
  <si>
    <t>stanjen-patrat</t>
  </si>
  <si>
    <t>banita(Moldavia)</t>
  </si>
  <si>
    <t>banita(Wallachia)</t>
  </si>
  <si>
    <t>feredela-feldera</t>
  </si>
  <si>
    <t>merta(Moldavia)</t>
  </si>
  <si>
    <t>merta(Transylvania)</t>
  </si>
  <si>
    <t>obroc-mare(Moldavia)</t>
  </si>
  <si>
    <t>obroc-mare(Wallachia)</t>
  </si>
  <si>
    <t>obroc-mic(Moldavia)</t>
  </si>
  <si>
    <t>obroc-mic(Wallachia)</t>
  </si>
  <si>
    <t>oca(Moldavia)</t>
  </si>
  <si>
    <t>oca(Wallachia)</t>
  </si>
  <si>
    <t>pinta(Transylvania)</t>
  </si>
  <si>
    <t>sau(Moldavia)</t>
  </si>
  <si>
    <t>bottle(vodka)</t>
  </si>
  <si>
    <t>bottle(wine)</t>
  </si>
  <si>
    <t>butylka(vodka)</t>
  </si>
  <si>
    <t>butylka(wine)</t>
  </si>
  <si>
    <t>doli(apothecary)</t>
  </si>
  <si>
    <t>drakhma(apothecary)</t>
  </si>
  <si>
    <t>funt(apothecary)</t>
  </si>
  <si>
    <t>once(apothecary)</t>
  </si>
  <si>
    <t>scrupul(apothecary)</t>
  </si>
  <si>
    <t>scrupule(apothecary)</t>
  </si>
  <si>
    <t>untsiya(apothecary)</t>
  </si>
  <si>
    <t>square-covid</t>
  </si>
  <si>
    <t>angstrom-star</t>
  </si>
  <si>
    <t>arc-second</t>
  </si>
  <si>
    <t>electron-classical-radius</t>
  </si>
  <si>
    <t>minute-of-arc</t>
  </si>
  <si>
    <t>pica(small)</t>
  </si>
  <si>
    <t>second-of-arc</t>
  </si>
  <si>
    <t>X-unit</t>
  </si>
  <si>
    <t>square-angstrom</t>
  </si>
  <si>
    <t>square-fermi</t>
  </si>
  <si>
    <t>cubic-centimeter(Mohr)</t>
  </si>
  <si>
    <t>atomic-unit-of-mass(carbon)</t>
  </si>
  <si>
    <t>atomic-unit-of-mass(hydrogen)</t>
  </si>
  <si>
    <t>atomic-unit-of-mass(oxygen)</t>
  </si>
  <si>
    <t>crith(atm)</t>
  </si>
  <si>
    <t>crith(bar)</t>
  </si>
  <si>
    <r>
      <t>thousand-mass-unit(</t>
    </r>
    <r>
      <rPr>
        <vertAlign val="superscript"/>
        <sz val="11"/>
        <color theme="1"/>
        <rFont val="Calibri"/>
        <family val="2"/>
        <scheme val="minor"/>
      </rPr>
      <t>12</t>
    </r>
    <r>
      <rPr>
        <sz val="11"/>
        <color theme="1"/>
        <rFont val="Calibri"/>
        <family val="2"/>
        <scheme val="minor"/>
      </rPr>
      <t>C)</t>
    </r>
  </si>
  <si>
    <r>
      <t>thousand-mass-unit(</t>
    </r>
    <r>
      <rPr>
        <vertAlign val="superscript"/>
        <sz val="11"/>
        <color theme="1"/>
        <rFont val="Calibri"/>
        <family val="2"/>
        <scheme val="minor"/>
      </rPr>
      <t>16</t>
    </r>
    <r>
      <rPr>
        <sz val="11"/>
        <color theme="1"/>
        <rFont val="Calibri"/>
        <family val="2"/>
        <scheme val="minor"/>
      </rPr>
      <t>O)</t>
    </r>
  </si>
  <si>
    <r>
      <t>thousand-mass-unit(</t>
    </r>
    <r>
      <rPr>
        <vertAlign val="superscript"/>
        <sz val="11"/>
        <color theme="1"/>
        <rFont val="Calibri"/>
        <family val="2"/>
        <scheme val="minor"/>
      </rPr>
      <t>1</t>
    </r>
    <r>
      <rPr>
        <sz val="11"/>
        <color theme="1"/>
        <rFont val="Calibri"/>
        <family val="2"/>
        <scheme val="minor"/>
      </rPr>
      <t>H)</t>
    </r>
  </si>
  <si>
    <t>foot(traditional)</t>
  </si>
  <si>
    <t>ft(trad)</t>
  </si>
  <si>
    <r>
      <t>TMU(</t>
    </r>
    <r>
      <rPr>
        <vertAlign val="superscript"/>
        <sz val="11"/>
        <color theme="1"/>
        <rFont val="Calibri"/>
        <family val="2"/>
        <scheme val="minor"/>
      </rPr>
      <t>1</t>
    </r>
    <r>
      <rPr>
        <sz val="11"/>
        <color theme="1"/>
        <rFont val="Calibri"/>
        <family val="2"/>
        <scheme val="minor"/>
      </rPr>
      <t>H)</t>
    </r>
  </si>
  <si>
    <r>
      <t>TMU(</t>
    </r>
    <r>
      <rPr>
        <vertAlign val="superscript"/>
        <sz val="11"/>
        <color theme="1"/>
        <rFont val="Calibri"/>
        <family val="2"/>
        <scheme val="minor"/>
      </rPr>
      <t>16</t>
    </r>
    <r>
      <rPr>
        <sz val="11"/>
        <color theme="1"/>
        <rFont val="Calibri"/>
        <family val="2"/>
        <scheme val="minor"/>
      </rPr>
      <t>O)</t>
    </r>
  </si>
  <si>
    <r>
      <t>TMU(</t>
    </r>
    <r>
      <rPr>
        <vertAlign val="superscript"/>
        <sz val="11"/>
        <color theme="1"/>
        <rFont val="Calibri"/>
        <family val="2"/>
        <scheme val="minor"/>
      </rPr>
      <t>12</t>
    </r>
    <r>
      <rPr>
        <sz val="11"/>
        <color theme="1"/>
        <rFont val="Calibri"/>
        <family val="2"/>
        <scheme val="minor"/>
      </rPr>
      <t>C)</t>
    </r>
  </si>
  <si>
    <r>
      <t>Da(</t>
    </r>
    <r>
      <rPr>
        <vertAlign val="superscript"/>
        <sz val="11"/>
        <color theme="1"/>
        <rFont val="Calibri"/>
        <family val="2"/>
        <scheme val="minor"/>
      </rPr>
      <t>16</t>
    </r>
    <r>
      <rPr>
        <sz val="11"/>
        <color theme="1"/>
        <rFont val="Calibri"/>
        <family val="2"/>
        <scheme val="minor"/>
      </rPr>
      <t>O)</t>
    </r>
  </si>
  <si>
    <r>
      <t>Da(</t>
    </r>
    <r>
      <rPr>
        <vertAlign val="superscript"/>
        <sz val="11"/>
        <color theme="1"/>
        <rFont val="Calibri"/>
        <family val="2"/>
        <scheme val="minor"/>
      </rPr>
      <t>1</t>
    </r>
    <r>
      <rPr>
        <sz val="11"/>
        <color theme="1"/>
        <rFont val="Calibri"/>
        <family val="2"/>
        <scheme val="minor"/>
      </rPr>
      <t>H)</t>
    </r>
  </si>
  <si>
    <r>
      <t>Da(</t>
    </r>
    <r>
      <rPr>
        <vertAlign val="superscript"/>
        <sz val="11"/>
        <color theme="1"/>
        <rFont val="Calibri"/>
        <family val="2"/>
        <scheme val="minor"/>
      </rPr>
      <t>12</t>
    </r>
    <r>
      <rPr>
        <sz val="11"/>
        <color theme="1"/>
        <rFont val="Calibri"/>
        <family val="2"/>
        <scheme val="minor"/>
      </rPr>
      <t>C)</t>
    </r>
  </si>
  <si>
    <t>acre(traditional)</t>
  </si>
  <si>
    <t>ac(trad)</t>
  </si>
  <si>
    <t>nook(1824)</t>
  </si>
  <si>
    <t>square-ell</t>
  </si>
  <si>
    <t>square-fall</t>
  </si>
  <si>
    <t>square-faw</t>
  </si>
  <si>
    <t>bole(barley)</t>
  </si>
  <si>
    <t>boll(barley)</t>
  </si>
  <si>
    <t>boll(bean)</t>
  </si>
  <si>
    <t>boll(malt)</t>
  </si>
  <si>
    <t>boll(oat)</t>
  </si>
  <si>
    <t>boll(pea)</t>
  </si>
  <si>
    <t>boll(rice)</t>
  </si>
  <si>
    <t>boll(salt)</t>
  </si>
  <si>
    <t>boll(wheat)</t>
  </si>
  <si>
    <t>bole(bean)</t>
  </si>
  <si>
    <t>bole(malt)</t>
  </si>
  <si>
    <t>bole(oat)</t>
  </si>
  <si>
    <t>bole(pea)</t>
  </si>
  <si>
    <t>bole(rice)</t>
  </si>
  <si>
    <t>bole(salt)</t>
  </si>
  <si>
    <t>bole(wheat)</t>
  </si>
  <si>
    <t>bowe(barley)</t>
  </si>
  <si>
    <t>bowe(bean)</t>
  </si>
  <si>
    <t>bowe(pea)</t>
  </si>
  <si>
    <t>bowe(malt)</t>
  </si>
  <si>
    <t>bowe(oat)</t>
  </si>
  <si>
    <t>bowe(rice)</t>
  </si>
  <si>
    <t>bowe(salt)</t>
  </si>
  <si>
    <t>bowe(wheat)</t>
  </si>
  <si>
    <t>chalder(rice)</t>
  </si>
  <si>
    <t>chalder(barley)</t>
  </si>
  <si>
    <t>chalder(bean)</t>
  </si>
  <si>
    <t>chalder(malt)</t>
  </si>
  <si>
    <t>chalder(oats)</t>
  </si>
  <si>
    <t>chalder(pea)</t>
  </si>
  <si>
    <t>chalder(salt)</t>
  </si>
  <si>
    <t>chalder(wheat)</t>
  </si>
  <si>
    <t>chauder(barley)</t>
  </si>
  <si>
    <t>chauder(bean)</t>
  </si>
  <si>
    <t>chauder(malt)</t>
  </si>
  <si>
    <t>chauder(oats)</t>
  </si>
  <si>
    <t>chauder(pea)</t>
  </si>
  <si>
    <t>chauder(rice)</t>
  </si>
  <si>
    <t>chauder(salt)</t>
  </si>
  <si>
    <t>chauder(wheat)</t>
  </si>
  <si>
    <t>firlot(bean)</t>
  </si>
  <si>
    <t>firlot(malt)</t>
  </si>
  <si>
    <t>firlot(barley)</t>
  </si>
  <si>
    <t>firlot(oats)</t>
  </si>
  <si>
    <t>firlot(pea)</t>
  </si>
  <si>
    <t>firlot(rice)</t>
  </si>
  <si>
    <t>firlot(salt)</t>
  </si>
  <si>
    <t>firlot(wheat)</t>
  </si>
  <si>
    <t>forpet(barley)</t>
  </si>
  <si>
    <t>forpet(bean)</t>
  </si>
  <si>
    <t>forpet(malt)</t>
  </si>
  <si>
    <t>forpet(oat)</t>
  </si>
  <si>
    <t>forpet(pea)</t>
  </si>
  <si>
    <t>forpet(rice)</t>
  </si>
  <si>
    <t>forpet(salt)</t>
  </si>
  <si>
    <t>forpet(wheat)</t>
  </si>
  <si>
    <t>lippie(barley)</t>
  </si>
  <si>
    <t>lippie(bean)</t>
  </si>
  <si>
    <t>lippy(barley)</t>
  </si>
  <si>
    <t>lippy(bean)</t>
  </si>
  <si>
    <t>lippy(malt)</t>
  </si>
  <si>
    <t>lippy(oats)</t>
  </si>
  <si>
    <t>lippie(malt)</t>
  </si>
  <si>
    <t>lippie(oats)</t>
  </si>
  <si>
    <t>lippie(pea)</t>
  </si>
  <si>
    <t>lippy(pea)</t>
  </si>
  <si>
    <t>lippy(rice)</t>
  </si>
  <si>
    <t>lippie(rice)</t>
  </si>
  <si>
    <t>lippie(salt)</t>
  </si>
  <si>
    <t>lippy(salt)</t>
  </si>
  <si>
    <t>lippy(wheat)</t>
  </si>
  <si>
    <t>lippie(wheat)</t>
  </si>
  <si>
    <t>peck(bean)</t>
  </si>
  <si>
    <t>peck(barley)</t>
  </si>
  <si>
    <t>peck(malt)</t>
  </si>
  <si>
    <t>peck(oats)</t>
  </si>
  <si>
    <t>peck(pea)</t>
  </si>
  <si>
    <t>peck(rice)</t>
  </si>
  <si>
    <t>peck(salt)</t>
  </si>
  <si>
    <t>peck(wheat)</t>
  </si>
  <si>
    <t>mutchkin(1824)</t>
  </si>
  <si>
    <t>boll(flour)</t>
  </si>
  <si>
    <t>boll(oatmeal)</t>
  </si>
  <si>
    <t>meter-squared</t>
  </si>
  <si>
    <t>meter-cubed</t>
  </si>
  <si>
    <t>square-yottameter</t>
  </si>
  <si>
    <t>square-zettameter</t>
  </si>
  <si>
    <t>square-exameter</t>
  </si>
  <si>
    <t>square-petameter</t>
  </si>
  <si>
    <t>square-terameter</t>
  </si>
  <si>
    <t>square-gigameter</t>
  </si>
  <si>
    <t>square-megameter</t>
  </si>
  <si>
    <t>square-micrometer</t>
  </si>
  <si>
    <t>square-picometer</t>
  </si>
  <si>
    <t>square-femtometer</t>
  </si>
  <si>
    <t>square-attometer</t>
  </si>
  <si>
    <t>square-zeptometer</t>
  </si>
  <si>
    <t>square-yoctometer</t>
  </si>
  <si>
    <r>
      <t>sq-Ym, Ym</t>
    </r>
    <r>
      <rPr>
        <vertAlign val="superscript"/>
        <sz val="11"/>
        <color theme="1"/>
        <rFont val="Calibri"/>
        <family val="2"/>
        <scheme val="minor"/>
      </rPr>
      <t>2</t>
    </r>
  </si>
  <si>
    <r>
      <t>sq-Zm, Zm</t>
    </r>
    <r>
      <rPr>
        <vertAlign val="superscript"/>
        <sz val="11"/>
        <color theme="1"/>
        <rFont val="Calibri"/>
        <family val="2"/>
        <scheme val="minor"/>
      </rPr>
      <t>2</t>
    </r>
  </si>
  <si>
    <r>
      <t>sq-Em, Em</t>
    </r>
    <r>
      <rPr>
        <vertAlign val="superscript"/>
        <sz val="11"/>
        <color theme="1"/>
        <rFont val="Calibri"/>
        <family val="2"/>
        <scheme val="minor"/>
      </rPr>
      <t>2</t>
    </r>
  </si>
  <si>
    <r>
      <t>sq-Pm, Pm</t>
    </r>
    <r>
      <rPr>
        <vertAlign val="superscript"/>
        <sz val="11"/>
        <color theme="1"/>
        <rFont val="Calibri"/>
        <family val="2"/>
        <scheme val="minor"/>
      </rPr>
      <t>2</t>
    </r>
  </si>
  <si>
    <r>
      <t>sq-Tm, Tm</t>
    </r>
    <r>
      <rPr>
        <vertAlign val="superscript"/>
        <sz val="11"/>
        <color theme="1"/>
        <rFont val="Calibri"/>
        <family val="2"/>
        <scheme val="minor"/>
      </rPr>
      <t>2</t>
    </r>
  </si>
  <si>
    <r>
      <t>sq-Gm, Gm</t>
    </r>
    <r>
      <rPr>
        <vertAlign val="superscript"/>
        <sz val="11"/>
        <color theme="1"/>
        <rFont val="Calibri"/>
        <family val="2"/>
        <scheme val="minor"/>
      </rPr>
      <t>2</t>
    </r>
  </si>
  <si>
    <r>
      <t>sq-Mm, Mm</t>
    </r>
    <r>
      <rPr>
        <vertAlign val="superscript"/>
        <sz val="11"/>
        <color theme="1"/>
        <rFont val="Calibri"/>
        <family val="2"/>
        <scheme val="minor"/>
      </rPr>
      <t>2</t>
    </r>
  </si>
  <si>
    <r>
      <t>sq-km, km</t>
    </r>
    <r>
      <rPr>
        <vertAlign val="superscript"/>
        <sz val="11"/>
        <color theme="1"/>
        <rFont val="Calibri"/>
        <family val="2"/>
        <scheme val="minor"/>
      </rPr>
      <t>2</t>
    </r>
  </si>
  <si>
    <r>
      <t>sq-hm, hm</t>
    </r>
    <r>
      <rPr>
        <vertAlign val="superscript"/>
        <sz val="11"/>
        <color theme="1"/>
        <rFont val="Calibri"/>
        <family val="2"/>
        <scheme val="minor"/>
      </rPr>
      <t>2</t>
    </r>
  </si>
  <si>
    <r>
      <t>sq-dam, dam</t>
    </r>
    <r>
      <rPr>
        <vertAlign val="superscript"/>
        <sz val="11"/>
        <color theme="1"/>
        <rFont val="Calibri"/>
        <family val="2"/>
        <scheme val="minor"/>
      </rPr>
      <t>2</t>
    </r>
  </si>
  <si>
    <r>
      <t>sq-dm, dm</t>
    </r>
    <r>
      <rPr>
        <vertAlign val="superscript"/>
        <sz val="11"/>
        <color theme="1"/>
        <rFont val="Calibri"/>
        <family val="2"/>
        <scheme val="minor"/>
      </rPr>
      <t>2</t>
    </r>
  </si>
  <si>
    <r>
      <t>sq-cm, cm</t>
    </r>
    <r>
      <rPr>
        <vertAlign val="superscript"/>
        <sz val="11"/>
        <color theme="1"/>
        <rFont val="Calibri"/>
        <family val="2"/>
        <scheme val="minor"/>
      </rPr>
      <t>2</t>
    </r>
  </si>
  <si>
    <r>
      <t>sq-mm, mm</t>
    </r>
    <r>
      <rPr>
        <vertAlign val="superscript"/>
        <sz val="11"/>
        <color theme="1"/>
        <rFont val="Calibri"/>
        <family val="2"/>
        <scheme val="minor"/>
      </rPr>
      <t>2</t>
    </r>
  </si>
  <si>
    <r>
      <t>sq-um, um</t>
    </r>
    <r>
      <rPr>
        <vertAlign val="superscript"/>
        <sz val="11"/>
        <color theme="1"/>
        <rFont val="Calibri"/>
        <family val="2"/>
        <scheme val="minor"/>
      </rPr>
      <t>2</t>
    </r>
  </si>
  <si>
    <r>
      <t>sq-nm, nm</t>
    </r>
    <r>
      <rPr>
        <vertAlign val="superscript"/>
        <sz val="11"/>
        <color theme="1"/>
        <rFont val="Calibri"/>
        <family val="2"/>
        <scheme val="minor"/>
      </rPr>
      <t>2</t>
    </r>
  </si>
  <si>
    <r>
      <t>sq-pm, pm</t>
    </r>
    <r>
      <rPr>
        <vertAlign val="superscript"/>
        <sz val="11"/>
        <color theme="1"/>
        <rFont val="Calibri"/>
        <family val="2"/>
        <scheme val="minor"/>
      </rPr>
      <t>2</t>
    </r>
  </si>
  <si>
    <r>
      <t>sq-fm, fm</t>
    </r>
    <r>
      <rPr>
        <vertAlign val="superscript"/>
        <sz val="11"/>
        <color theme="1"/>
        <rFont val="Calibri"/>
        <family val="2"/>
        <scheme val="minor"/>
      </rPr>
      <t>2</t>
    </r>
  </si>
  <si>
    <r>
      <t>sq-am, am</t>
    </r>
    <r>
      <rPr>
        <vertAlign val="superscript"/>
        <sz val="11"/>
        <color theme="1"/>
        <rFont val="Calibri"/>
        <family val="2"/>
        <scheme val="minor"/>
      </rPr>
      <t>2</t>
    </r>
  </si>
  <si>
    <r>
      <t>sq-zm, zm</t>
    </r>
    <r>
      <rPr>
        <vertAlign val="superscript"/>
        <sz val="11"/>
        <color theme="1"/>
        <rFont val="Calibri"/>
        <family val="2"/>
        <scheme val="minor"/>
      </rPr>
      <t>2</t>
    </r>
  </si>
  <si>
    <r>
      <t>sq-ym, ym</t>
    </r>
    <r>
      <rPr>
        <vertAlign val="superscript"/>
        <sz val="11"/>
        <color theme="1"/>
        <rFont val="Calibri"/>
        <family val="2"/>
        <scheme val="minor"/>
      </rPr>
      <t>2</t>
    </r>
  </si>
  <si>
    <r>
      <t>cu-Ym, Ym</t>
    </r>
    <r>
      <rPr>
        <vertAlign val="superscript"/>
        <sz val="11"/>
        <color theme="1"/>
        <rFont val="Calibri"/>
        <family val="2"/>
        <scheme val="minor"/>
      </rPr>
      <t>3</t>
    </r>
  </si>
  <si>
    <r>
      <t>cu-Zm, Zm</t>
    </r>
    <r>
      <rPr>
        <vertAlign val="superscript"/>
        <sz val="11"/>
        <color theme="1"/>
        <rFont val="Calibri"/>
        <family val="2"/>
        <scheme val="minor"/>
      </rPr>
      <t>3</t>
    </r>
  </si>
  <si>
    <r>
      <t>cu-Em, Em</t>
    </r>
    <r>
      <rPr>
        <vertAlign val="superscript"/>
        <sz val="11"/>
        <color theme="1"/>
        <rFont val="Calibri"/>
        <family val="2"/>
        <scheme val="minor"/>
      </rPr>
      <t>3</t>
    </r>
  </si>
  <si>
    <r>
      <t>cu-Pm, Pm</t>
    </r>
    <r>
      <rPr>
        <vertAlign val="superscript"/>
        <sz val="11"/>
        <color theme="1"/>
        <rFont val="Calibri"/>
        <family val="2"/>
        <scheme val="minor"/>
      </rPr>
      <t>3</t>
    </r>
  </si>
  <si>
    <r>
      <t>cu-Tm, Tm</t>
    </r>
    <r>
      <rPr>
        <vertAlign val="superscript"/>
        <sz val="11"/>
        <color theme="1"/>
        <rFont val="Calibri"/>
        <family val="2"/>
        <scheme val="minor"/>
      </rPr>
      <t>3</t>
    </r>
  </si>
  <si>
    <r>
      <t>cu-Gm, Gm</t>
    </r>
    <r>
      <rPr>
        <vertAlign val="superscript"/>
        <sz val="11"/>
        <color theme="1"/>
        <rFont val="Calibri"/>
        <family val="2"/>
        <scheme val="minor"/>
      </rPr>
      <t>3</t>
    </r>
  </si>
  <si>
    <r>
      <t>cu-Mm, Mm</t>
    </r>
    <r>
      <rPr>
        <vertAlign val="superscript"/>
        <sz val="11"/>
        <color theme="1"/>
        <rFont val="Calibri"/>
        <family val="2"/>
        <scheme val="minor"/>
      </rPr>
      <t>3</t>
    </r>
  </si>
  <si>
    <r>
      <t>cu-km, km</t>
    </r>
    <r>
      <rPr>
        <vertAlign val="superscript"/>
        <sz val="11"/>
        <color theme="1"/>
        <rFont val="Calibri"/>
        <family val="2"/>
        <scheme val="minor"/>
      </rPr>
      <t>3</t>
    </r>
  </si>
  <si>
    <r>
      <t>cu-hm, hm</t>
    </r>
    <r>
      <rPr>
        <vertAlign val="superscript"/>
        <sz val="11"/>
        <color theme="1"/>
        <rFont val="Calibri"/>
        <family val="2"/>
        <scheme val="minor"/>
      </rPr>
      <t>3</t>
    </r>
  </si>
  <si>
    <r>
      <t>cu-dam, dam</t>
    </r>
    <r>
      <rPr>
        <vertAlign val="superscript"/>
        <sz val="11"/>
        <color theme="1"/>
        <rFont val="Calibri"/>
        <family val="2"/>
        <scheme val="minor"/>
      </rPr>
      <t>3</t>
    </r>
  </si>
  <si>
    <r>
      <t>cu-dm, dm</t>
    </r>
    <r>
      <rPr>
        <vertAlign val="superscript"/>
        <sz val="11"/>
        <color theme="1"/>
        <rFont val="Calibri"/>
        <family val="2"/>
        <scheme val="minor"/>
      </rPr>
      <t>3</t>
    </r>
  </si>
  <si>
    <r>
      <t>cu-cm, cm</t>
    </r>
    <r>
      <rPr>
        <vertAlign val="superscript"/>
        <sz val="11"/>
        <color theme="1"/>
        <rFont val="Calibri"/>
        <family val="2"/>
        <scheme val="minor"/>
      </rPr>
      <t>3</t>
    </r>
  </si>
  <si>
    <r>
      <t>cu-mm, mm</t>
    </r>
    <r>
      <rPr>
        <vertAlign val="superscript"/>
        <sz val="11"/>
        <color theme="1"/>
        <rFont val="Calibri"/>
        <family val="2"/>
        <scheme val="minor"/>
      </rPr>
      <t>3</t>
    </r>
  </si>
  <si>
    <r>
      <t>cu-um, um</t>
    </r>
    <r>
      <rPr>
        <vertAlign val="superscript"/>
        <sz val="11"/>
        <color theme="1"/>
        <rFont val="Calibri"/>
        <family val="2"/>
        <scheme val="minor"/>
      </rPr>
      <t>3</t>
    </r>
  </si>
  <si>
    <r>
      <t>cu-nm, nm</t>
    </r>
    <r>
      <rPr>
        <vertAlign val="superscript"/>
        <sz val="11"/>
        <color theme="1"/>
        <rFont val="Calibri"/>
        <family val="2"/>
        <scheme val="minor"/>
      </rPr>
      <t>3</t>
    </r>
  </si>
  <si>
    <r>
      <t>cu-pm, pm</t>
    </r>
    <r>
      <rPr>
        <vertAlign val="superscript"/>
        <sz val="11"/>
        <color theme="1"/>
        <rFont val="Calibri"/>
        <family val="2"/>
        <scheme val="minor"/>
      </rPr>
      <t>3</t>
    </r>
  </si>
  <si>
    <r>
      <t>cu-fm, fm</t>
    </r>
    <r>
      <rPr>
        <vertAlign val="superscript"/>
        <sz val="11"/>
        <color theme="1"/>
        <rFont val="Calibri"/>
        <family val="2"/>
        <scheme val="minor"/>
      </rPr>
      <t>3</t>
    </r>
  </si>
  <si>
    <r>
      <t>cu-am, am</t>
    </r>
    <r>
      <rPr>
        <vertAlign val="superscript"/>
        <sz val="11"/>
        <color theme="1"/>
        <rFont val="Calibri"/>
        <family val="2"/>
        <scheme val="minor"/>
      </rPr>
      <t>3</t>
    </r>
  </si>
  <si>
    <r>
      <t>cu-zm, zm</t>
    </r>
    <r>
      <rPr>
        <vertAlign val="superscript"/>
        <sz val="11"/>
        <color theme="1"/>
        <rFont val="Calibri"/>
        <family val="2"/>
        <scheme val="minor"/>
      </rPr>
      <t>3</t>
    </r>
  </si>
  <si>
    <r>
      <t>cu-ym, ym</t>
    </r>
    <r>
      <rPr>
        <vertAlign val="superscript"/>
        <sz val="11"/>
        <color theme="1"/>
        <rFont val="Calibri"/>
        <family val="2"/>
        <scheme val="minor"/>
      </rPr>
      <t>3</t>
    </r>
  </si>
  <si>
    <t>cubic-yottameter</t>
  </si>
  <si>
    <t>cubic-zettameter</t>
  </si>
  <si>
    <t>cubic-exameter</t>
  </si>
  <si>
    <t>cubic-petameter</t>
  </si>
  <si>
    <t>cubic-terameter</t>
  </si>
  <si>
    <t>cubic-gigameter</t>
  </si>
  <si>
    <t>cubic-megameter</t>
  </si>
  <si>
    <t>cubic-micrometer</t>
  </si>
  <si>
    <t>cubic-picometer</t>
  </si>
  <si>
    <t>cubic-femtometer</t>
  </si>
  <si>
    <t>cubic-attometer</t>
  </si>
  <si>
    <t>cubic-zeptometer</t>
  </si>
  <si>
    <t>cubic-yoctometer</t>
  </si>
  <si>
    <t>cubic-top</t>
  </si>
  <si>
    <t>cape-rood</t>
  </si>
  <si>
    <t>cape-hundredweight</t>
  </si>
  <si>
    <t>cape-ton</t>
  </si>
  <si>
    <t>arroba(water)</t>
  </si>
  <si>
    <t>arroba(wine)</t>
  </si>
  <si>
    <t>double-quarteron</t>
  </si>
  <si>
    <t>livre(apothecary)</t>
  </si>
  <si>
    <t>livre(ordinary-apothecary)</t>
  </si>
  <si>
    <t>square-wah(Thai)</t>
  </si>
  <si>
    <t>tarang-wa</t>
  </si>
  <si>
    <t>cubic-wah</t>
  </si>
  <si>
    <t>chai-meu</t>
  </si>
  <si>
    <t>fai-mue</t>
  </si>
  <si>
    <t>kam-meu</t>
  </si>
  <si>
    <t>kam-mue</t>
  </si>
  <si>
    <t>yip-mue</t>
  </si>
  <si>
    <t>pic(Arabic)</t>
  </si>
  <si>
    <t>pic(Endezian)</t>
  </si>
  <si>
    <t>cantaro(attari)</t>
  </si>
  <si>
    <t>cantaro(khaddari)</t>
  </si>
  <si>
    <t>cantaro(sucki)</t>
  </si>
  <si>
    <t>rottolo(attari)</t>
  </si>
  <si>
    <t>rottolo(khaddari)</t>
  </si>
  <si>
    <t>rottolo(sucki)</t>
  </si>
  <si>
    <t>buyuk-donum</t>
  </si>
  <si>
    <t>eski-mil</t>
  </si>
  <si>
    <t>donum(metric)</t>
  </si>
  <si>
    <t>dunum(metric)</t>
  </si>
  <si>
    <t>eski-donum</t>
  </si>
  <si>
    <t>cubic-zira</t>
  </si>
  <si>
    <t>square-hasch</t>
  </si>
  <si>
    <t>cubic-hasch</t>
  </si>
  <si>
    <t>bundle(wool)</t>
  </si>
  <si>
    <t>cable-length(nautical)</t>
  </si>
  <si>
    <t>chain(Gunter)</t>
  </si>
  <si>
    <t>ch(Gunter)</t>
  </si>
  <si>
    <t>ch(nautical)</t>
  </si>
  <si>
    <t>ch(surveyor)</t>
  </si>
  <si>
    <t>chain(nautical)</t>
  </si>
  <si>
    <t>chain(surveyor)</t>
  </si>
  <si>
    <t>cut(cotton)</t>
  </si>
  <si>
    <t>cut(linen)</t>
  </si>
  <si>
    <t>cut(wool)</t>
  </si>
  <si>
    <t>foot(old)</t>
  </si>
  <si>
    <t>ft(old)</t>
  </si>
  <si>
    <t>hank(cotton)</t>
  </si>
  <si>
    <t>hank(wool)</t>
  </si>
  <si>
    <t>heer(linen)</t>
  </si>
  <si>
    <t>inch(old)</t>
  </si>
  <si>
    <t>in(old)</t>
  </si>
  <si>
    <t>lea(cotton)</t>
  </si>
  <si>
    <t>lea(linen)</t>
  </si>
  <si>
    <t>lea(wool)</t>
  </si>
  <si>
    <t>link(Gunter)</t>
  </si>
  <si>
    <t>link(surveyor)</t>
  </si>
  <si>
    <t>mile(London)</t>
  </si>
  <si>
    <t>mile(nautical)</t>
  </si>
  <si>
    <t>mi(nautical)</t>
  </si>
  <si>
    <t>mile(old-nautical)</t>
  </si>
  <si>
    <t>ounce(shoes)</t>
  </si>
  <si>
    <t>point(Australian)</t>
  </si>
  <si>
    <t>point(meteorological)</t>
  </si>
  <si>
    <t>quarter-yard</t>
  </si>
  <si>
    <t>ruby(modern)</t>
  </si>
  <si>
    <t>shaftment(old)</t>
  </si>
  <si>
    <t>spindle(cotton)</t>
  </si>
  <si>
    <t>spindle(jute)</t>
  </si>
  <si>
    <t>travel-hour(boat)</t>
  </si>
  <si>
    <t>travel-hour(horse)</t>
  </si>
  <si>
    <t>travel-hour(man)</t>
  </si>
  <si>
    <t>yard(old)</t>
  </si>
  <si>
    <t>acre(cunningham)</t>
  </si>
  <si>
    <t>ac(cunhm), acre(cunhm)</t>
  </si>
  <si>
    <t>ac(plant), acre(plant)</t>
  </si>
  <si>
    <t>acre(plantation)</t>
  </si>
  <si>
    <t>bolt(cotton)</t>
  </si>
  <si>
    <t>bolt(wool)</t>
  </si>
  <si>
    <t>gallon-per-foot</t>
  </si>
  <si>
    <t>gallon-per-mile</t>
  </si>
  <si>
    <t>open-window-unit</t>
  </si>
  <si>
    <t>square-chain(Gunter)</t>
  </si>
  <si>
    <t>sq-ch(Gunter)</t>
  </si>
  <si>
    <t>square-chain(surveyor)</t>
  </si>
  <si>
    <t>sq-ch(surveyor)</t>
  </si>
  <si>
    <r>
      <t>yd</t>
    </r>
    <r>
      <rPr>
        <vertAlign val="superscript"/>
        <sz val="11"/>
        <color theme="1"/>
        <rFont val="Calibri"/>
        <family val="2"/>
        <scheme val="minor"/>
      </rPr>
      <t>2</t>
    </r>
    <r>
      <rPr>
        <sz val="11"/>
        <color theme="1"/>
        <rFont val="Calibri"/>
        <family val="2"/>
        <scheme val="minor"/>
      </rPr>
      <t>(old), sq-yd(old)</t>
    </r>
  </si>
  <si>
    <t>square-yard(old)</t>
  </si>
  <si>
    <t>vergees(Guernsey)</t>
  </si>
  <si>
    <t>vergees(Jersey)</t>
  </si>
  <si>
    <t>barrel(bulk)</t>
  </si>
  <si>
    <t>bole(corn)</t>
  </si>
  <si>
    <t>boll(corn)</t>
  </si>
  <si>
    <t>bowe(corn)</t>
  </si>
  <si>
    <t>cord(wood)</t>
  </si>
  <si>
    <t>cd(wood)</t>
  </si>
  <si>
    <t>cord-foot</t>
  </si>
  <si>
    <t>cord-ft</t>
  </si>
  <si>
    <t>firlot(corn)</t>
  </si>
  <si>
    <t>ocean-ton</t>
  </si>
  <si>
    <t>register-ton</t>
  </si>
  <si>
    <t>riga-last</t>
  </si>
  <si>
    <t>strike(feet)</t>
  </si>
  <si>
    <t>ton(freight)</t>
  </si>
  <si>
    <t>ton(measurement)</t>
  </si>
  <si>
    <t>ton(timber)</t>
  </si>
  <si>
    <t>acre-foot</t>
  </si>
  <si>
    <t>ac-ft, acre-ft</t>
  </si>
  <si>
    <t>ac-in, acre-in</t>
  </si>
  <si>
    <t>acre-inch</t>
  </si>
  <si>
    <t>barrel(beer)</t>
  </si>
  <si>
    <t>bbl(beer)</t>
  </si>
  <si>
    <t>bbl(wine)</t>
  </si>
  <si>
    <t>bt(beer)</t>
  </si>
  <si>
    <t>barrel(wine)</t>
  </si>
  <si>
    <t>beer-butt</t>
  </si>
  <si>
    <t>breakfast-cup</t>
  </si>
  <si>
    <t>firkin(beer)</t>
  </si>
  <si>
    <t>fluid-dram</t>
  </si>
  <si>
    <t>gallon(beer)</t>
  </si>
  <si>
    <t>hogshead(beer)</t>
  </si>
  <si>
    <t>hdd(beer)</t>
  </si>
  <si>
    <t>pin(beer)</t>
  </si>
  <si>
    <t>puncheon(beer)</t>
  </si>
  <si>
    <t>ton(water)</t>
  </si>
  <si>
    <t>gallon(wine)</t>
  </si>
  <si>
    <t>glassful(wine)</t>
  </si>
  <si>
    <t>bag(cement)</t>
  </si>
  <si>
    <t>barrel(butter)</t>
  </si>
  <si>
    <t>barrel(cement)</t>
  </si>
  <si>
    <t>barrel(salt)</t>
  </si>
  <si>
    <t>chalder(coal)</t>
  </si>
  <si>
    <t>clove(butter)</t>
  </si>
  <si>
    <t>clove(customary-stone)</t>
  </si>
  <si>
    <t>clove(wool)</t>
  </si>
  <si>
    <t>coal-skip</t>
  </si>
  <si>
    <t>firkin(butter)</t>
  </si>
  <si>
    <t>gr(jeweller)</t>
  </si>
  <si>
    <t>cH(gross), cwt(gross), lg(gross)</t>
  </si>
  <si>
    <t>keel(coal)</t>
  </si>
  <si>
    <t>load(straw)</t>
  </si>
  <si>
    <t>load(wool)</t>
  </si>
  <si>
    <t>ounce(mercantile)</t>
  </si>
  <si>
    <t>oz(mercantile)</t>
  </si>
  <si>
    <t>oz(tower)</t>
  </si>
  <si>
    <t>ounce(tower)</t>
  </si>
  <si>
    <t>pennyweight(mercantile)</t>
  </si>
  <si>
    <t>dwt(mercantile)</t>
  </si>
  <si>
    <t>dwt(tower)</t>
  </si>
  <si>
    <t>pennyweight(tower)</t>
  </si>
  <si>
    <t>lb(mercantile)</t>
  </si>
  <si>
    <t>pound(mercantile)</t>
  </si>
  <si>
    <t>lb(merchant)</t>
  </si>
  <si>
    <t>pound(merchant)</t>
  </si>
  <si>
    <t>pound(new-hay)</t>
  </si>
  <si>
    <t>lb(new-hay)</t>
  </si>
  <si>
    <t>lb(old-hay)</t>
  </si>
  <si>
    <t>pound(old-hay)</t>
  </si>
  <si>
    <t>pound(old-merchant)</t>
  </si>
  <si>
    <t>pound(standard)</t>
  </si>
  <si>
    <t>lb(IS)</t>
  </si>
  <si>
    <t>lb(straw)</t>
  </si>
  <si>
    <t>pound(straw)</t>
  </si>
  <si>
    <t>pound(tower)</t>
  </si>
  <si>
    <t>lb(tower)</t>
  </si>
  <si>
    <t>sack(coal)</t>
  </si>
  <si>
    <t>sack(large-coal)</t>
  </si>
  <si>
    <t>sack(wool)</t>
  </si>
  <si>
    <t>sarpler(wool)</t>
  </si>
  <si>
    <t>s(ap), scr(ap)</t>
  </si>
  <si>
    <t>ship-load</t>
  </si>
  <si>
    <t>stone(lead)</t>
  </si>
  <si>
    <t>stone(wool)</t>
  </si>
  <si>
    <t>st(wool)</t>
  </si>
  <si>
    <t>ton(assay)</t>
  </si>
  <si>
    <t>ton(long)</t>
  </si>
  <si>
    <t>ton(shipping)</t>
  </si>
  <si>
    <t>tub(butter)</t>
  </si>
  <si>
    <t>wey(lead)</t>
  </si>
  <si>
    <t>whey(Essex)</t>
  </si>
  <si>
    <t>whey(Suffolk)</t>
  </si>
  <si>
    <t>billion-cubic-microns-per-square-inch</t>
  </si>
  <si>
    <t>block(Eastern)</t>
  </si>
  <si>
    <t>block(Midwestern)</t>
  </si>
  <si>
    <t>block(Western)</t>
  </si>
  <si>
    <t>cannon-shot</t>
  </si>
  <si>
    <t>chain(engineer)</t>
  </si>
  <si>
    <t>ch(engineer)</t>
  </si>
  <si>
    <t>ch(Ramsden)</t>
  </si>
  <si>
    <t>chain(Ramsden)</t>
  </si>
  <si>
    <t>cup(metric)</t>
  </si>
  <si>
    <t>double-pace</t>
  </si>
  <si>
    <t>foot(survey)</t>
  </si>
  <si>
    <t>football-field</t>
  </si>
  <si>
    <t>inch(survey)</t>
  </si>
  <si>
    <t>in(survey)</t>
  </si>
  <si>
    <t>link(engineer)</t>
  </si>
  <si>
    <t>link(Ramsden)</t>
  </si>
  <si>
    <t>mark-twain</t>
  </si>
  <si>
    <t>mile(survey)</t>
  </si>
  <si>
    <t>mi(survey)</t>
  </si>
  <si>
    <t>pin-length</t>
  </si>
  <si>
    <t>point(printer)</t>
  </si>
  <si>
    <t>point(silversmith)</t>
  </si>
  <si>
    <t>standard-gauge</t>
  </si>
  <si>
    <t>yard(survey)</t>
  </si>
  <si>
    <t>yd(survey)</t>
  </si>
  <si>
    <t>acre(survey)</t>
  </si>
  <si>
    <t>ac(survey)</t>
  </si>
  <si>
    <t>barrel-per-foot</t>
  </si>
  <si>
    <t>bbl/ft(oil)</t>
  </si>
  <si>
    <t>barrel-per-foot(oil)</t>
  </si>
  <si>
    <t>barrel-per-inch</t>
  </si>
  <si>
    <t>barrel-per-inch(oil)</t>
  </si>
  <si>
    <t>brl/in(oil)</t>
  </si>
  <si>
    <t>cmi(survey), cir-mi(survey)</t>
  </si>
  <si>
    <t>circular-mile(survey)</t>
  </si>
  <si>
    <t>circular-millimeter</t>
  </si>
  <si>
    <t>cmm, cir-mm</t>
  </si>
  <si>
    <t>square-chain(engineer)</t>
  </si>
  <si>
    <t>sq-ch(engineer)</t>
  </si>
  <si>
    <t>sq-ch(Ramsden)</t>
  </si>
  <si>
    <t>square-chain(Ramsden)</t>
  </si>
  <si>
    <r>
      <t>ft</t>
    </r>
    <r>
      <rPr>
        <vertAlign val="superscript"/>
        <sz val="11"/>
        <color theme="1"/>
        <rFont val="Calibri"/>
        <family val="2"/>
        <scheme val="minor"/>
      </rPr>
      <t>2</t>
    </r>
    <r>
      <rPr>
        <sz val="11"/>
        <color theme="1"/>
        <rFont val="Calibri"/>
        <family val="2"/>
        <scheme val="minor"/>
      </rPr>
      <t>(survey)</t>
    </r>
  </si>
  <si>
    <t>square-foot(survey)</t>
  </si>
  <si>
    <t>square-link(Ramsden)</t>
  </si>
  <si>
    <t>sq-mi(survey)</t>
  </si>
  <si>
    <t>cmi(nautical)</t>
  </si>
  <si>
    <t>square-mile(survey)</t>
  </si>
  <si>
    <t>barrel(cranberry)</t>
  </si>
  <si>
    <t>bbl(cranb)</t>
  </si>
  <si>
    <t>bbl(dry)</t>
  </si>
  <si>
    <t>barrel(dry)</t>
  </si>
  <si>
    <t>bushel(Winchester)</t>
  </si>
  <si>
    <t>bu(Winchester)</t>
  </si>
  <si>
    <t>cubic-in</t>
  </si>
  <si>
    <t>dry-bbl</t>
  </si>
  <si>
    <t>dry-barrel</t>
  </si>
  <si>
    <t>dry-bushel(Winchester)</t>
  </si>
  <si>
    <t>dry-bu(Winchester)</t>
  </si>
  <si>
    <t>pk(dry)</t>
  </si>
  <si>
    <t>dry-peck</t>
  </si>
  <si>
    <t>dry-pint</t>
  </si>
  <si>
    <t>pt(dry)</t>
  </si>
  <si>
    <t>qt(dry)</t>
  </si>
  <si>
    <t>dry-quart</t>
  </si>
  <si>
    <t>face-chord</t>
  </si>
  <si>
    <t>house-cord</t>
  </si>
  <si>
    <t>load(squared)</t>
  </si>
  <si>
    <t>load(unhewn)</t>
  </si>
  <si>
    <t>marine-ton</t>
  </si>
  <si>
    <t>split-deal</t>
  </si>
  <si>
    <t>ton(displacement)</t>
  </si>
  <si>
    <t>whole-deal</t>
  </si>
  <si>
    <t>acre-foot(survey)</t>
  </si>
  <si>
    <t>ac-ft(survey)</t>
  </si>
  <si>
    <t>barrel(alcohol)</t>
  </si>
  <si>
    <t>bbl(alcohol)</t>
  </si>
  <si>
    <t>bbl(liquid)</t>
  </si>
  <si>
    <t>barrel(liquid)</t>
  </si>
  <si>
    <t>barrel(oil)</t>
  </si>
  <si>
    <t>bbl(oil)</t>
  </si>
  <si>
    <t>bottle(new)</t>
  </si>
  <si>
    <t>bottle(old)</t>
  </si>
  <si>
    <t>coffee-measure</t>
  </si>
  <si>
    <t>coffee-spoon</t>
  </si>
  <si>
    <t>dessert-spoon</t>
  </si>
  <si>
    <t>dessert-spoonful</t>
  </si>
  <si>
    <t>drop(apothecary)</t>
  </si>
  <si>
    <t>drp(ap), gtt(ap)</t>
  </si>
  <si>
    <t>drop(metric)</t>
  </si>
  <si>
    <t>gal(wine)</t>
  </si>
  <si>
    <t>gallon-per-flush</t>
  </si>
  <si>
    <t>pipe(wine)</t>
  </si>
  <si>
    <t>puncheon(wine)</t>
  </si>
  <si>
    <t>teaspoon(metric)</t>
  </si>
  <si>
    <t>ton(seawater)</t>
  </si>
  <si>
    <t>tun(wine)</t>
  </si>
  <si>
    <t>glassful(water)</t>
  </si>
  <si>
    <t>drachm(apothecary)</t>
  </si>
  <si>
    <t>eleventh-gramm</t>
  </si>
  <si>
    <t>quarter(long)</t>
  </si>
  <si>
    <t>quarter(short)</t>
  </si>
  <si>
    <t>sh-ton</t>
  </si>
  <si>
    <t>short-ton</t>
  </si>
  <si>
    <t>stick(butter)</t>
  </si>
  <si>
    <t>stk(butter)</t>
  </si>
  <si>
    <t>ton(short)</t>
  </si>
  <si>
    <t>tun(beer)</t>
  </si>
  <si>
    <t>byr-iau</t>
  </si>
  <si>
    <t>eyl-yeu</t>
  </si>
  <si>
    <t>gronyn-heyd</t>
  </si>
  <si>
    <t>hir-iau</t>
  </si>
  <si>
    <t>uerr-teu</t>
  </si>
  <si>
    <t>cwmwd(Venedotian)</t>
  </si>
  <si>
    <t>ero(Venedotian)</t>
  </si>
  <si>
    <t>erw(Dimetian)</t>
  </si>
  <si>
    <t>erw(Venedotian)</t>
  </si>
  <si>
    <t>free-town(Dimetian)</t>
  </si>
  <si>
    <t>gafael(Venedotian)</t>
  </si>
  <si>
    <t>gauael(Venedotian)</t>
  </si>
  <si>
    <t>kymut(Venedotian)</t>
  </si>
  <si>
    <t>lowland-manor</t>
  </si>
  <si>
    <t>maenaor-vro</t>
  </si>
  <si>
    <t>maenaor-vrthtir</t>
  </si>
  <si>
    <t>maenaor-vwrthdir</t>
  </si>
  <si>
    <t>maenor(Venedotian)</t>
  </si>
  <si>
    <t>maynaul(Venedotian)</t>
  </si>
  <si>
    <t>randyr(Venedotian)</t>
  </si>
  <si>
    <t>rhandir(Venedotian)</t>
  </si>
  <si>
    <t>tref-rhydd</t>
  </si>
  <si>
    <t>tref-ryd</t>
  </si>
  <si>
    <t>upland-manor</t>
  </si>
  <si>
    <t>cubic-palf</t>
  </si>
  <si>
    <t>square-kvat</t>
  </si>
  <si>
    <t>square-stopa</t>
  </si>
  <si>
    <t>angle-droit</t>
  </si>
  <si>
    <t>hour-of-angle</t>
  </si>
  <si>
    <t>millieme(artillery)</t>
  </si>
  <si>
    <t>millieme(Rimailho)</t>
  </si>
  <si>
    <t>millieme-vrai</t>
  </si>
  <si>
    <t>milliarc-second</t>
  </si>
  <si>
    <t>millisecond-of-arc</t>
  </si>
  <si>
    <t>minute-of-angle</t>
  </si>
  <si>
    <t>plane-angle</t>
  </si>
  <si>
    <t>right-angle</t>
  </si>
  <si>
    <t>second-longitude</t>
  </si>
  <si>
    <t>second-of-angle</t>
  </si>
  <si>
    <t>spherical-right-angle</t>
  </si>
  <si>
    <t>square-degree</t>
  </si>
  <si>
    <t>square-minute</t>
  </si>
  <si>
    <t>square-second</t>
  </si>
  <si>
    <t>square-gon</t>
  </si>
  <si>
    <t>square-grade</t>
  </si>
  <si>
    <t>degree-per-year</t>
  </si>
  <si>
    <t>degree-per-month</t>
  </si>
  <si>
    <t>degree-per-day</t>
  </si>
  <si>
    <t>degree-per-hour</t>
  </si>
  <si>
    <t>degree-per-minute</t>
  </si>
  <si>
    <t>degree-per-second</t>
  </si>
  <si>
    <t>radian-per-year</t>
  </si>
  <si>
    <t>radian-per-month</t>
  </si>
  <si>
    <t>radian-per-day</t>
  </si>
  <si>
    <t>radian-per-hour</t>
  </si>
  <si>
    <t>radian-per-minute</t>
  </si>
  <si>
    <t>radian-per-second</t>
  </si>
  <si>
    <r>
      <rPr>
        <vertAlign val="superscript"/>
        <sz val="11"/>
        <color theme="1"/>
        <rFont val="Calibri"/>
        <family val="2"/>
        <scheme val="minor"/>
      </rPr>
      <t>o</t>
    </r>
    <r>
      <rPr>
        <sz val="11"/>
        <color theme="1"/>
        <rFont val="Calibri"/>
        <family val="2"/>
        <scheme val="minor"/>
      </rPr>
      <t>/yr, deg/yr</t>
    </r>
  </si>
  <si>
    <r>
      <rPr>
        <vertAlign val="superscript"/>
        <sz val="11"/>
        <color theme="1"/>
        <rFont val="Calibri"/>
        <family val="2"/>
        <scheme val="minor"/>
      </rPr>
      <t>o</t>
    </r>
    <r>
      <rPr>
        <sz val="11"/>
        <color theme="1"/>
        <rFont val="Calibri"/>
        <family val="2"/>
        <scheme val="minor"/>
      </rPr>
      <t>/mon, deg/mon</t>
    </r>
  </si>
  <si>
    <r>
      <rPr>
        <vertAlign val="superscript"/>
        <sz val="11"/>
        <color theme="1"/>
        <rFont val="Calibri"/>
        <family val="2"/>
        <scheme val="minor"/>
      </rPr>
      <t>o</t>
    </r>
    <r>
      <rPr>
        <sz val="11"/>
        <color theme="1"/>
        <rFont val="Calibri"/>
        <family val="2"/>
        <scheme val="minor"/>
      </rPr>
      <t>/d, deg/day</t>
    </r>
  </si>
  <si>
    <r>
      <rPr>
        <vertAlign val="superscript"/>
        <sz val="11"/>
        <color theme="1"/>
        <rFont val="Calibri"/>
        <family val="2"/>
        <scheme val="minor"/>
      </rPr>
      <t>o</t>
    </r>
    <r>
      <rPr>
        <sz val="11"/>
        <color theme="1"/>
        <rFont val="Calibri"/>
        <family val="2"/>
        <scheme val="minor"/>
      </rPr>
      <t>/min, deg/min</t>
    </r>
  </si>
  <si>
    <r>
      <rPr>
        <vertAlign val="superscript"/>
        <sz val="11"/>
        <color theme="1"/>
        <rFont val="Calibri"/>
        <family val="2"/>
        <scheme val="minor"/>
      </rPr>
      <t>o</t>
    </r>
    <r>
      <rPr>
        <sz val="11"/>
        <color theme="1"/>
        <rFont val="Calibri"/>
        <family val="2"/>
        <scheme val="minor"/>
      </rPr>
      <t>/hr, deg/hr</t>
    </r>
  </si>
  <si>
    <r>
      <rPr>
        <vertAlign val="superscript"/>
        <sz val="11"/>
        <color theme="1"/>
        <rFont val="Calibri"/>
        <family val="2"/>
        <scheme val="minor"/>
      </rPr>
      <t>o</t>
    </r>
    <r>
      <rPr>
        <sz val="11"/>
        <color theme="1"/>
        <rFont val="Calibri"/>
        <family val="2"/>
        <scheme val="minor"/>
      </rPr>
      <t>/s,  deg/sec</t>
    </r>
  </si>
  <si>
    <t>revolutions-per-year</t>
  </si>
  <si>
    <t>revolutions-per-month</t>
  </si>
  <si>
    <t>revolutions-per-day</t>
  </si>
  <si>
    <t>rpd, rev/day</t>
  </si>
  <si>
    <t>revolutions-per-hour</t>
  </si>
  <si>
    <t>revolutions-per-minute</t>
  </si>
  <si>
    <t>revolutions-per-second</t>
  </si>
  <si>
    <t>turn-per-second</t>
  </si>
  <si>
    <t>turn-per-minute</t>
  </si>
  <si>
    <t>turn-per-hour</t>
  </si>
  <si>
    <t>turn-per-day</t>
  </si>
  <si>
    <t>tr/day</t>
  </si>
  <si>
    <t>turn-per-month</t>
  </si>
  <si>
    <t>turn-per-year</t>
  </si>
  <si>
    <t>grade-per-second</t>
  </si>
  <si>
    <t>grade-per-minute</t>
  </si>
  <si>
    <t>grade-per-hour</t>
  </si>
  <si>
    <t>grade-per-day</t>
  </si>
  <si>
    <t>gon/day</t>
  </si>
  <si>
    <t>grade-per-month</t>
  </si>
  <si>
    <t>grade-per-year</t>
  </si>
  <si>
    <t>radian-per-square-second</t>
  </si>
  <si>
    <t>degree-per-square-second</t>
  </si>
  <si>
    <t>pound-per-inch</t>
  </si>
  <si>
    <t>pound-per-foot</t>
  </si>
  <si>
    <t>pound-per-yard</t>
  </si>
  <si>
    <t>kilogram-per-meter</t>
  </si>
  <si>
    <t>kilogram-per-centimeter</t>
  </si>
  <si>
    <t>kilogram-per-decimeter</t>
  </si>
  <si>
    <t>gram-per-meter</t>
  </si>
  <si>
    <t>gram-per-decimeter</t>
  </si>
  <si>
    <t>gram-per-centimeter</t>
  </si>
  <si>
    <t>gram-per-millimeter</t>
  </si>
  <si>
    <t>yarn-number</t>
  </si>
  <si>
    <t>grain-per-100-yards</t>
  </si>
  <si>
    <t>gr/100-yd</t>
  </si>
  <si>
    <t>gr/120-yd</t>
  </si>
  <si>
    <t>t/1000-yd</t>
  </si>
  <si>
    <t>grain-per-120-yards</t>
  </si>
  <si>
    <t>ton-per-1000-yards</t>
  </si>
  <si>
    <t>ton-per-mile</t>
  </si>
  <si>
    <t>ton-per-yard</t>
  </si>
  <si>
    <t>ton-per-foot</t>
  </si>
  <si>
    <t>ton-per-meter</t>
  </si>
  <si>
    <t>ton-per-kilometer</t>
  </si>
  <si>
    <t>base-box</t>
  </si>
  <si>
    <t>gram-per-square-millmeter</t>
  </si>
  <si>
    <t>gram-per-square-centimeter</t>
  </si>
  <si>
    <t>gram-per-square-meter</t>
  </si>
  <si>
    <t>inch-of-rainfall</t>
  </si>
  <si>
    <t>kilogram-per-square-kilometer</t>
  </si>
  <si>
    <t>kilogram-per-square-meter</t>
  </si>
  <si>
    <t>kilogram-per-square-centimeter</t>
  </si>
  <si>
    <t>pound-per-square-mile</t>
  </si>
  <si>
    <t>pound-per-square-yard</t>
  </si>
  <si>
    <t>ton-per-square-mile</t>
  </si>
  <si>
    <t>ton-per-square-yard</t>
  </si>
  <si>
    <t>ton-per-square-foot</t>
  </si>
  <si>
    <t>ton-per-square-inch</t>
  </si>
  <si>
    <t>degree-hydrotimetrique-francais</t>
  </si>
  <si>
    <t>grain-per-cubic-inch</t>
  </si>
  <si>
    <t>gram-per-cubic-meter</t>
  </si>
  <si>
    <t>hydrotimeter-degree</t>
  </si>
  <si>
    <t>kilogram-per-cubic-centimeter</t>
  </si>
  <si>
    <t>kilogram-per-cubic-decimeter</t>
  </si>
  <si>
    <t>kilogram-per-cubic-meter</t>
  </si>
  <si>
    <t>ounce-per-gallon</t>
  </si>
  <si>
    <t>pound-per-cubic-yard</t>
  </si>
  <si>
    <t>pound-per-cubic-foot</t>
  </si>
  <si>
    <t>pound-per-cubic-inch</t>
  </si>
  <si>
    <t>ton-per-cubic-yard</t>
  </si>
  <si>
    <t>ton-per-cubic-foot</t>
  </si>
  <si>
    <t>ton-per-cubic-inch</t>
  </si>
  <si>
    <t>ampere(mean)</t>
  </si>
  <si>
    <t>A-turn, At</t>
  </si>
  <si>
    <t>au-of-electric-curent</t>
  </si>
  <si>
    <t>emu-of-current</t>
  </si>
  <si>
    <t>au-of-electric-charge</t>
  </si>
  <si>
    <t>coulomb(int)</t>
  </si>
  <si>
    <t>emu-of-charge</t>
  </si>
  <si>
    <t>esu-of-charge</t>
  </si>
  <si>
    <t>ampere-per-meter</t>
  </si>
  <si>
    <r>
      <t>perm(0</t>
    </r>
    <r>
      <rPr>
        <vertAlign val="superscript"/>
        <sz val="11"/>
        <color theme="1"/>
        <rFont val="Calibri"/>
        <family val="2"/>
        <scheme val="minor"/>
      </rPr>
      <t>o</t>
    </r>
    <r>
      <rPr>
        <sz val="11"/>
        <color theme="1"/>
        <rFont val="Calibri"/>
        <family val="2"/>
        <scheme val="minor"/>
      </rPr>
      <t>C)</t>
    </r>
  </si>
  <si>
    <r>
      <t>perm(23</t>
    </r>
    <r>
      <rPr>
        <vertAlign val="superscript"/>
        <sz val="11"/>
        <color theme="1"/>
        <rFont val="Calibri"/>
        <family val="2"/>
        <scheme val="minor"/>
      </rPr>
      <t>o</t>
    </r>
    <r>
      <rPr>
        <sz val="11"/>
        <color theme="1"/>
        <rFont val="Calibri"/>
        <family val="2"/>
        <scheme val="minor"/>
      </rPr>
      <t>C)</t>
    </r>
  </si>
  <si>
    <r>
      <t>A-m</t>
    </r>
    <r>
      <rPr>
        <vertAlign val="superscript"/>
        <sz val="11"/>
        <color theme="1"/>
        <rFont val="Calibri"/>
        <family val="2"/>
        <scheme val="minor"/>
      </rPr>
      <t>2</t>
    </r>
  </si>
  <si>
    <t>ampere-square-meter</t>
  </si>
  <si>
    <t>au-of-magnetic-dipole-moment</t>
  </si>
  <si>
    <t>magneton(nuclear)</t>
  </si>
  <si>
    <t>nuclear-magneton</t>
  </si>
  <si>
    <t>ampere-per-square-inch</t>
  </si>
  <si>
    <t>ampere-per-square-foot</t>
  </si>
  <si>
    <t>ampere-per-square-yard</t>
  </si>
  <si>
    <t>milliampere-per-square-inch</t>
  </si>
  <si>
    <t>milliampere-per-square-foot</t>
  </si>
  <si>
    <t>milliampere-per-square-yard</t>
  </si>
  <si>
    <t>microampere-per-square-inch</t>
  </si>
  <si>
    <t>microampere-per-square-foot</t>
  </si>
  <si>
    <t>microampere-per-square-yard</t>
  </si>
  <si>
    <t>ampere-per-square-meter</t>
  </si>
  <si>
    <t>ampere-per-square-decimeter</t>
  </si>
  <si>
    <t>ampere-per-square-centimeter</t>
  </si>
  <si>
    <t>ampere-per-square-millimeter</t>
  </si>
  <si>
    <t>ampere-per-square-micrometer</t>
  </si>
  <si>
    <t>ampere-per-square-nanometer</t>
  </si>
  <si>
    <t>milliampere-per-square-meter</t>
  </si>
  <si>
    <t>milliampere-per-square-decimeter</t>
  </si>
  <si>
    <t>milliampere-per-square-centimeter</t>
  </si>
  <si>
    <t>milliampere-per-square-millimeter</t>
  </si>
  <si>
    <t>milliampere-per-square-micrometer</t>
  </si>
  <si>
    <t>milliampere-per-square-nanometer</t>
  </si>
  <si>
    <t>microampere-per-square-meter</t>
  </si>
  <si>
    <t>microampere-per-square-decimeter</t>
  </si>
  <si>
    <t>microampere-per-square-centimeter</t>
  </si>
  <si>
    <t>microampere-per-square-millimeter</t>
  </si>
  <si>
    <t>microampere-per-square-micrometer</t>
  </si>
  <si>
    <t>microampere-per-square-nanometer</t>
  </si>
  <si>
    <t>coulomb-per-square-kilometer</t>
  </si>
  <si>
    <t>coulomb-per-square-meter</t>
  </si>
  <si>
    <t>coulomb-per-square-centimeter</t>
  </si>
  <si>
    <t>coulomb-per-square-millimeter</t>
  </si>
  <si>
    <t>coulomb-per-square-micrometer</t>
  </si>
  <si>
    <t>coulomb-per-square-nanometer</t>
  </si>
  <si>
    <t>coulomb-per-square-mile</t>
  </si>
  <si>
    <t>coulomb-per-square-yard</t>
  </si>
  <si>
    <t>coulomb-per-square-foot</t>
  </si>
  <si>
    <t>coulomb-per-square-inch</t>
  </si>
  <si>
    <t>au-of-electric-charge-density</t>
  </si>
  <si>
    <t>coulomb-per-cubic-kilometer</t>
  </si>
  <si>
    <t>coulomb-per-cubic-meter</t>
  </si>
  <si>
    <t>coulomb-per-cubic-centimeter</t>
  </si>
  <si>
    <t>coulomb-per-cubic-millimeter</t>
  </si>
  <si>
    <t>coulomb-per-cubic-micrometer</t>
  </si>
  <si>
    <t>coulomb-per-cubic-nanometer</t>
  </si>
  <si>
    <t>coulomb-per-cubic-mile</t>
  </si>
  <si>
    <t>coulomb-per-cubic-yard</t>
  </si>
  <si>
    <t>coulomb-per-cubic-foot</t>
  </si>
  <si>
    <t>coulomb-per-cubic-inch</t>
  </si>
  <si>
    <t>farad-per-square-second</t>
  </si>
  <si>
    <t>farad-per-square-minute</t>
  </si>
  <si>
    <t>farad-per-square-hour</t>
  </si>
  <si>
    <t>farad-per-square-day</t>
  </si>
  <si>
    <t>farad-per-square-month</t>
  </si>
  <si>
    <t>farad-per-square-year</t>
  </si>
  <si>
    <t>henry-per-square-second</t>
  </si>
  <si>
    <t>henry-per-square-minute</t>
  </si>
  <si>
    <t>henry-per-square-hour</t>
  </si>
  <si>
    <t>henry-per-square-day</t>
  </si>
  <si>
    <t>henry-per-square-month</t>
  </si>
  <si>
    <t>henry-per-square-year</t>
  </si>
  <si>
    <t>ringing-equivalent-number</t>
  </si>
  <si>
    <t>emu-of-conductance</t>
  </si>
  <si>
    <t>esu-of-conductance</t>
  </si>
  <si>
    <t>emu-of-electric-capacitance</t>
  </si>
  <si>
    <t>esu-of-capacitance</t>
  </si>
  <si>
    <t>reciprocal-ohm-per-inch</t>
  </si>
  <si>
    <t>reciprocal-ohm-per-foot</t>
  </si>
  <si>
    <t>reciprocal-ohm-per-centimeter</t>
  </si>
  <si>
    <t>reciprocal-ohm-per-meter</t>
  </si>
  <si>
    <t>siemens-per-meter</t>
  </si>
  <si>
    <t>kapp-line</t>
  </si>
  <si>
    <t>unit-pole</t>
  </si>
  <si>
    <t>emu-of-inductance</t>
  </si>
  <si>
    <t>esu-of-inductance</t>
  </si>
  <si>
    <t>henry(mean)</t>
  </si>
  <si>
    <t>H(mean)</t>
  </si>
  <si>
    <t>emu-of-electric-potential</t>
  </si>
  <si>
    <t>esu-of-electric-potential</t>
  </si>
  <si>
    <t>V(mean)</t>
  </si>
  <si>
    <t>volt(mean)</t>
  </si>
  <si>
    <t>emu-of-resistance</t>
  </si>
  <si>
    <t>esu-of-resistance</t>
  </si>
  <si>
    <r>
      <t>emi-</t>
    </r>
    <r>
      <rPr>
        <sz val="11"/>
        <color theme="1"/>
        <rFont val="Symbol"/>
        <family val="1"/>
        <charset val="2"/>
      </rPr>
      <t>W</t>
    </r>
  </si>
  <si>
    <r>
      <t>esu-</t>
    </r>
    <r>
      <rPr>
        <sz val="11"/>
        <color theme="1"/>
        <rFont val="Symbol"/>
        <family val="1"/>
        <charset val="2"/>
      </rPr>
      <t>W</t>
    </r>
  </si>
  <si>
    <t>ohm(legal)</t>
  </si>
  <si>
    <t>ohm(mean)</t>
  </si>
  <si>
    <t>lenz(resistance)</t>
  </si>
  <si>
    <t>emu-V</t>
  </si>
  <si>
    <t>esu-V</t>
  </si>
  <si>
    <t>emu-H</t>
  </si>
  <si>
    <t>esu-H</t>
  </si>
  <si>
    <t>emu-F</t>
  </si>
  <si>
    <t>esu-F</t>
  </si>
  <si>
    <t>emu-S</t>
  </si>
  <si>
    <t>esu-S</t>
  </si>
  <si>
    <r>
      <rPr>
        <sz val="11"/>
        <color theme="1"/>
        <rFont val="Symbol"/>
        <family val="1"/>
        <charset val="2"/>
      </rPr>
      <t>W</t>
    </r>
    <r>
      <rPr>
        <sz val="11"/>
        <color theme="1"/>
        <rFont val="Calibri"/>
        <family val="2"/>
        <scheme val="minor"/>
      </rPr>
      <t>-cmi/ft</t>
    </r>
    <r>
      <rPr>
        <sz val="11"/>
        <color theme="1"/>
        <rFont val="Calibri"/>
        <family val="1"/>
        <charset val="2"/>
        <scheme val="minor"/>
      </rPr>
      <t>, ohm-cmi/ft</t>
    </r>
  </si>
  <si>
    <t>ohm-circular-mil-per-foot</t>
  </si>
  <si>
    <t>international-annealed-copper-standard</t>
  </si>
  <si>
    <t>ohm-meter</t>
  </si>
  <si>
    <r>
      <rPr>
        <sz val="11"/>
        <color theme="1"/>
        <rFont val="Symbol"/>
        <family val="1"/>
        <charset val="2"/>
      </rPr>
      <t>W</t>
    </r>
    <r>
      <rPr>
        <sz val="11"/>
        <color theme="1"/>
        <rFont val="Calibri"/>
        <family val="2"/>
        <scheme val="minor"/>
      </rPr>
      <t>-m</t>
    </r>
    <r>
      <rPr>
        <sz val="11"/>
        <color theme="1"/>
        <rFont val="Calibri"/>
        <family val="1"/>
        <charset val="2"/>
        <scheme val="minor"/>
      </rPr>
      <t>, ohm-m</t>
    </r>
  </si>
  <si>
    <t>acoustic-ohm</t>
  </si>
  <si>
    <t>ohm(acoustic)</t>
  </si>
  <si>
    <t>ohm(mechanical)</t>
  </si>
  <si>
    <t>au-of-electric-field-strength</t>
  </si>
  <si>
    <t>au-of-electric-potential</t>
  </si>
  <si>
    <t>volt-per-kilometer</t>
  </si>
  <si>
    <t>volt-per-meter</t>
  </si>
  <si>
    <t>volt-per-centimeter</t>
  </si>
  <si>
    <t>volt-per-millimeter</t>
  </si>
  <si>
    <t>volt-per-micrometer</t>
  </si>
  <si>
    <t>volt-per-nanometer</t>
  </si>
  <si>
    <t>millivolt-per-meter</t>
  </si>
  <si>
    <t>millivolt-per-centimeter</t>
  </si>
  <si>
    <t>millivolt-per-millimeter</t>
  </si>
  <si>
    <t>millivolt-per-micrometer</t>
  </si>
  <si>
    <t>millivolt-per-nanometer</t>
  </si>
  <si>
    <t>microvolt-per-meter</t>
  </si>
  <si>
    <t>microvolt-per-centimeter</t>
  </si>
  <si>
    <t>microvolt-per-millimeter</t>
  </si>
  <si>
    <t>microvolt-per-micrometer</t>
  </si>
  <si>
    <t>mircovolt-per-nanometer</t>
  </si>
  <si>
    <t>volt-per-mile</t>
  </si>
  <si>
    <t>volt-per-yard</t>
  </si>
  <si>
    <t>volt-per-foot</t>
  </si>
  <si>
    <t>volt-per-inch</t>
  </si>
  <si>
    <t>millivolt-per-yard</t>
  </si>
  <si>
    <t>millivolt-per-foot</t>
  </si>
  <si>
    <t>millivolt-per-inch</t>
  </si>
  <si>
    <t>microvolt-per-yard</t>
  </si>
  <si>
    <t>microvolt-per-foot</t>
  </si>
  <si>
    <t>microvolt-per-inch</t>
  </si>
  <si>
    <t>au-of-magnetic-flux-density</t>
  </si>
  <si>
    <t>au-of-electric-field-strength-gradient</t>
  </si>
  <si>
    <t>weber-per-kilometer</t>
  </si>
  <si>
    <t>weber-per-meter</t>
  </si>
  <si>
    <t>weber-per-centimeter</t>
  </si>
  <si>
    <t>weber-per-millimeter</t>
  </si>
  <si>
    <t>weber-per-micrometer</t>
  </si>
  <si>
    <t>weber-per-nanometer</t>
  </si>
  <si>
    <t>weber-per-mile</t>
  </si>
  <si>
    <t>weber-per-yard</t>
  </si>
  <si>
    <t>weber-per-foot</t>
  </si>
  <si>
    <t>weber-per-inch</t>
  </si>
  <si>
    <t>henry-per-kilometer</t>
  </si>
  <si>
    <t>henry-per-meter</t>
  </si>
  <si>
    <t>henry-per-centimeter</t>
  </si>
  <si>
    <t>henry-per-millimeter</t>
  </si>
  <si>
    <t>henry-per-micrometer</t>
  </si>
  <si>
    <t>henry-per-nanometer</t>
  </si>
  <si>
    <t>henry-per-mile</t>
  </si>
  <si>
    <t>henry-per-yard</t>
  </si>
  <si>
    <t>henry-per-foot</t>
  </si>
  <si>
    <t>henry-per-inch</t>
  </si>
  <si>
    <t>baker's-dozen</t>
  </si>
  <si>
    <t>bundle(old)</t>
  </si>
  <si>
    <t>bdl(old)</t>
  </si>
  <si>
    <t>great-gross</t>
  </si>
  <si>
    <t>great-hundred</t>
  </si>
  <si>
    <t>hat-trick</t>
  </si>
  <si>
    <t>long-hundred</t>
  </si>
  <si>
    <t>perfect-ream</t>
  </si>
  <si>
    <t>quires(new)</t>
  </si>
  <si>
    <t>quires(old)</t>
  </si>
  <si>
    <t>ream(old)</t>
  </si>
  <si>
    <t>ten-hundred</t>
  </si>
  <si>
    <t>au-of-energy</t>
  </si>
  <si>
    <t>barrel-oil-equivalent</t>
  </si>
  <si>
    <t>board-of-trade-unit</t>
  </si>
  <si>
    <r>
      <t>Btu(15.56</t>
    </r>
    <r>
      <rPr>
        <vertAlign val="superscript"/>
        <sz val="11"/>
        <color theme="1"/>
        <rFont val="Calibri"/>
        <family val="2"/>
        <scheme val="minor"/>
      </rPr>
      <t>o</t>
    </r>
    <r>
      <rPr>
        <sz val="11"/>
        <color theme="1"/>
        <rFont val="Calibri"/>
        <family val="2"/>
        <scheme val="minor"/>
      </rPr>
      <t>C)</t>
    </r>
  </si>
  <si>
    <r>
      <t>Btu(39</t>
    </r>
    <r>
      <rPr>
        <vertAlign val="superscript"/>
        <sz val="11"/>
        <color theme="1"/>
        <rFont val="Calibri"/>
        <family val="2"/>
        <scheme val="minor"/>
      </rPr>
      <t>o</t>
    </r>
    <r>
      <rPr>
        <sz val="11"/>
        <color theme="1"/>
        <rFont val="Calibri"/>
        <family val="2"/>
        <scheme val="minor"/>
      </rPr>
      <t>F)</t>
    </r>
  </si>
  <si>
    <r>
      <t>Btu(4</t>
    </r>
    <r>
      <rPr>
        <vertAlign val="superscript"/>
        <sz val="11"/>
        <color theme="1"/>
        <rFont val="Calibri"/>
        <family val="2"/>
        <scheme val="minor"/>
      </rPr>
      <t>o</t>
    </r>
    <r>
      <rPr>
        <sz val="11"/>
        <color theme="1"/>
        <rFont val="Calibri"/>
        <family val="2"/>
        <scheme val="minor"/>
      </rPr>
      <t>C)</t>
    </r>
  </si>
  <si>
    <r>
      <t>Btu(59</t>
    </r>
    <r>
      <rPr>
        <vertAlign val="superscript"/>
        <sz val="11"/>
        <color theme="1"/>
        <rFont val="Calibri"/>
        <family val="2"/>
        <scheme val="minor"/>
      </rPr>
      <t>o</t>
    </r>
    <r>
      <rPr>
        <sz val="11"/>
        <color theme="1"/>
        <rFont val="Calibri"/>
        <family val="2"/>
        <scheme val="minor"/>
      </rPr>
      <t>F)</t>
    </r>
  </si>
  <si>
    <r>
      <t>Btu(60</t>
    </r>
    <r>
      <rPr>
        <vertAlign val="superscript"/>
        <sz val="11"/>
        <color theme="1"/>
        <rFont val="Calibri"/>
        <family val="2"/>
        <scheme val="minor"/>
      </rPr>
      <t>o</t>
    </r>
    <r>
      <rPr>
        <sz val="11"/>
        <color theme="1"/>
        <rFont val="Calibri"/>
        <family val="2"/>
        <scheme val="minor"/>
      </rPr>
      <t>F)</t>
    </r>
  </si>
  <si>
    <t>Btu(Gas)</t>
  </si>
  <si>
    <t>Btu(GIA)</t>
  </si>
  <si>
    <t>Btu(ISO)</t>
  </si>
  <si>
    <t>Btu(IT)</t>
  </si>
  <si>
    <t>Btu(mean)</t>
  </si>
  <si>
    <t>Btu(threm)</t>
  </si>
  <si>
    <r>
      <t>calorie(15</t>
    </r>
    <r>
      <rPr>
        <vertAlign val="superscript"/>
        <sz val="11"/>
        <color theme="1"/>
        <rFont val="Calibri"/>
        <family val="2"/>
        <scheme val="minor"/>
      </rPr>
      <t>o</t>
    </r>
    <r>
      <rPr>
        <sz val="11"/>
        <color theme="1"/>
        <rFont val="Calibri"/>
        <family val="2"/>
        <scheme val="minor"/>
      </rPr>
      <t>C)</t>
    </r>
  </si>
  <si>
    <r>
      <t>cal(15</t>
    </r>
    <r>
      <rPr>
        <vertAlign val="superscript"/>
        <sz val="11"/>
        <color theme="1"/>
        <rFont val="Calibri"/>
        <family val="2"/>
        <scheme val="minor"/>
      </rPr>
      <t>o</t>
    </r>
    <r>
      <rPr>
        <sz val="11"/>
        <color theme="1"/>
        <rFont val="Calibri"/>
        <family val="2"/>
        <scheme val="minor"/>
      </rPr>
      <t>C)</t>
    </r>
  </si>
  <si>
    <r>
      <t>cal(20</t>
    </r>
    <r>
      <rPr>
        <vertAlign val="superscript"/>
        <sz val="11"/>
        <color theme="1"/>
        <rFont val="Calibri"/>
        <family val="2"/>
        <scheme val="minor"/>
      </rPr>
      <t>o</t>
    </r>
    <r>
      <rPr>
        <sz val="11"/>
        <color theme="1"/>
        <rFont val="Calibri"/>
        <family val="2"/>
        <scheme val="minor"/>
      </rPr>
      <t>C)</t>
    </r>
  </si>
  <si>
    <r>
      <t>cal(4</t>
    </r>
    <r>
      <rPr>
        <vertAlign val="superscript"/>
        <sz val="11"/>
        <color theme="1"/>
        <rFont val="Calibri"/>
        <family val="2"/>
        <scheme val="minor"/>
      </rPr>
      <t>o</t>
    </r>
    <r>
      <rPr>
        <sz val="11"/>
        <color theme="1"/>
        <rFont val="Calibri"/>
        <family val="2"/>
        <scheme val="minor"/>
      </rPr>
      <t>C)</t>
    </r>
  </si>
  <si>
    <t>cal(IT)</t>
  </si>
  <si>
    <t>cal(therm)</t>
  </si>
  <si>
    <r>
      <t>calorie(20</t>
    </r>
    <r>
      <rPr>
        <vertAlign val="superscript"/>
        <sz val="11"/>
        <color theme="1"/>
        <rFont val="Calibri"/>
        <family val="2"/>
        <scheme val="minor"/>
      </rPr>
      <t>o</t>
    </r>
    <r>
      <rPr>
        <sz val="11"/>
        <color theme="1"/>
        <rFont val="Calibri"/>
        <family val="2"/>
        <scheme val="minor"/>
      </rPr>
      <t>C)</t>
    </r>
  </si>
  <si>
    <r>
      <t>calorie(4</t>
    </r>
    <r>
      <rPr>
        <vertAlign val="superscript"/>
        <sz val="11"/>
        <color theme="1"/>
        <rFont val="Calibri"/>
        <family val="2"/>
        <scheme val="minor"/>
      </rPr>
      <t>o</t>
    </r>
    <r>
      <rPr>
        <sz val="11"/>
        <color theme="1"/>
        <rFont val="Calibri"/>
        <family val="2"/>
        <scheme val="minor"/>
      </rPr>
      <t>C)</t>
    </r>
  </si>
  <si>
    <t>calorie(IT)</t>
  </si>
  <si>
    <t>calorie(mean)</t>
  </si>
  <si>
    <t>calorie(therm)</t>
  </si>
  <si>
    <t>centigrade-heat-unit</t>
  </si>
  <si>
    <t>cthu, Cthu</t>
  </si>
  <si>
    <r>
      <t>chu(15</t>
    </r>
    <r>
      <rPr>
        <vertAlign val="superscript"/>
        <sz val="11"/>
        <color theme="1"/>
        <rFont val="Calibri"/>
        <family val="2"/>
        <scheme val="minor"/>
      </rPr>
      <t>o</t>
    </r>
    <r>
      <rPr>
        <sz val="11"/>
        <color theme="1"/>
        <rFont val="Calibri"/>
        <family val="2"/>
        <scheme val="minor"/>
      </rPr>
      <t>C)</t>
    </r>
  </si>
  <si>
    <t>dyne-centimeter</t>
  </si>
  <si>
    <t>dyn-cm</t>
  </si>
  <si>
    <t>foot-pound-force</t>
  </si>
  <si>
    <t>ft-lbf</t>
  </si>
  <si>
    <t>ft-pdl</t>
  </si>
  <si>
    <t>foot-poundal</t>
  </si>
  <si>
    <r>
      <t>kilocalorie(15</t>
    </r>
    <r>
      <rPr>
        <vertAlign val="superscript"/>
        <sz val="11"/>
        <color theme="1"/>
        <rFont val="Calibri"/>
        <family val="2"/>
        <scheme val="minor"/>
      </rPr>
      <t>o</t>
    </r>
    <r>
      <rPr>
        <sz val="11"/>
        <color theme="1"/>
        <rFont val="Calibri"/>
        <family val="2"/>
        <scheme val="minor"/>
      </rPr>
      <t>C)</t>
    </r>
  </si>
  <si>
    <r>
      <t>kcal(15</t>
    </r>
    <r>
      <rPr>
        <vertAlign val="superscript"/>
        <sz val="11"/>
        <color theme="1"/>
        <rFont val="Calibri"/>
        <family val="2"/>
        <scheme val="minor"/>
      </rPr>
      <t>o</t>
    </r>
    <r>
      <rPr>
        <sz val="11"/>
        <color theme="1"/>
        <rFont val="Calibri"/>
        <family val="2"/>
        <scheme val="minor"/>
      </rPr>
      <t>C)</t>
    </r>
  </si>
  <si>
    <r>
      <t>kcal(20</t>
    </r>
    <r>
      <rPr>
        <vertAlign val="superscript"/>
        <sz val="11"/>
        <color theme="1"/>
        <rFont val="Calibri"/>
        <family val="2"/>
        <scheme val="minor"/>
      </rPr>
      <t>o</t>
    </r>
    <r>
      <rPr>
        <sz val="11"/>
        <color theme="1"/>
        <rFont val="Calibri"/>
        <family val="2"/>
        <scheme val="minor"/>
      </rPr>
      <t>C)</t>
    </r>
  </si>
  <si>
    <r>
      <t>kcal(4</t>
    </r>
    <r>
      <rPr>
        <vertAlign val="superscript"/>
        <sz val="11"/>
        <color theme="1"/>
        <rFont val="Calibri"/>
        <family val="2"/>
        <scheme val="minor"/>
      </rPr>
      <t>o</t>
    </r>
    <r>
      <rPr>
        <sz val="11"/>
        <color theme="1"/>
        <rFont val="Calibri"/>
        <family val="2"/>
        <scheme val="minor"/>
      </rPr>
      <t>C)</t>
    </r>
  </si>
  <si>
    <t>kcal(IT)</t>
  </si>
  <si>
    <r>
      <t>kilocalorie(20</t>
    </r>
    <r>
      <rPr>
        <vertAlign val="superscript"/>
        <sz val="11"/>
        <color theme="1"/>
        <rFont val="Calibri"/>
        <family val="2"/>
        <scheme val="minor"/>
      </rPr>
      <t>o</t>
    </r>
    <r>
      <rPr>
        <sz val="11"/>
        <color theme="1"/>
        <rFont val="Calibri"/>
        <family val="2"/>
        <scheme val="minor"/>
      </rPr>
      <t>C)</t>
    </r>
  </si>
  <si>
    <r>
      <t>kilocalorie(4</t>
    </r>
    <r>
      <rPr>
        <vertAlign val="superscript"/>
        <sz val="11"/>
        <color theme="1"/>
        <rFont val="Calibri"/>
        <family val="2"/>
        <scheme val="minor"/>
      </rPr>
      <t>o</t>
    </r>
    <r>
      <rPr>
        <sz val="11"/>
        <color theme="1"/>
        <rFont val="Calibri"/>
        <family val="2"/>
        <scheme val="minor"/>
      </rPr>
      <t>C)</t>
    </r>
  </si>
  <si>
    <t>kilocalorie(IT)</t>
  </si>
  <si>
    <t>kilocalorie(mean)</t>
  </si>
  <si>
    <t>kilocalorie(therm)</t>
  </si>
  <si>
    <t>kcal(mean)</t>
  </si>
  <si>
    <t>kcal(therm)</t>
  </si>
  <si>
    <t>kilogram-calorie</t>
  </si>
  <si>
    <t>kgCal</t>
  </si>
  <si>
    <t>kilogram-force-meter</t>
  </si>
  <si>
    <t>kt(TNT)</t>
  </si>
  <si>
    <t>kilowatt-hour</t>
  </si>
  <si>
    <t>Mt(TNT)</t>
  </si>
  <si>
    <t>N-m</t>
  </si>
  <si>
    <t>newton-meter</t>
  </si>
  <si>
    <t>pound-centigrade-unit</t>
  </si>
  <si>
    <t>Q-unit</t>
  </si>
  <si>
    <t>quadrillion(Btu)</t>
  </si>
  <si>
    <r>
      <t>thermie(15</t>
    </r>
    <r>
      <rPr>
        <vertAlign val="superscript"/>
        <sz val="11"/>
        <color theme="1"/>
        <rFont val="Calibri"/>
        <family val="2"/>
        <scheme val="minor"/>
      </rPr>
      <t>o</t>
    </r>
    <r>
      <rPr>
        <sz val="11"/>
        <color theme="1"/>
        <rFont val="Calibri"/>
        <family val="2"/>
        <scheme val="minor"/>
      </rPr>
      <t>C)</t>
    </r>
  </si>
  <si>
    <r>
      <t>th(15</t>
    </r>
    <r>
      <rPr>
        <vertAlign val="superscript"/>
        <sz val="11"/>
        <color theme="1"/>
        <rFont val="Calibri"/>
        <family val="2"/>
        <scheme val="minor"/>
      </rPr>
      <t>o</t>
    </r>
    <r>
      <rPr>
        <sz val="11"/>
        <color theme="1"/>
        <rFont val="Calibri"/>
        <family val="2"/>
        <scheme val="minor"/>
      </rPr>
      <t>C)</t>
    </r>
  </si>
  <si>
    <t>tonne-coal-equivalent</t>
  </si>
  <si>
    <t>tonne-oil-equivalent</t>
  </si>
  <si>
    <t>heat-flux-unit</t>
  </si>
  <si>
    <t>thermal-ampere</t>
  </si>
  <si>
    <t>watt-per-per-kelvin</t>
  </si>
  <si>
    <t>watt-per-square-meter</t>
  </si>
  <si>
    <t>J/s-cm-K</t>
  </si>
  <si>
    <t>joule-per-second-per-centimeter-per-kelvin</t>
  </si>
  <si>
    <t>joule-per-second-per-meter-per-kelvin</t>
  </si>
  <si>
    <t>J/s-m-K</t>
  </si>
  <si>
    <r>
      <t>W/cm-</t>
    </r>
    <r>
      <rPr>
        <vertAlign val="superscript"/>
        <sz val="11"/>
        <color theme="1"/>
        <rFont val="Calibri"/>
        <family val="2"/>
        <scheme val="minor"/>
      </rPr>
      <t>o</t>
    </r>
    <r>
      <rPr>
        <sz val="11"/>
        <color theme="1"/>
        <rFont val="Calibri"/>
        <family val="2"/>
        <scheme val="minor"/>
      </rPr>
      <t>C</t>
    </r>
  </si>
  <si>
    <t>watt-per-centimeter-per-celsius-degree</t>
  </si>
  <si>
    <t>watt-per-centimeter-per-kelvin</t>
  </si>
  <si>
    <t>W/cm-K</t>
  </si>
  <si>
    <t>W/m-K</t>
  </si>
  <si>
    <t>watt-per-meter-per-kelvin</t>
  </si>
  <si>
    <t>dyne-per-centimeter</t>
  </si>
  <si>
    <t>erg-per-square-centimeter</t>
  </si>
  <si>
    <t>flux-unit</t>
  </si>
  <si>
    <t>joule-per-square-meter</t>
  </si>
  <si>
    <r>
      <t>Btu(IT)/</t>
    </r>
    <r>
      <rPr>
        <vertAlign val="superscript"/>
        <sz val="11"/>
        <color theme="1"/>
        <rFont val="Calibri"/>
        <family val="2"/>
        <scheme val="minor"/>
      </rPr>
      <t>o</t>
    </r>
    <r>
      <rPr>
        <sz val="11"/>
        <color theme="1"/>
        <rFont val="Calibri"/>
        <family val="2"/>
        <scheme val="minor"/>
      </rPr>
      <t>F</t>
    </r>
  </si>
  <si>
    <t>clausius(rank)</t>
  </si>
  <si>
    <t>coulomb(thermal)</t>
  </si>
  <si>
    <t>entropy-unit</t>
  </si>
  <si>
    <t>unit-of-entropy</t>
  </si>
  <si>
    <t>J/mol-K</t>
  </si>
  <si>
    <t>joule-per-mole-per-kelvin</t>
  </si>
  <si>
    <t>energy-factor(clothes-washers)</t>
  </si>
  <si>
    <t>gallon-per-hour-horsepower</t>
  </si>
  <si>
    <r>
      <t>Btu(IT)/lb-</t>
    </r>
    <r>
      <rPr>
        <vertAlign val="superscript"/>
        <sz val="11"/>
        <color theme="1"/>
        <rFont val="Calibri"/>
        <family val="2"/>
        <scheme val="minor"/>
      </rPr>
      <t>o</t>
    </r>
    <r>
      <rPr>
        <sz val="11"/>
        <color theme="1"/>
        <rFont val="Calibri"/>
        <family val="2"/>
        <scheme val="minor"/>
      </rPr>
      <t>F</t>
    </r>
  </si>
  <si>
    <r>
      <t>Btu(threm)/lb-</t>
    </r>
    <r>
      <rPr>
        <vertAlign val="superscript"/>
        <sz val="11"/>
        <color theme="1"/>
        <rFont val="Calibri"/>
        <family val="2"/>
        <scheme val="minor"/>
      </rPr>
      <t>o</t>
    </r>
    <r>
      <rPr>
        <sz val="11"/>
        <color theme="1"/>
        <rFont val="Calibri"/>
        <family val="2"/>
        <scheme val="minor"/>
      </rPr>
      <t>F</t>
    </r>
  </si>
  <si>
    <t>cal(therm)/g</t>
  </si>
  <si>
    <t>cal(therm)/kg</t>
  </si>
  <si>
    <t>cal(IT)/g</t>
  </si>
  <si>
    <t>cal(IT)/kg</t>
  </si>
  <si>
    <t>cal(mean)/g</t>
  </si>
  <si>
    <t>cal(mean)/kg</t>
  </si>
  <si>
    <r>
      <t>cal(15</t>
    </r>
    <r>
      <rPr>
        <vertAlign val="superscript"/>
        <sz val="11"/>
        <color theme="1"/>
        <rFont val="Calibri"/>
        <family val="2"/>
        <scheme val="minor"/>
      </rPr>
      <t>o</t>
    </r>
    <r>
      <rPr>
        <sz val="11"/>
        <color theme="1"/>
        <rFont val="Calibri"/>
        <family val="2"/>
        <scheme val="minor"/>
      </rPr>
      <t>C)/kg</t>
    </r>
  </si>
  <si>
    <r>
      <t>cal(15</t>
    </r>
    <r>
      <rPr>
        <vertAlign val="superscript"/>
        <sz val="11"/>
        <color theme="1"/>
        <rFont val="Calibri"/>
        <family val="2"/>
        <scheme val="minor"/>
      </rPr>
      <t>o</t>
    </r>
    <r>
      <rPr>
        <sz val="11"/>
        <color theme="1"/>
        <rFont val="Calibri"/>
        <family val="2"/>
        <scheme val="minor"/>
      </rPr>
      <t>C)/g</t>
    </r>
  </si>
  <si>
    <t>calorie(therm)-per-gram</t>
  </si>
  <si>
    <t>calorie(therm)-per-kilogram</t>
  </si>
  <si>
    <t>calorie(IT)-per-gram</t>
  </si>
  <si>
    <t>calorie(IT)-per-kilogram</t>
  </si>
  <si>
    <t>calorie(mean)-per-gram</t>
  </si>
  <si>
    <t>calorie(mean)-per-kilogram</t>
  </si>
  <si>
    <t>calorie-per-kilogram</t>
  </si>
  <si>
    <r>
      <t>calorie(15</t>
    </r>
    <r>
      <rPr>
        <vertAlign val="superscript"/>
        <sz val="11"/>
        <color theme="1"/>
        <rFont val="Calibri"/>
        <family val="2"/>
        <scheme val="minor"/>
      </rPr>
      <t>o</t>
    </r>
    <r>
      <rPr>
        <sz val="11"/>
        <color theme="1"/>
        <rFont val="Calibri"/>
        <family val="2"/>
        <scheme val="minor"/>
      </rPr>
      <t>C)-per-kilogram</t>
    </r>
  </si>
  <si>
    <r>
      <t>calorie(20</t>
    </r>
    <r>
      <rPr>
        <vertAlign val="superscript"/>
        <sz val="11"/>
        <color theme="1"/>
        <rFont val="Calibri"/>
        <family val="2"/>
        <scheme val="minor"/>
      </rPr>
      <t>o</t>
    </r>
    <r>
      <rPr>
        <sz val="11"/>
        <color theme="1"/>
        <rFont val="Calibri"/>
        <family val="2"/>
        <scheme val="minor"/>
      </rPr>
      <t>C)-per-kilogram</t>
    </r>
  </si>
  <si>
    <r>
      <t>calorie(4</t>
    </r>
    <r>
      <rPr>
        <vertAlign val="superscript"/>
        <sz val="11"/>
        <color theme="1"/>
        <rFont val="Calibri"/>
        <family val="2"/>
        <scheme val="minor"/>
      </rPr>
      <t>o</t>
    </r>
    <r>
      <rPr>
        <sz val="11"/>
        <color theme="1"/>
        <rFont val="Calibri"/>
        <family val="2"/>
        <scheme val="minor"/>
      </rPr>
      <t>C)-per-kilogram</t>
    </r>
  </si>
  <si>
    <t>calorie-per-gram</t>
  </si>
  <si>
    <r>
      <t>calorie(15</t>
    </r>
    <r>
      <rPr>
        <vertAlign val="superscript"/>
        <sz val="11"/>
        <color theme="1"/>
        <rFont val="Calibri"/>
        <family val="2"/>
        <scheme val="minor"/>
      </rPr>
      <t>o</t>
    </r>
    <r>
      <rPr>
        <sz val="11"/>
        <color theme="1"/>
        <rFont val="Calibri"/>
        <family val="2"/>
        <scheme val="minor"/>
      </rPr>
      <t>C)-per-gram</t>
    </r>
  </si>
  <si>
    <r>
      <t>calorie(20</t>
    </r>
    <r>
      <rPr>
        <vertAlign val="superscript"/>
        <sz val="11"/>
        <color theme="1"/>
        <rFont val="Calibri"/>
        <family val="2"/>
        <scheme val="minor"/>
      </rPr>
      <t>o</t>
    </r>
    <r>
      <rPr>
        <sz val="11"/>
        <color theme="1"/>
        <rFont val="Calibri"/>
        <family val="2"/>
        <scheme val="minor"/>
      </rPr>
      <t>C)-per-gram</t>
    </r>
  </si>
  <si>
    <r>
      <t>calorie(4</t>
    </r>
    <r>
      <rPr>
        <vertAlign val="superscript"/>
        <sz val="11"/>
        <color theme="1"/>
        <rFont val="Calibri"/>
        <family val="2"/>
        <scheme val="minor"/>
      </rPr>
      <t>o</t>
    </r>
    <r>
      <rPr>
        <sz val="11"/>
        <color theme="1"/>
        <rFont val="Calibri"/>
        <family val="2"/>
        <scheme val="minor"/>
      </rPr>
      <t>C)-per-gram</t>
    </r>
  </si>
  <si>
    <t>cycle-per-second</t>
  </si>
  <si>
    <t>per-annum</t>
  </si>
  <si>
    <t>per-diem</t>
  </si>
  <si>
    <t>reciprocal-second</t>
  </si>
  <si>
    <t>solar-neutrino-unit</t>
  </si>
  <si>
    <t>barrel-oil-per-stream-day</t>
  </si>
  <si>
    <t>barrel-oil-per-calendar-day</t>
  </si>
  <si>
    <t>cubic-foot-per-hour</t>
  </si>
  <si>
    <t>cubic-foot-per-minute</t>
  </si>
  <si>
    <t>cubic-foot-per-second</t>
  </si>
  <si>
    <t>cubic-meter-per-hour</t>
  </si>
  <si>
    <t>cubic-meter-per-minute</t>
  </si>
  <si>
    <t>cubic-meter-per-second</t>
  </si>
  <si>
    <t>gallon-per-hour</t>
  </si>
  <si>
    <t>gallon-per-minute</t>
  </si>
  <si>
    <t>gallon-per-second</t>
  </si>
  <si>
    <t>liter-per-hour</t>
  </si>
  <si>
    <t>liter-per-minute</t>
  </si>
  <si>
    <t>liter-per-second</t>
  </si>
  <si>
    <t>miners-inch(ID), miners-inch(KS), miners-inch(NK), miners-inch(SD), miners-inch(ND), miners-inch(NM), miners-inch(WA)</t>
  </si>
  <si>
    <t>miners-inch(NV), miners-inch(AZ), miners-inch(OR), miners-inch(MT)</t>
  </si>
  <si>
    <t>miners-inch(CO)</t>
  </si>
  <si>
    <t>miners-inch(NoCA)</t>
  </si>
  <si>
    <t>miners-inch(SoCA)</t>
  </si>
  <si>
    <t>musec(pump)</t>
  </si>
  <si>
    <t>cumec(pump)</t>
  </si>
  <si>
    <t>pouce-fontainier(1st-definition)</t>
  </si>
  <si>
    <t>pf1</t>
  </si>
  <si>
    <t>pouce-fontainier(standardized)</t>
  </si>
  <si>
    <t>pfs</t>
  </si>
  <si>
    <t>water-inch</t>
  </si>
  <si>
    <t>au-of-force</t>
  </si>
  <si>
    <t>ounce-force</t>
  </si>
  <si>
    <t>pound-force</t>
  </si>
  <si>
    <t>kilopound-force</t>
  </si>
  <si>
    <t>kipf, kip-force</t>
  </si>
  <si>
    <t>kilogram-force</t>
  </si>
  <si>
    <t>kilogram-weight</t>
  </si>
  <si>
    <t>kgw</t>
  </si>
  <si>
    <t>ton-force(metric)</t>
  </si>
  <si>
    <t>slug-force</t>
  </si>
  <si>
    <t>ton-force(long)</t>
  </si>
  <si>
    <t>ton-force(short)</t>
  </si>
  <si>
    <t>au-of-linear-momentum</t>
  </si>
  <si>
    <t>gramcentimeter-per-second</t>
  </si>
  <si>
    <t>newton-second</t>
  </si>
  <si>
    <t>au-of-action</t>
  </si>
  <si>
    <t>au-of-angular-momentum</t>
  </si>
  <si>
    <t>joule-second</t>
  </si>
  <si>
    <t>sumner-unit</t>
  </si>
  <si>
    <t>kilogram-per-second</t>
  </si>
  <si>
    <t>newton-per-meter</t>
  </si>
  <si>
    <t>bisquare-foot</t>
  </si>
  <si>
    <t>bisquare-inch</t>
  </si>
  <si>
    <t>bisquare-meter</t>
  </si>
  <si>
    <t>barrel-mile</t>
  </si>
  <si>
    <r>
      <t>bbl-mi,mi</t>
    </r>
    <r>
      <rPr>
        <vertAlign val="superscript"/>
        <sz val="11"/>
        <color theme="1"/>
        <rFont val="Calibri"/>
        <family val="2"/>
        <scheme val="minor"/>
      </rPr>
      <t>4</t>
    </r>
  </si>
  <si>
    <t>bougie-nouvelle</t>
  </si>
  <si>
    <t>hefner-unit</t>
  </si>
  <si>
    <t>bougie-decimale-inlemationale</t>
  </si>
  <si>
    <t>candle(new)</t>
  </si>
  <si>
    <t>bougie-decimale</t>
  </si>
  <si>
    <t>candle(int)</t>
  </si>
  <si>
    <t>candle(pentane)</t>
  </si>
  <si>
    <t>candlepower(spherical)</t>
  </si>
  <si>
    <t>candela-per-square-meter</t>
  </si>
  <si>
    <t>foot-lambert</t>
  </si>
  <si>
    <t>candela-per-square-foot</t>
  </si>
  <si>
    <r>
      <t>cd/ft</t>
    </r>
    <r>
      <rPr>
        <vertAlign val="superscript"/>
        <sz val="11"/>
        <color theme="1"/>
        <rFont val="Calibri"/>
        <family val="2"/>
        <scheme val="minor"/>
      </rPr>
      <t>2</t>
    </r>
  </si>
  <si>
    <t>foot-candle</t>
  </si>
  <si>
    <t>watt-per-steradian</t>
  </si>
  <si>
    <t>gigawatt-per-steradian</t>
  </si>
  <si>
    <t>megawatt-per-steradian</t>
  </si>
  <si>
    <t>kilowatt-per-steradian</t>
  </si>
  <si>
    <t>milliwatt-per-steradian</t>
  </si>
  <si>
    <t>microwatt-per-steradian</t>
  </si>
  <si>
    <t>chlorometric-degree</t>
  </si>
  <si>
    <t>amagat(atm)</t>
  </si>
  <si>
    <t>amagat(bar)</t>
  </si>
  <si>
    <t>mole-per-centicubic-decimeter</t>
  </si>
  <si>
    <t>mole-per-centicubic-meter</t>
  </si>
  <si>
    <t>mole-per-cubic-meter</t>
  </si>
  <si>
    <t>mole-per-liter</t>
  </si>
  <si>
    <t>mole-per-cubic-decimeter</t>
  </si>
  <si>
    <t>mole-per-cubic-centimeter</t>
  </si>
  <si>
    <t>mole-per-cubic-millimeter</t>
  </si>
  <si>
    <r>
      <t>mol/mm</t>
    </r>
    <r>
      <rPr>
        <vertAlign val="superscript"/>
        <sz val="11"/>
        <color theme="1"/>
        <rFont val="Calibri"/>
        <family val="2"/>
        <scheme val="minor"/>
      </rPr>
      <t>3</t>
    </r>
  </si>
  <si>
    <t>mole-per-cubic-yard</t>
  </si>
  <si>
    <r>
      <t>mol/yd</t>
    </r>
    <r>
      <rPr>
        <vertAlign val="superscript"/>
        <sz val="11"/>
        <color theme="1"/>
        <rFont val="Calibri"/>
        <family val="2"/>
        <scheme val="minor"/>
      </rPr>
      <t>3</t>
    </r>
  </si>
  <si>
    <t>mole-per-cubic-foot</t>
  </si>
  <si>
    <r>
      <t>mol/ft</t>
    </r>
    <r>
      <rPr>
        <vertAlign val="superscript"/>
        <sz val="11"/>
        <color theme="1"/>
        <rFont val="Calibri"/>
        <family val="2"/>
        <scheme val="minor"/>
      </rPr>
      <t>3</t>
    </r>
  </si>
  <si>
    <t>mole-per-cubic-in</t>
  </si>
  <si>
    <r>
      <t>mol/in</t>
    </r>
    <r>
      <rPr>
        <vertAlign val="superscript"/>
        <sz val="11"/>
        <color theme="1"/>
        <rFont val="Calibri"/>
        <family val="2"/>
        <scheme val="minor"/>
      </rPr>
      <t>3</t>
    </r>
  </si>
  <si>
    <t>mole-per-square-meter</t>
  </si>
  <si>
    <t>mole-per-square-centimeter</t>
  </si>
  <si>
    <t>mole-per-square-millimeter</t>
  </si>
  <si>
    <t>mole-per-square-yard</t>
  </si>
  <si>
    <t>mole-per-square-foot</t>
  </si>
  <si>
    <t>mole-per-square-inch</t>
  </si>
  <si>
    <t>cubic-meter-per-mole</t>
  </si>
  <si>
    <t>cubic-centimeter-per-mole</t>
  </si>
  <si>
    <t>cubic-millimeter-per-mole</t>
  </si>
  <si>
    <t>cubic-yard-per-mole</t>
  </si>
  <si>
    <t>cubic-foot-per-mole</t>
  </si>
  <si>
    <t>cubic-inch-per-mole</t>
  </si>
  <si>
    <r>
      <t>yd</t>
    </r>
    <r>
      <rPr>
        <vertAlign val="superscript"/>
        <sz val="11"/>
        <color theme="1"/>
        <rFont val="Calibri"/>
        <family val="2"/>
        <scheme val="minor"/>
      </rPr>
      <t>3</t>
    </r>
    <r>
      <rPr>
        <sz val="11"/>
        <color theme="1"/>
        <rFont val="Calibri"/>
        <family val="2"/>
        <scheme val="minor"/>
      </rPr>
      <t>/mol</t>
    </r>
  </si>
  <si>
    <r>
      <t>ft</t>
    </r>
    <r>
      <rPr>
        <vertAlign val="superscript"/>
        <sz val="11"/>
        <color theme="1"/>
        <rFont val="Calibri"/>
        <family val="2"/>
        <scheme val="minor"/>
      </rPr>
      <t>3</t>
    </r>
    <r>
      <rPr>
        <sz val="11"/>
        <color theme="1"/>
        <rFont val="Calibri"/>
        <family val="2"/>
        <scheme val="minor"/>
      </rPr>
      <t>/mol</t>
    </r>
  </si>
  <si>
    <r>
      <t>in</t>
    </r>
    <r>
      <rPr>
        <vertAlign val="superscript"/>
        <sz val="11"/>
        <color theme="1"/>
        <rFont val="Calibri"/>
        <family val="2"/>
        <scheme val="minor"/>
      </rPr>
      <t>3</t>
    </r>
    <r>
      <rPr>
        <sz val="11"/>
        <color theme="1"/>
        <rFont val="Calibri"/>
        <family val="2"/>
        <scheme val="minor"/>
      </rPr>
      <t>/mol</t>
    </r>
  </si>
  <si>
    <t>square-meter-per-mole</t>
  </si>
  <si>
    <t>square-centimeter-per-mole</t>
  </si>
  <si>
    <t>square-millimeter-per-mole</t>
  </si>
  <si>
    <t>square-yard-per-mole</t>
  </si>
  <si>
    <t>square-foot-per-mole</t>
  </si>
  <si>
    <t>square-inch-per-mole</t>
  </si>
  <si>
    <t>G-vaIue(old)</t>
  </si>
  <si>
    <t>pound-mole</t>
  </si>
  <si>
    <t>standard-cubic-meter(bar)</t>
  </si>
  <si>
    <t>standard-cubic-meter-(atm)</t>
  </si>
  <si>
    <r>
      <t>SCM(atm), m</t>
    </r>
    <r>
      <rPr>
        <vertAlign val="superscript"/>
        <sz val="11"/>
        <color theme="1"/>
        <rFont val="Calibri"/>
        <family val="2"/>
        <scheme val="minor"/>
      </rPr>
      <t>3</t>
    </r>
    <r>
      <rPr>
        <sz val="11"/>
        <color theme="1"/>
        <rFont val="Calibri"/>
        <family val="2"/>
        <scheme val="minor"/>
      </rPr>
      <t>(STP-atm)</t>
    </r>
  </si>
  <si>
    <r>
      <t>SCM(bar), m</t>
    </r>
    <r>
      <rPr>
        <vertAlign val="superscript"/>
        <sz val="11"/>
        <color theme="1"/>
        <rFont val="Calibri"/>
        <family val="2"/>
        <scheme val="minor"/>
      </rPr>
      <t>3</t>
    </r>
    <r>
      <rPr>
        <sz val="11"/>
        <color theme="1"/>
        <rFont val="Calibri"/>
        <family val="2"/>
        <scheme val="minor"/>
      </rPr>
      <t>(STP-bar)</t>
    </r>
  </si>
  <si>
    <t>international-unit</t>
  </si>
  <si>
    <r>
      <t>faraday(</t>
    </r>
    <r>
      <rPr>
        <vertAlign val="superscript"/>
        <sz val="11"/>
        <color theme="1"/>
        <rFont val="Calibri"/>
        <family val="2"/>
        <scheme val="minor"/>
      </rPr>
      <t>12</t>
    </r>
    <r>
      <rPr>
        <sz val="11"/>
        <color theme="1"/>
        <rFont val="Calibri"/>
        <family val="2"/>
        <scheme val="minor"/>
      </rPr>
      <t>C)</t>
    </r>
  </si>
  <si>
    <r>
      <t>F(</t>
    </r>
    <r>
      <rPr>
        <vertAlign val="superscript"/>
        <sz val="11"/>
        <color theme="1"/>
        <rFont val="Calibri"/>
        <family val="2"/>
        <scheme val="minor"/>
      </rPr>
      <t>12</t>
    </r>
    <r>
      <rPr>
        <sz val="11"/>
        <color theme="1"/>
        <rFont val="Calibri"/>
        <family val="2"/>
        <scheme val="minor"/>
      </rPr>
      <t>C)</t>
    </r>
  </si>
  <si>
    <t>faraday(chemical)</t>
  </si>
  <si>
    <t>faraday(physical)</t>
  </si>
  <si>
    <t>F(chemical)</t>
  </si>
  <si>
    <t>F(physical)</t>
  </si>
  <si>
    <r>
      <t>SCF, ft</t>
    </r>
    <r>
      <rPr>
        <vertAlign val="superscript"/>
        <sz val="11"/>
        <color theme="1"/>
        <rFont val="Calibri"/>
        <family val="2"/>
        <scheme val="minor"/>
      </rPr>
      <t>3</t>
    </r>
    <r>
      <rPr>
        <sz val="11"/>
        <color theme="1"/>
        <rFont val="Calibri"/>
        <family val="2"/>
        <scheme val="minor"/>
      </rPr>
      <t>(60</t>
    </r>
    <r>
      <rPr>
        <vertAlign val="superscript"/>
        <sz val="11"/>
        <color theme="1"/>
        <rFont val="Calibri"/>
        <family val="2"/>
        <scheme val="minor"/>
      </rPr>
      <t>o</t>
    </r>
    <r>
      <rPr>
        <sz val="11"/>
        <color theme="1"/>
        <rFont val="Calibri"/>
        <family val="2"/>
        <scheme val="minor"/>
      </rPr>
      <t>F-atm)</t>
    </r>
  </si>
  <si>
    <t>emu-of-power</t>
  </si>
  <si>
    <t>erg-per-second</t>
  </si>
  <si>
    <t>foot-pound-force-per-hour</t>
  </si>
  <si>
    <t>emuW</t>
  </si>
  <si>
    <t>ft-lbf/min</t>
  </si>
  <si>
    <r>
      <t>atm-ft</t>
    </r>
    <r>
      <rPr>
        <vertAlign val="superscript"/>
        <sz val="11"/>
        <color theme="1"/>
        <rFont val="Calibri"/>
        <family val="2"/>
        <scheme val="minor"/>
      </rPr>
      <t>3</t>
    </r>
    <r>
      <rPr>
        <sz val="11"/>
        <color theme="1"/>
        <rFont val="Calibri"/>
        <family val="2"/>
        <scheme val="minor"/>
      </rPr>
      <t>/min</t>
    </r>
  </si>
  <si>
    <t>foot-pound-force-per-minute</t>
  </si>
  <si>
    <t>foot-pound-force-per-second</t>
  </si>
  <si>
    <t>foot-poundal-per-second</t>
  </si>
  <si>
    <t>atmosphere-cubic-foot-per-hour</t>
  </si>
  <si>
    <t>atmosphere-cubic-foot-per-minute</t>
  </si>
  <si>
    <t>Btu(mean)/hr</t>
  </si>
  <si>
    <t>Btu(mean)/min</t>
  </si>
  <si>
    <t>Btu(ISO)/hr</t>
  </si>
  <si>
    <t>Btu(ISO)/min</t>
  </si>
  <si>
    <t>Btu(ISO)/sec</t>
  </si>
  <si>
    <r>
      <t>Btu(39</t>
    </r>
    <r>
      <rPr>
        <vertAlign val="superscript"/>
        <sz val="11"/>
        <color theme="1"/>
        <rFont val="Calibri"/>
        <family val="2"/>
        <scheme val="minor"/>
      </rPr>
      <t>o</t>
    </r>
    <r>
      <rPr>
        <sz val="11"/>
        <color theme="1"/>
        <rFont val="Calibri"/>
        <family val="2"/>
        <scheme val="minor"/>
      </rPr>
      <t>F)/hr</t>
    </r>
  </si>
  <si>
    <r>
      <t>Btu(39</t>
    </r>
    <r>
      <rPr>
        <vertAlign val="superscript"/>
        <sz val="11"/>
        <color theme="1"/>
        <rFont val="Calibri"/>
        <family val="2"/>
        <scheme val="minor"/>
      </rPr>
      <t>o</t>
    </r>
    <r>
      <rPr>
        <sz val="11"/>
        <color theme="1"/>
        <rFont val="Calibri"/>
        <family val="2"/>
        <scheme val="minor"/>
      </rPr>
      <t>F)/min</t>
    </r>
  </si>
  <si>
    <r>
      <t>Btu(39</t>
    </r>
    <r>
      <rPr>
        <vertAlign val="superscript"/>
        <sz val="11"/>
        <color theme="1"/>
        <rFont val="Calibri"/>
        <family val="2"/>
        <scheme val="minor"/>
      </rPr>
      <t>o</t>
    </r>
    <r>
      <rPr>
        <sz val="11"/>
        <color theme="1"/>
        <rFont val="Calibri"/>
        <family val="2"/>
        <scheme val="minor"/>
      </rPr>
      <t>F)/sec</t>
    </r>
  </si>
  <si>
    <r>
      <t>Btu(60</t>
    </r>
    <r>
      <rPr>
        <vertAlign val="superscript"/>
        <sz val="11"/>
        <color theme="1"/>
        <rFont val="Calibri"/>
        <family val="2"/>
        <scheme val="minor"/>
      </rPr>
      <t>o</t>
    </r>
    <r>
      <rPr>
        <sz val="11"/>
        <color theme="1"/>
        <rFont val="Calibri"/>
        <family val="2"/>
        <scheme val="minor"/>
      </rPr>
      <t>F)/min</t>
    </r>
  </si>
  <si>
    <r>
      <t>Btu(60</t>
    </r>
    <r>
      <rPr>
        <vertAlign val="superscript"/>
        <sz val="11"/>
        <color theme="1"/>
        <rFont val="Calibri"/>
        <family val="2"/>
        <scheme val="minor"/>
      </rPr>
      <t>o</t>
    </r>
    <r>
      <rPr>
        <sz val="11"/>
        <color theme="1"/>
        <rFont val="Calibri"/>
        <family val="2"/>
        <scheme val="minor"/>
      </rPr>
      <t>F)/hr</t>
    </r>
  </si>
  <si>
    <r>
      <t>Btu(60</t>
    </r>
    <r>
      <rPr>
        <vertAlign val="superscript"/>
        <sz val="11"/>
        <color theme="1"/>
        <rFont val="Calibri"/>
        <family val="2"/>
        <scheme val="minor"/>
      </rPr>
      <t>o</t>
    </r>
    <r>
      <rPr>
        <sz val="11"/>
        <color theme="1"/>
        <rFont val="Calibri"/>
        <family val="2"/>
        <scheme val="minor"/>
      </rPr>
      <t>F)/sec</t>
    </r>
  </si>
  <si>
    <t>Btu(IT)/hr</t>
  </si>
  <si>
    <t>ft-lbf/hr</t>
  </si>
  <si>
    <t>erg/sec</t>
  </si>
  <si>
    <t>ft-lbf/sec</t>
  </si>
  <si>
    <t>ft-pdl/sec</t>
  </si>
  <si>
    <r>
      <t>atm-ft</t>
    </r>
    <r>
      <rPr>
        <vertAlign val="superscript"/>
        <sz val="11"/>
        <color theme="1"/>
        <rFont val="Calibri"/>
        <family val="2"/>
        <scheme val="minor"/>
      </rPr>
      <t>3</t>
    </r>
    <r>
      <rPr>
        <sz val="11"/>
        <color theme="1"/>
        <rFont val="Calibri"/>
        <family val="2"/>
        <scheme val="minor"/>
      </rPr>
      <t>/hr</t>
    </r>
  </si>
  <si>
    <t>Btu(mean)/sec</t>
  </si>
  <si>
    <t>Btu(threm)/hr</t>
  </si>
  <si>
    <t>Btu(IT)/sec</t>
  </si>
  <si>
    <t>Btu(IT)/min</t>
  </si>
  <si>
    <t>Btu(therm)/min</t>
  </si>
  <si>
    <t>Btu(therm)/sec</t>
  </si>
  <si>
    <r>
      <t>atm-m</t>
    </r>
    <r>
      <rPr>
        <vertAlign val="superscript"/>
        <sz val="11"/>
        <color theme="1"/>
        <rFont val="Calibri"/>
        <family val="2"/>
        <scheme val="minor"/>
      </rPr>
      <t>3</t>
    </r>
    <r>
      <rPr>
        <sz val="11"/>
        <color theme="1"/>
        <rFont val="Calibri"/>
        <family val="2"/>
        <scheme val="minor"/>
      </rPr>
      <t>/hr</t>
    </r>
  </si>
  <si>
    <t>atmosphere-cubic-meter-per-hour</t>
  </si>
  <si>
    <r>
      <t>atm-m</t>
    </r>
    <r>
      <rPr>
        <vertAlign val="superscript"/>
        <sz val="11"/>
        <color theme="1"/>
        <rFont val="Calibri"/>
        <family val="2"/>
        <scheme val="minor"/>
      </rPr>
      <t>3</t>
    </r>
    <r>
      <rPr>
        <sz val="11"/>
        <color theme="1"/>
        <rFont val="Calibri"/>
        <family val="2"/>
        <scheme val="minor"/>
      </rPr>
      <t>/min, acmm</t>
    </r>
  </si>
  <si>
    <t>atmosphere-cubic-meter-per-min</t>
  </si>
  <si>
    <r>
      <t>atm-m</t>
    </r>
    <r>
      <rPr>
        <vertAlign val="superscript"/>
        <sz val="11"/>
        <color theme="1"/>
        <rFont val="Calibri"/>
        <family val="2"/>
        <scheme val="minor"/>
      </rPr>
      <t>3</t>
    </r>
    <r>
      <rPr>
        <sz val="11"/>
        <color theme="1"/>
        <rFont val="Calibri"/>
        <family val="2"/>
        <scheme val="minor"/>
      </rPr>
      <t>/sec, acms</t>
    </r>
  </si>
  <si>
    <t>atmosphere-cubic-meter-per-second</t>
  </si>
  <si>
    <t>atmosphere-liter-per-hour</t>
  </si>
  <si>
    <r>
      <t>atm-dm</t>
    </r>
    <r>
      <rPr>
        <vertAlign val="superscript"/>
        <sz val="11"/>
        <color theme="1"/>
        <rFont val="Calibri"/>
        <family val="2"/>
        <scheme val="minor"/>
      </rPr>
      <t>3</t>
    </r>
    <r>
      <rPr>
        <sz val="11"/>
        <color theme="1"/>
        <rFont val="Calibri"/>
        <family val="2"/>
        <scheme val="minor"/>
      </rPr>
      <t>/min, atm-lpm</t>
    </r>
  </si>
  <si>
    <t>atmosphere-liter-per-minute</t>
  </si>
  <si>
    <r>
      <t>atm-dm</t>
    </r>
    <r>
      <rPr>
        <vertAlign val="superscript"/>
        <sz val="11"/>
        <color theme="1"/>
        <rFont val="Calibri"/>
        <family val="2"/>
        <scheme val="minor"/>
      </rPr>
      <t>3</t>
    </r>
    <r>
      <rPr>
        <sz val="11"/>
        <color theme="1"/>
        <rFont val="Calibri"/>
        <family val="2"/>
        <scheme val="minor"/>
      </rPr>
      <t>/sec, atm-lps</t>
    </r>
  </si>
  <si>
    <r>
      <t>atm-dm</t>
    </r>
    <r>
      <rPr>
        <vertAlign val="superscript"/>
        <sz val="11"/>
        <color theme="1"/>
        <rFont val="Calibri"/>
        <family val="2"/>
        <scheme val="minor"/>
      </rPr>
      <t>3</t>
    </r>
    <r>
      <rPr>
        <sz val="11"/>
        <color theme="1"/>
        <rFont val="Calibri"/>
        <family val="2"/>
        <scheme val="minor"/>
      </rPr>
      <t>/hr, atm-lph</t>
    </r>
  </si>
  <si>
    <t>atmosphere-liter-per-second</t>
  </si>
  <si>
    <t>cheval-vapeur(old)</t>
  </si>
  <si>
    <t>cv(old)</t>
  </si>
  <si>
    <t>kgfm/sec</t>
  </si>
  <si>
    <t>volt-ampere-reactive</t>
  </si>
  <si>
    <t>kilogram-force-meter-per-second</t>
  </si>
  <si>
    <t>calorie(IT)-per-hour</t>
  </si>
  <si>
    <t>cal(IT)/hr</t>
  </si>
  <si>
    <t>cal(IT)/min</t>
  </si>
  <si>
    <t>cal(IT)/sec</t>
  </si>
  <si>
    <t>cal(therm)/hr</t>
  </si>
  <si>
    <t>cal(threm)/min</t>
  </si>
  <si>
    <t>cal(therm)/sec</t>
  </si>
  <si>
    <t>calorie(IT)-per-minute</t>
  </si>
  <si>
    <t>calorie(IT)-per-second</t>
  </si>
  <si>
    <t>calorie(therm)-per-hour</t>
  </si>
  <si>
    <t>calorie(therm)-per-minute</t>
  </si>
  <si>
    <t>calorie(therm)-per-secomd</t>
  </si>
  <si>
    <r>
      <t>calorie(15</t>
    </r>
    <r>
      <rPr>
        <vertAlign val="superscript"/>
        <sz val="11"/>
        <color theme="1"/>
        <rFont val="Calibri"/>
        <family val="2"/>
        <scheme val="minor"/>
      </rPr>
      <t>o</t>
    </r>
    <r>
      <rPr>
        <sz val="11"/>
        <color theme="1"/>
        <rFont val="Calibri"/>
        <family val="2"/>
        <scheme val="minor"/>
      </rPr>
      <t>C)-per-hour</t>
    </r>
  </si>
  <si>
    <r>
      <t>cal(15</t>
    </r>
    <r>
      <rPr>
        <vertAlign val="superscript"/>
        <sz val="11"/>
        <color theme="1"/>
        <rFont val="Calibri"/>
        <family val="2"/>
        <scheme val="minor"/>
      </rPr>
      <t>o</t>
    </r>
    <r>
      <rPr>
        <sz val="11"/>
        <color theme="1"/>
        <rFont val="Calibri"/>
        <family val="2"/>
        <scheme val="minor"/>
      </rPr>
      <t>C)/hr</t>
    </r>
  </si>
  <si>
    <r>
      <t>cal(15</t>
    </r>
    <r>
      <rPr>
        <vertAlign val="superscript"/>
        <sz val="11"/>
        <color theme="1"/>
        <rFont val="Calibri"/>
        <family val="2"/>
        <scheme val="minor"/>
      </rPr>
      <t>o</t>
    </r>
    <r>
      <rPr>
        <sz val="11"/>
        <color theme="1"/>
        <rFont val="Calibri"/>
        <family val="2"/>
        <scheme val="minor"/>
      </rPr>
      <t>C)/sec</t>
    </r>
  </si>
  <si>
    <r>
      <t>calorie(15</t>
    </r>
    <r>
      <rPr>
        <vertAlign val="superscript"/>
        <sz val="11"/>
        <color theme="1"/>
        <rFont val="Calibri"/>
        <family val="2"/>
        <scheme val="minor"/>
      </rPr>
      <t>o</t>
    </r>
    <r>
      <rPr>
        <sz val="11"/>
        <color theme="1"/>
        <rFont val="Calibri"/>
        <family val="2"/>
        <scheme val="minor"/>
      </rPr>
      <t>C)-per-minute</t>
    </r>
  </si>
  <si>
    <r>
      <t>calorie(15</t>
    </r>
    <r>
      <rPr>
        <vertAlign val="superscript"/>
        <sz val="11"/>
        <color theme="1"/>
        <rFont val="Calibri"/>
        <family val="2"/>
        <scheme val="minor"/>
      </rPr>
      <t>o</t>
    </r>
    <r>
      <rPr>
        <sz val="11"/>
        <color theme="1"/>
        <rFont val="Calibri"/>
        <family val="2"/>
        <scheme val="minor"/>
      </rPr>
      <t>C)-per-second</t>
    </r>
  </si>
  <si>
    <r>
      <t>calorie(4</t>
    </r>
    <r>
      <rPr>
        <vertAlign val="superscript"/>
        <sz val="11"/>
        <color theme="1"/>
        <rFont val="Calibri"/>
        <family val="2"/>
        <scheme val="minor"/>
      </rPr>
      <t>o</t>
    </r>
    <r>
      <rPr>
        <sz val="11"/>
        <color theme="1"/>
        <rFont val="Calibri"/>
        <family val="2"/>
        <scheme val="minor"/>
      </rPr>
      <t>C)-per-hour</t>
    </r>
  </si>
  <si>
    <r>
      <t>cal(4</t>
    </r>
    <r>
      <rPr>
        <vertAlign val="superscript"/>
        <sz val="11"/>
        <color theme="1"/>
        <rFont val="Calibri"/>
        <family val="2"/>
        <scheme val="minor"/>
      </rPr>
      <t>o</t>
    </r>
    <r>
      <rPr>
        <sz val="11"/>
        <color theme="1"/>
        <rFont val="Calibri"/>
        <family val="2"/>
        <scheme val="minor"/>
      </rPr>
      <t>C)/hr</t>
    </r>
  </si>
  <si>
    <r>
      <t>cal(4</t>
    </r>
    <r>
      <rPr>
        <vertAlign val="superscript"/>
        <sz val="11"/>
        <color theme="1"/>
        <rFont val="Calibri"/>
        <family val="2"/>
        <scheme val="minor"/>
      </rPr>
      <t>o</t>
    </r>
    <r>
      <rPr>
        <sz val="11"/>
        <color theme="1"/>
        <rFont val="Calibri"/>
        <family val="2"/>
        <scheme val="minor"/>
      </rPr>
      <t>C)/min</t>
    </r>
  </si>
  <si>
    <r>
      <t>calorie(4</t>
    </r>
    <r>
      <rPr>
        <vertAlign val="superscript"/>
        <sz val="11"/>
        <color theme="1"/>
        <rFont val="Calibri"/>
        <family val="2"/>
        <scheme val="minor"/>
      </rPr>
      <t>o</t>
    </r>
    <r>
      <rPr>
        <sz val="11"/>
        <color theme="1"/>
        <rFont val="Calibri"/>
        <family val="2"/>
        <scheme val="minor"/>
      </rPr>
      <t>C)-per-minute</t>
    </r>
  </si>
  <si>
    <r>
      <t>calorie(4</t>
    </r>
    <r>
      <rPr>
        <vertAlign val="superscript"/>
        <sz val="11"/>
        <color theme="1"/>
        <rFont val="Calibri"/>
        <family val="2"/>
        <scheme val="minor"/>
      </rPr>
      <t>o</t>
    </r>
    <r>
      <rPr>
        <sz val="11"/>
        <color theme="1"/>
        <rFont val="Calibri"/>
        <family val="2"/>
        <scheme val="minor"/>
      </rPr>
      <t>C)-per-second</t>
    </r>
  </si>
  <si>
    <r>
      <t>cal(4</t>
    </r>
    <r>
      <rPr>
        <vertAlign val="superscript"/>
        <sz val="11"/>
        <color theme="1"/>
        <rFont val="Calibri"/>
        <family val="2"/>
        <scheme val="minor"/>
      </rPr>
      <t>o</t>
    </r>
    <r>
      <rPr>
        <sz val="11"/>
        <color theme="1"/>
        <rFont val="Calibri"/>
        <family val="2"/>
        <scheme val="minor"/>
      </rPr>
      <t>C)/sec</t>
    </r>
  </si>
  <si>
    <t>cal(mean)/hr</t>
  </si>
  <si>
    <t>cal(mean)/min</t>
  </si>
  <si>
    <t>cal(mean)/sec</t>
  </si>
  <si>
    <t>calorie(mean)-per-hour</t>
  </si>
  <si>
    <t>calorie(mean)-per-minute</t>
  </si>
  <si>
    <t>calorie(mean)-per-second</t>
  </si>
  <si>
    <t>HP(old)</t>
  </si>
  <si>
    <t>horsepower(old)</t>
  </si>
  <si>
    <t>volt-ampere</t>
  </si>
  <si>
    <t>air-watt</t>
  </si>
  <si>
    <t>horsepower(boiler)</t>
  </si>
  <si>
    <t>HP(bolier), hp(boiler)</t>
  </si>
  <si>
    <t>HP(electric), hp(electric)</t>
  </si>
  <si>
    <t>horsepower(electric)</t>
  </si>
  <si>
    <t>horsepower(metric)</t>
  </si>
  <si>
    <t>HP(metric), hp(metric)</t>
  </si>
  <si>
    <t>HP(water), hp(water)</t>
  </si>
  <si>
    <t>horsepower(water)</t>
  </si>
  <si>
    <t>W(mean)</t>
  </si>
  <si>
    <t>watt(mean)</t>
  </si>
  <si>
    <t>sec-lon</t>
  </si>
  <si>
    <t>rad/day</t>
  </si>
  <si>
    <t>rad/sec</t>
  </si>
  <si>
    <t>rps, rev/sec</t>
  </si>
  <si>
    <t>tr/sec</t>
  </si>
  <si>
    <t>gon/sec</t>
  </si>
  <si>
    <r>
      <t>rad/sec</t>
    </r>
    <r>
      <rPr>
        <vertAlign val="superscript"/>
        <sz val="11"/>
        <color theme="1"/>
        <rFont val="Calibri"/>
        <family val="2"/>
        <scheme val="minor"/>
      </rPr>
      <t>2</t>
    </r>
  </si>
  <si>
    <r>
      <t>deg/sec</t>
    </r>
    <r>
      <rPr>
        <vertAlign val="superscript"/>
        <sz val="11"/>
        <color theme="1"/>
        <rFont val="Calibri"/>
        <family val="2"/>
        <scheme val="minor"/>
      </rPr>
      <t>2</t>
    </r>
  </si>
  <si>
    <r>
      <t>g-m</t>
    </r>
    <r>
      <rPr>
        <vertAlign val="superscript"/>
        <sz val="11"/>
        <color rgb="FF000000"/>
        <rFont val="Calibri"/>
        <family val="2"/>
      </rPr>
      <t>2</t>
    </r>
  </si>
  <si>
    <t>A-hr</t>
  </si>
  <si>
    <r>
      <t>F/hr</t>
    </r>
    <r>
      <rPr>
        <vertAlign val="superscript"/>
        <sz val="11"/>
        <color theme="1"/>
        <rFont val="Calibri"/>
        <family val="2"/>
        <scheme val="minor"/>
      </rPr>
      <t>2</t>
    </r>
  </si>
  <si>
    <r>
      <t>F/day</t>
    </r>
    <r>
      <rPr>
        <vertAlign val="superscript"/>
        <sz val="11"/>
        <color theme="1"/>
        <rFont val="Calibri"/>
        <family val="2"/>
        <scheme val="minor"/>
      </rPr>
      <t>2</t>
    </r>
  </si>
  <si>
    <r>
      <t>F/yr</t>
    </r>
    <r>
      <rPr>
        <vertAlign val="superscript"/>
        <sz val="11"/>
        <color theme="1"/>
        <rFont val="Calibri"/>
        <family val="2"/>
        <scheme val="minor"/>
      </rPr>
      <t>2</t>
    </r>
  </si>
  <si>
    <r>
      <t>H/sec</t>
    </r>
    <r>
      <rPr>
        <vertAlign val="superscript"/>
        <sz val="11"/>
        <color theme="1"/>
        <rFont val="Calibri"/>
        <family val="2"/>
        <scheme val="minor"/>
      </rPr>
      <t>2</t>
    </r>
  </si>
  <si>
    <r>
      <t>H/hr</t>
    </r>
    <r>
      <rPr>
        <vertAlign val="superscript"/>
        <sz val="11"/>
        <color theme="1"/>
        <rFont val="Calibri"/>
        <family val="2"/>
        <scheme val="minor"/>
      </rPr>
      <t>2</t>
    </r>
  </si>
  <si>
    <r>
      <t>H/day</t>
    </r>
    <r>
      <rPr>
        <vertAlign val="superscript"/>
        <sz val="11"/>
        <color theme="1"/>
        <rFont val="Calibri"/>
        <family val="2"/>
        <scheme val="minor"/>
      </rPr>
      <t>2</t>
    </r>
  </si>
  <si>
    <r>
      <t>H/yr</t>
    </r>
    <r>
      <rPr>
        <vertAlign val="superscript"/>
        <sz val="11"/>
        <color theme="1"/>
        <rFont val="Calibri"/>
        <family val="2"/>
        <scheme val="minor"/>
      </rPr>
      <t>2</t>
    </r>
  </si>
  <si>
    <t>kWhr</t>
  </si>
  <si>
    <t>Btu(IT)/hr-ft</t>
  </si>
  <si>
    <r>
      <t>Btu(therm)/hr-ft</t>
    </r>
    <r>
      <rPr>
        <vertAlign val="superscript"/>
        <sz val="11"/>
        <color theme="1"/>
        <rFont val="Calibri"/>
        <family val="2"/>
        <scheme val="minor"/>
      </rPr>
      <t>2</t>
    </r>
  </si>
  <si>
    <r>
      <t>Btu(IT)/hr-ft</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o</t>
    </r>
    <r>
      <rPr>
        <sz val="11"/>
        <color theme="1"/>
        <rFont val="Calibri"/>
        <family val="2"/>
        <scheme val="minor"/>
      </rPr>
      <t>F</t>
    </r>
  </si>
  <si>
    <r>
      <t>Btu(therm)/hr-ft</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o</t>
    </r>
    <r>
      <rPr>
        <sz val="11"/>
        <color theme="1"/>
        <rFont val="Calibri"/>
        <family val="2"/>
        <scheme val="minor"/>
      </rPr>
      <t>F</t>
    </r>
  </si>
  <si>
    <r>
      <t>Btu(IT)-in/hr-ft</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o</t>
    </r>
    <r>
      <rPr>
        <sz val="11"/>
        <color theme="1"/>
        <rFont val="Calibri"/>
        <family val="2"/>
        <scheme val="minor"/>
      </rPr>
      <t>F</t>
    </r>
  </si>
  <si>
    <r>
      <t>Btu(IT)-in/sec-ft</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o</t>
    </r>
    <r>
      <rPr>
        <sz val="11"/>
        <color theme="1"/>
        <rFont val="Calibri"/>
        <family val="2"/>
        <scheme val="minor"/>
      </rPr>
      <t>F</t>
    </r>
  </si>
  <si>
    <r>
      <t>Btu(IT)/hr-ft-</t>
    </r>
    <r>
      <rPr>
        <vertAlign val="superscript"/>
        <sz val="11"/>
        <color theme="1"/>
        <rFont val="Calibri"/>
        <family val="2"/>
        <scheme val="minor"/>
      </rPr>
      <t>o</t>
    </r>
    <r>
      <rPr>
        <sz val="11"/>
        <color theme="1"/>
        <rFont val="Calibri"/>
        <family val="2"/>
        <scheme val="minor"/>
      </rPr>
      <t>F</t>
    </r>
  </si>
  <si>
    <r>
      <t>Btu(IT)/hr-in-</t>
    </r>
    <r>
      <rPr>
        <vertAlign val="superscript"/>
        <sz val="11"/>
        <color theme="1"/>
        <rFont val="Calibri"/>
        <family val="2"/>
        <scheme val="minor"/>
      </rPr>
      <t>o</t>
    </r>
    <r>
      <rPr>
        <sz val="11"/>
        <color theme="1"/>
        <rFont val="Calibri"/>
        <family val="2"/>
        <scheme val="minor"/>
      </rPr>
      <t>F</t>
    </r>
  </si>
  <si>
    <r>
      <t>Btu(therm)-in/hr-ft</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o</t>
    </r>
    <r>
      <rPr>
        <sz val="11"/>
        <color theme="1"/>
        <rFont val="Calibri"/>
        <family val="2"/>
        <scheme val="minor"/>
      </rPr>
      <t>F</t>
    </r>
  </si>
  <si>
    <r>
      <t>Btu(therm)-in/sec-ft</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o</t>
    </r>
    <r>
      <rPr>
        <sz val="11"/>
        <color theme="1"/>
        <rFont val="Calibri"/>
        <family val="2"/>
        <scheme val="minor"/>
      </rPr>
      <t>F</t>
    </r>
  </si>
  <si>
    <r>
      <t>Btu(term)/ft-hr-</t>
    </r>
    <r>
      <rPr>
        <vertAlign val="superscript"/>
        <sz val="11"/>
        <color theme="1"/>
        <rFont val="Calibri"/>
        <family val="2"/>
        <scheme val="minor"/>
      </rPr>
      <t>o</t>
    </r>
    <r>
      <rPr>
        <sz val="11"/>
        <color theme="1"/>
        <rFont val="Calibri"/>
        <family val="2"/>
        <scheme val="minor"/>
      </rPr>
      <t>F</t>
    </r>
  </si>
  <si>
    <r>
      <t>Btu(term)/in-hr-</t>
    </r>
    <r>
      <rPr>
        <vertAlign val="superscript"/>
        <sz val="11"/>
        <color theme="1"/>
        <rFont val="Calibri"/>
        <family val="2"/>
        <scheme val="minor"/>
      </rPr>
      <t>o</t>
    </r>
    <r>
      <rPr>
        <sz val="11"/>
        <color theme="1"/>
        <rFont val="Calibri"/>
        <family val="2"/>
        <scheme val="minor"/>
      </rPr>
      <t>F</t>
    </r>
  </si>
  <si>
    <r>
      <t>cal(IT)/cm-sec-</t>
    </r>
    <r>
      <rPr>
        <vertAlign val="superscript"/>
        <sz val="11"/>
        <color theme="1"/>
        <rFont val="Calibri"/>
        <family val="2"/>
        <scheme val="minor"/>
      </rPr>
      <t>o</t>
    </r>
    <r>
      <rPr>
        <sz val="11"/>
        <color theme="1"/>
        <rFont val="Calibri"/>
        <family val="2"/>
        <scheme val="minor"/>
      </rPr>
      <t>C</t>
    </r>
  </si>
  <si>
    <r>
      <t>cal(therm)/cm-sec-</t>
    </r>
    <r>
      <rPr>
        <vertAlign val="superscript"/>
        <sz val="11"/>
        <color theme="1"/>
        <rFont val="Calibri"/>
        <family val="2"/>
        <scheme val="minor"/>
      </rPr>
      <t>o</t>
    </r>
    <r>
      <rPr>
        <sz val="11"/>
        <color theme="1"/>
        <rFont val="Calibri"/>
        <family val="2"/>
        <scheme val="minor"/>
      </rPr>
      <t>C</t>
    </r>
  </si>
  <si>
    <t>gal/hr-HP</t>
  </si>
  <si>
    <t>leag(statute), st-lg</t>
  </si>
  <si>
    <t>yd(WMA1963)</t>
  </si>
  <si>
    <t>cin, cir-In</t>
  </si>
  <si>
    <t>cmil, cir-mil</t>
  </si>
  <si>
    <t>cmi(nautical), cir-mi(nautical)</t>
  </si>
  <si>
    <t>cmi(statute), cir-mi(statute)</t>
  </si>
  <si>
    <t>sq-leag(statute)</t>
  </si>
  <si>
    <t>cH,cwt, kin-tal</t>
  </si>
  <si>
    <r>
      <t>m</t>
    </r>
    <r>
      <rPr>
        <vertAlign val="superscript"/>
        <sz val="11"/>
        <color theme="1"/>
        <rFont val="Calibri"/>
        <family val="2"/>
        <scheme val="minor"/>
      </rPr>
      <t>3</t>
    </r>
    <r>
      <rPr>
        <sz val="11"/>
        <color theme="1"/>
        <rFont val="Calibri"/>
        <family val="2"/>
        <scheme val="minor"/>
      </rPr>
      <t>(STP-old)</t>
    </r>
  </si>
  <si>
    <t>ct(old)</t>
  </si>
  <si>
    <r>
      <t>sq-m, m</t>
    </r>
    <r>
      <rPr>
        <vertAlign val="superscript"/>
        <sz val="11"/>
        <color theme="1"/>
        <rFont val="Calibri"/>
        <family val="2"/>
        <scheme val="minor"/>
      </rPr>
      <t>2</t>
    </r>
  </si>
  <si>
    <r>
      <t>cu-m, m</t>
    </r>
    <r>
      <rPr>
        <vertAlign val="superscript"/>
        <sz val="11"/>
        <color theme="1"/>
        <rFont val="Calibri"/>
        <family val="2"/>
        <scheme val="minor"/>
      </rPr>
      <t>3</t>
    </r>
  </si>
  <si>
    <t>cu-m, m3</t>
  </si>
  <si>
    <t>bdl(wool)</t>
  </si>
  <si>
    <t>yd(old)</t>
  </si>
  <si>
    <t>fl-dr</t>
  </si>
  <si>
    <t>cH(long), cwt(long), lg(long)</t>
  </si>
  <si>
    <t>ft(survey)</t>
  </si>
  <si>
    <t>1/sec</t>
  </si>
  <si>
    <r>
      <t>cfs, ft</t>
    </r>
    <r>
      <rPr>
        <vertAlign val="superscript"/>
        <sz val="11"/>
        <color theme="1"/>
        <rFont val="Calibri"/>
        <family val="2"/>
        <scheme val="minor"/>
      </rPr>
      <t>3</t>
    </r>
    <r>
      <rPr>
        <sz val="11"/>
        <color theme="1"/>
        <rFont val="Calibri"/>
        <family val="2"/>
        <scheme val="minor"/>
      </rPr>
      <t>/sec</t>
    </r>
  </si>
  <si>
    <r>
      <t>m</t>
    </r>
    <r>
      <rPr>
        <vertAlign val="superscript"/>
        <sz val="11"/>
        <color theme="1"/>
        <rFont val="Calibri"/>
        <family val="2"/>
        <scheme val="minor"/>
      </rPr>
      <t>3</t>
    </r>
    <r>
      <rPr>
        <sz val="11"/>
        <color theme="1"/>
        <rFont val="Calibri"/>
        <family val="2"/>
        <scheme val="minor"/>
      </rPr>
      <t>/hr</t>
    </r>
  </si>
  <si>
    <r>
      <t>ft</t>
    </r>
    <r>
      <rPr>
        <vertAlign val="superscript"/>
        <sz val="11"/>
        <color theme="1"/>
        <rFont val="Calibri"/>
        <family val="2"/>
        <scheme val="minor"/>
      </rPr>
      <t>3</t>
    </r>
    <r>
      <rPr>
        <sz val="11"/>
        <color theme="1"/>
        <rFont val="Calibri"/>
        <family val="2"/>
        <scheme val="minor"/>
      </rPr>
      <t>/hr</t>
    </r>
  </si>
  <si>
    <r>
      <t>m</t>
    </r>
    <r>
      <rPr>
        <vertAlign val="superscript"/>
        <sz val="11"/>
        <color theme="1"/>
        <rFont val="Calibri"/>
        <family val="2"/>
        <scheme val="minor"/>
      </rPr>
      <t>3</t>
    </r>
    <r>
      <rPr>
        <sz val="11"/>
        <color theme="1"/>
        <rFont val="Calibri"/>
        <family val="2"/>
        <scheme val="minor"/>
      </rPr>
      <t>/sec</t>
    </r>
  </si>
  <si>
    <t>l/hr</t>
  </si>
  <si>
    <t>l/sec</t>
  </si>
  <si>
    <t>gcm/sec</t>
  </si>
  <si>
    <t>N-sec</t>
  </si>
  <si>
    <t>J-sec</t>
  </si>
  <si>
    <t>kg/sec</t>
  </si>
  <si>
    <t>Btu(IT)/bbl</t>
  </si>
  <si>
    <r>
      <t>Btu(IT)/ft</t>
    </r>
    <r>
      <rPr>
        <vertAlign val="superscript"/>
        <sz val="11"/>
        <color theme="1"/>
        <rFont val="Calibri"/>
        <family val="2"/>
        <scheme val="minor"/>
      </rPr>
      <t>3</t>
    </r>
  </si>
  <si>
    <t>Btu(IT)/gal</t>
  </si>
  <si>
    <r>
      <t>cmHg(0</t>
    </r>
    <r>
      <rPr>
        <vertAlign val="superscript"/>
        <sz val="11"/>
        <color theme="1"/>
        <rFont val="Calibri"/>
        <family val="2"/>
        <scheme val="minor"/>
      </rPr>
      <t>o</t>
    </r>
    <r>
      <rPr>
        <sz val="11"/>
        <color theme="1"/>
        <rFont val="Calibri"/>
        <family val="2"/>
        <scheme val="minor"/>
      </rPr>
      <t>C)</t>
    </r>
  </si>
  <si>
    <r>
      <t>cmHg(15.6</t>
    </r>
    <r>
      <rPr>
        <vertAlign val="superscript"/>
        <sz val="11"/>
        <color theme="1"/>
        <rFont val="Calibri"/>
        <family val="2"/>
        <scheme val="minor"/>
      </rPr>
      <t>o</t>
    </r>
    <r>
      <rPr>
        <sz val="11"/>
        <color theme="1"/>
        <rFont val="Calibri"/>
        <family val="2"/>
        <scheme val="minor"/>
      </rPr>
      <t>C)</t>
    </r>
  </si>
  <si>
    <r>
      <t>centimeter-of-mercury(0</t>
    </r>
    <r>
      <rPr>
        <vertAlign val="superscript"/>
        <sz val="11"/>
        <color theme="1"/>
        <rFont val="Calibri"/>
        <family val="2"/>
        <scheme val="minor"/>
      </rPr>
      <t>o</t>
    </r>
    <r>
      <rPr>
        <sz val="11"/>
        <color theme="1"/>
        <rFont val="Calibri"/>
        <family val="2"/>
        <scheme val="minor"/>
      </rPr>
      <t>C)</t>
    </r>
  </si>
  <si>
    <r>
      <t>centimeter-of-mercury(15.6</t>
    </r>
    <r>
      <rPr>
        <vertAlign val="superscript"/>
        <sz val="11"/>
        <color theme="1"/>
        <rFont val="Calibri"/>
        <family val="2"/>
        <scheme val="minor"/>
      </rPr>
      <t>o</t>
    </r>
    <r>
      <rPr>
        <sz val="11"/>
        <color theme="1"/>
        <rFont val="Calibri"/>
        <family val="2"/>
        <scheme val="minor"/>
      </rPr>
      <t>C)</t>
    </r>
  </si>
  <si>
    <r>
      <t>cmHg(32</t>
    </r>
    <r>
      <rPr>
        <vertAlign val="superscript"/>
        <sz val="11"/>
        <color theme="1"/>
        <rFont val="Calibri"/>
        <family val="2"/>
        <scheme val="minor"/>
      </rPr>
      <t>o</t>
    </r>
    <r>
      <rPr>
        <sz val="11"/>
        <color theme="1"/>
        <rFont val="Calibri"/>
        <family val="2"/>
        <scheme val="minor"/>
      </rPr>
      <t>C)</t>
    </r>
  </si>
  <si>
    <r>
      <t>centimeter-of-mercury(32</t>
    </r>
    <r>
      <rPr>
        <vertAlign val="superscript"/>
        <sz val="11"/>
        <color theme="1"/>
        <rFont val="Calibri"/>
        <family val="2"/>
        <scheme val="minor"/>
      </rPr>
      <t>o</t>
    </r>
    <r>
      <rPr>
        <sz val="11"/>
        <color theme="1"/>
        <rFont val="Calibri"/>
        <family val="2"/>
        <scheme val="minor"/>
      </rPr>
      <t>C)</t>
    </r>
  </si>
  <si>
    <r>
      <t>cmH</t>
    </r>
    <r>
      <rPr>
        <vertAlign val="subscript"/>
        <sz val="11"/>
        <color theme="1"/>
        <rFont val="Calibri"/>
        <family val="2"/>
        <scheme val="minor"/>
      </rPr>
      <t>2</t>
    </r>
    <r>
      <rPr>
        <sz val="11"/>
        <color theme="1"/>
        <rFont val="Calibri"/>
        <family val="2"/>
        <scheme val="minor"/>
      </rPr>
      <t>O(15.56</t>
    </r>
    <r>
      <rPr>
        <vertAlign val="superscript"/>
        <sz val="11"/>
        <color theme="1"/>
        <rFont val="Calibri"/>
        <family val="2"/>
        <scheme val="minor"/>
      </rPr>
      <t>o</t>
    </r>
    <r>
      <rPr>
        <sz val="11"/>
        <color theme="1"/>
        <rFont val="Calibri"/>
        <family val="2"/>
        <scheme val="minor"/>
      </rPr>
      <t>C)</t>
    </r>
  </si>
  <si>
    <r>
      <t>cmH</t>
    </r>
    <r>
      <rPr>
        <vertAlign val="subscript"/>
        <sz val="11"/>
        <color theme="1"/>
        <rFont val="Calibri"/>
        <family val="2"/>
        <scheme val="minor"/>
      </rPr>
      <t>2</t>
    </r>
    <r>
      <rPr>
        <sz val="11"/>
        <color theme="1"/>
        <rFont val="Calibri"/>
        <family val="2"/>
        <scheme val="minor"/>
      </rPr>
      <t>O(39.2</t>
    </r>
    <r>
      <rPr>
        <vertAlign val="superscript"/>
        <sz val="11"/>
        <color theme="1"/>
        <rFont val="Calibri"/>
        <family val="2"/>
        <scheme val="minor"/>
      </rPr>
      <t>o</t>
    </r>
    <r>
      <rPr>
        <sz val="11"/>
        <color theme="1"/>
        <rFont val="Calibri"/>
        <family val="2"/>
        <scheme val="minor"/>
      </rPr>
      <t>C)</t>
    </r>
  </si>
  <si>
    <r>
      <t>centimeter-of-water(15.56</t>
    </r>
    <r>
      <rPr>
        <vertAlign val="superscript"/>
        <sz val="11"/>
        <color theme="1"/>
        <rFont val="Calibri"/>
        <family val="2"/>
        <scheme val="minor"/>
      </rPr>
      <t>o</t>
    </r>
    <r>
      <rPr>
        <sz val="11"/>
        <color theme="1"/>
        <rFont val="Calibri"/>
        <family val="2"/>
        <scheme val="minor"/>
      </rPr>
      <t>C)</t>
    </r>
  </si>
  <si>
    <r>
      <t>centimeter-of-water(39.2</t>
    </r>
    <r>
      <rPr>
        <vertAlign val="superscript"/>
        <sz val="11"/>
        <color theme="1"/>
        <rFont val="Calibri"/>
        <family val="2"/>
        <scheme val="minor"/>
      </rPr>
      <t>o</t>
    </r>
    <r>
      <rPr>
        <sz val="11"/>
        <color theme="1"/>
        <rFont val="Calibri"/>
        <family val="2"/>
        <scheme val="minor"/>
      </rPr>
      <t>C)</t>
    </r>
  </si>
  <si>
    <r>
      <t>cmH</t>
    </r>
    <r>
      <rPr>
        <vertAlign val="subscript"/>
        <sz val="11"/>
        <color theme="1"/>
        <rFont val="Calibri"/>
        <family val="2"/>
        <scheme val="minor"/>
      </rPr>
      <t>2</t>
    </r>
    <r>
      <rPr>
        <sz val="11"/>
        <color theme="1"/>
        <rFont val="Calibri"/>
        <family val="2"/>
        <scheme val="minor"/>
      </rPr>
      <t>O(4</t>
    </r>
    <r>
      <rPr>
        <vertAlign val="superscript"/>
        <sz val="11"/>
        <color theme="1"/>
        <rFont val="Calibri"/>
        <family val="2"/>
        <scheme val="minor"/>
      </rPr>
      <t>o</t>
    </r>
    <r>
      <rPr>
        <sz val="11"/>
        <color theme="1"/>
        <rFont val="Calibri"/>
        <family val="2"/>
        <scheme val="minor"/>
      </rPr>
      <t>C)</t>
    </r>
  </si>
  <si>
    <r>
      <t>cmH</t>
    </r>
    <r>
      <rPr>
        <vertAlign val="subscript"/>
        <sz val="11"/>
        <color theme="1"/>
        <rFont val="Calibri"/>
        <family val="2"/>
        <scheme val="minor"/>
      </rPr>
      <t>2</t>
    </r>
    <r>
      <rPr>
        <sz val="11"/>
        <color theme="1"/>
        <rFont val="Calibri"/>
        <family val="2"/>
        <scheme val="minor"/>
      </rPr>
      <t>O(60</t>
    </r>
    <r>
      <rPr>
        <vertAlign val="superscript"/>
        <sz val="11"/>
        <color theme="1"/>
        <rFont val="Calibri"/>
        <family val="2"/>
        <scheme val="minor"/>
      </rPr>
      <t>o</t>
    </r>
    <r>
      <rPr>
        <sz val="11"/>
        <color theme="1"/>
        <rFont val="Calibri"/>
        <family val="2"/>
        <scheme val="minor"/>
      </rPr>
      <t>C)</t>
    </r>
  </si>
  <si>
    <r>
      <t>centimeter-of-water(4</t>
    </r>
    <r>
      <rPr>
        <vertAlign val="superscript"/>
        <sz val="11"/>
        <color theme="1"/>
        <rFont val="Calibri"/>
        <family val="2"/>
        <scheme val="minor"/>
      </rPr>
      <t>o</t>
    </r>
    <r>
      <rPr>
        <sz val="11"/>
        <color theme="1"/>
        <rFont val="Calibri"/>
        <family val="2"/>
        <scheme val="minor"/>
      </rPr>
      <t>C)</t>
    </r>
  </si>
  <si>
    <r>
      <t>centimeter-of-water(60</t>
    </r>
    <r>
      <rPr>
        <vertAlign val="superscript"/>
        <sz val="11"/>
        <color theme="1"/>
        <rFont val="Calibri"/>
        <family val="2"/>
        <scheme val="minor"/>
      </rPr>
      <t>o</t>
    </r>
    <r>
      <rPr>
        <sz val="11"/>
        <color theme="1"/>
        <rFont val="Calibri"/>
        <family val="2"/>
        <scheme val="minor"/>
      </rPr>
      <t>C)</t>
    </r>
  </si>
  <si>
    <t>dyne-per-square-centimeter</t>
  </si>
  <si>
    <t>foot-of-head</t>
  </si>
  <si>
    <t>ft-hd</t>
  </si>
  <si>
    <r>
      <t>ftHg(15.56</t>
    </r>
    <r>
      <rPr>
        <vertAlign val="superscript"/>
        <sz val="11"/>
        <color theme="1"/>
        <rFont val="Calibri"/>
        <family val="2"/>
        <scheme val="minor"/>
      </rPr>
      <t>o</t>
    </r>
    <r>
      <rPr>
        <sz val="11"/>
        <color theme="1"/>
        <rFont val="Calibri"/>
        <family val="2"/>
        <scheme val="minor"/>
      </rPr>
      <t>C)</t>
    </r>
  </si>
  <si>
    <r>
      <t>foot-of-mercury(15.56</t>
    </r>
    <r>
      <rPr>
        <vertAlign val="superscript"/>
        <sz val="11"/>
        <color theme="1"/>
        <rFont val="Calibri"/>
        <family val="2"/>
        <scheme val="minor"/>
      </rPr>
      <t>o</t>
    </r>
    <r>
      <rPr>
        <sz val="11"/>
        <color theme="1"/>
        <rFont val="Calibri"/>
        <family val="2"/>
        <scheme val="minor"/>
      </rPr>
      <t>C)</t>
    </r>
  </si>
  <si>
    <r>
      <t>foot-of-mercury(32</t>
    </r>
    <r>
      <rPr>
        <vertAlign val="superscript"/>
        <sz val="11"/>
        <color theme="1"/>
        <rFont val="Calibri"/>
        <family val="2"/>
        <scheme val="minor"/>
      </rPr>
      <t>o</t>
    </r>
    <r>
      <rPr>
        <sz val="11"/>
        <color theme="1"/>
        <rFont val="Calibri"/>
        <family val="2"/>
        <scheme val="minor"/>
      </rPr>
      <t>F)</t>
    </r>
  </si>
  <si>
    <r>
      <t>ftHg(32</t>
    </r>
    <r>
      <rPr>
        <vertAlign val="superscript"/>
        <sz val="11"/>
        <color theme="1"/>
        <rFont val="Calibri"/>
        <family val="2"/>
        <scheme val="minor"/>
      </rPr>
      <t>o</t>
    </r>
    <r>
      <rPr>
        <sz val="11"/>
        <color theme="1"/>
        <rFont val="Calibri"/>
        <family val="2"/>
        <scheme val="minor"/>
      </rPr>
      <t>F)</t>
    </r>
  </si>
  <si>
    <r>
      <t>ftH</t>
    </r>
    <r>
      <rPr>
        <vertAlign val="subscript"/>
        <sz val="11"/>
        <color theme="1"/>
        <rFont val="Calibri"/>
        <family val="2"/>
        <scheme val="minor"/>
      </rPr>
      <t>2</t>
    </r>
    <r>
      <rPr>
        <sz val="11"/>
        <color theme="1"/>
        <rFont val="Calibri"/>
        <family val="2"/>
        <scheme val="minor"/>
      </rPr>
      <t>O(15.5</t>
    </r>
    <r>
      <rPr>
        <vertAlign val="superscript"/>
        <sz val="11"/>
        <color theme="1"/>
        <rFont val="Calibri"/>
        <family val="2"/>
        <scheme val="minor"/>
      </rPr>
      <t>o</t>
    </r>
    <r>
      <rPr>
        <sz val="11"/>
        <color theme="1"/>
        <rFont val="Calibri"/>
        <family val="2"/>
        <scheme val="minor"/>
      </rPr>
      <t>C)</t>
    </r>
  </si>
  <si>
    <r>
      <t>ftH</t>
    </r>
    <r>
      <rPr>
        <vertAlign val="subscript"/>
        <sz val="11"/>
        <color theme="1"/>
        <rFont val="Calibri"/>
        <family val="2"/>
        <scheme val="minor"/>
      </rPr>
      <t>2</t>
    </r>
    <r>
      <rPr>
        <sz val="11"/>
        <color theme="1"/>
        <rFont val="Calibri"/>
        <family val="2"/>
        <scheme val="minor"/>
      </rPr>
      <t>O(39.2</t>
    </r>
    <r>
      <rPr>
        <vertAlign val="superscript"/>
        <sz val="11"/>
        <color theme="1"/>
        <rFont val="Calibri"/>
        <family val="2"/>
        <scheme val="minor"/>
      </rPr>
      <t>o</t>
    </r>
    <r>
      <rPr>
        <sz val="11"/>
        <color theme="1"/>
        <rFont val="Calibri"/>
        <family val="2"/>
        <scheme val="minor"/>
      </rPr>
      <t>F)</t>
    </r>
  </si>
  <si>
    <r>
      <t>ftH</t>
    </r>
    <r>
      <rPr>
        <vertAlign val="subscript"/>
        <sz val="11"/>
        <color theme="1"/>
        <rFont val="Calibri"/>
        <family val="2"/>
        <scheme val="minor"/>
      </rPr>
      <t>2</t>
    </r>
    <r>
      <rPr>
        <sz val="11"/>
        <color theme="1"/>
        <rFont val="Calibri"/>
        <family val="2"/>
        <scheme val="minor"/>
      </rPr>
      <t>O(4</t>
    </r>
    <r>
      <rPr>
        <vertAlign val="superscript"/>
        <sz val="11"/>
        <color theme="1"/>
        <rFont val="Calibri"/>
        <family val="2"/>
        <scheme val="minor"/>
      </rPr>
      <t>o</t>
    </r>
    <r>
      <rPr>
        <sz val="11"/>
        <color theme="1"/>
        <rFont val="Calibri"/>
        <family val="2"/>
        <scheme val="minor"/>
      </rPr>
      <t>C)</t>
    </r>
  </si>
  <si>
    <r>
      <t>foot-of-water(15.56</t>
    </r>
    <r>
      <rPr>
        <vertAlign val="superscript"/>
        <sz val="11"/>
        <color theme="1"/>
        <rFont val="Calibri"/>
        <family val="2"/>
        <scheme val="minor"/>
      </rPr>
      <t>o</t>
    </r>
    <r>
      <rPr>
        <sz val="11"/>
        <color theme="1"/>
        <rFont val="Calibri"/>
        <family val="2"/>
        <scheme val="minor"/>
      </rPr>
      <t>C)</t>
    </r>
  </si>
  <si>
    <r>
      <t>foot-of-water(39.2</t>
    </r>
    <r>
      <rPr>
        <vertAlign val="superscript"/>
        <sz val="11"/>
        <color theme="1"/>
        <rFont val="Calibri"/>
        <family val="2"/>
        <scheme val="minor"/>
      </rPr>
      <t>o</t>
    </r>
    <r>
      <rPr>
        <sz val="11"/>
        <color theme="1"/>
        <rFont val="Calibri"/>
        <family val="2"/>
        <scheme val="minor"/>
      </rPr>
      <t>F)</t>
    </r>
  </si>
  <si>
    <r>
      <t>foot-of-water-(4</t>
    </r>
    <r>
      <rPr>
        <vertAlign val="superscript"/>
        <sz val="11"/>
        <color theme="1"/>
        <rFont val="Calibri"/>
        <family val="2"/>
        <scheme val="minor"/>
      </rPr>
      <t>o</t>
    </r>
    <r>
      <rPr>
        <sz val="11"/>
        <color theme="1"/>
        <rFont val="Calibri"/>
        <family val="2"/>
        <scheme val="minor"/>
      </rPr>
      <t>C)</t>
    </r>
  </si>
  <si>
    <r>
      <t>ftH</t>
    </r>
    <r>
      <rPr>
        <vertAlign val="subscript"/>
        <sz val="11"/>
        <color theme="1"/>
        <rFont val="Calibri"/>
        <family val="2"/>
        <scheme val="minor"/>
      </rPr>
      <t>2</t>
    </r>
    <r>
      <rPr>
        <sz val="11"/>
        <color theme="1"/>
        <rFont val="Calibri"/>
        <family val="2"/>
        <scheme val="minor"/>
      </rPr>
      <t>O(60</t>
    </r>
    <r>
      <rPr>
        <vertAlign val="superscript"/>
        <sz val="11"/>
        <color theme="1"/>
        <rFont val="Calibri"/>
        <family val="2"/>
        <scheme val="minor"/>
      </rPr>
      <t>o</t>
    </r>
    <r>
      <rPr>
        <sz val="11"/>
        <color theme="1"/>
        <rFont val="Calibri"/>
        <family val="2"/>
        <scheme val="minor"/>
      </rPr>
      <t>F)</t>
    </r>
  </si>
  <si>
    <r>
      <t>foot-of-water(60</t>
    </r>
    <r>
      <rPr>
        <vertAlign val="superscript"/>
        <sz val="11"/>
        <color theme="1"/>
        <rFont val="Calibri"/>
        <family val="2"/>
        <scheme val="minor"/>
      </rPr>
      <t>o</t>
    </r>
    <r>
      <rPr>
        <sz val="11"/>
        <color theme="1"/>
        <rFont val="Calibri"/>
        <family val="2"/>
        <scheme val="minor"/>
      </rPr>
      <t>F)</t>
    </r>
  </si>
  <si>
    <r>
      <t>inHg(0</t>
    </r>
    <r>
      <rPr>
        <vertAlign val="superscript"/>
        <sz val="11"/>
        <color theme="1"/>
        <rFont val="Calibri"/>
        <family val="2"/>
        <scheme val="minor"/>
      </rPr>
      <t>o</t>
    </r>
    <r>
      <rPr>
        <sz val="11"/>
        <color theme="1"/>
        <rFont val="Calibri"/>
        <family val="2"/>
        <scheme val="minor"/>
      </rPr>
      <t>C)</t>
    </r>
  </si>
  <si>
    <r>
      <t>inch-of-mercury(0</t>
    </r>
    <r>
      <rPr>
        <vertAlign val="superscript"/>
        <sz val="11"/>
        <color theme="1"/>
        <rFont val="Calibri"/>
        <family val="2"/>
        <scheme val="minor"/>
      </rPr>
      <t>o</t>
    </r>
    <r>
      <rPr>
        <sz val="11"/>
        <color theme="1"/>
        <rFont val="Calibri"/>
        <family val="2"/>
        <scheme val="minor"/>
      </rPr>
      <t>C)</t>
    </r>
  </si>
  <si>
    <r>
      <t>inHg(15.56</t>
    </r>
    <r>
      <rPr>
        <vertAlign val="superscript"/>
        <sz val="11"/>
        <color theme="1"/>
        <rFont val="Calibri"/>
        <family val="2"/>
        <scheme val="minor"/>
      </rPr>
      <t>o</t>
    </r>
    <r>
      <rPr>
        <sz val="11"/>
        <color theme="1"/>
        <rFont val="Calibri"/>
        <family val="2"/>
        <scheme val="minor"/>
      </rPr>
      <t>C)</t>
    </r>
  </si>
  <si>
    <r>
      <t>inch-of-mercury(15.56</t>
    </r>
    <r>
      <rPr>
        <vertAlign val="superscript"/>
        <sz val="11"/>
        <color theme="1"/>
        <rFont val="Calibri"/>
        <family val="2"/>
        <scheme val="minor"/>
      </rPr>
      <t>o</t>
    </r>
    <r>
      <rPr>
        <sz val="11"/>
        <color theme="1"/>
        <rFont val="Calibri"/>
        <family val="2"/>
        <scheme val="minor"/>
      </rPr>
      <t>C)</t>
    </r>
  </si>
  <si>
    <r>
      <t>inHg(32</t>
    </r>
    <r>
      <rPr>
        <vertAlign val="superscript"/>
        <sz val="11"/>
        <color theme="1"/>
        <rFont val="Calibri"/>
        <family val="2"/>
        <scheme val="minor"/>
      </rPr>
      <t>o</t>
    </r>
    <r>
      <rPr>
        <sz val="11"/>
        <color theme="1"/>
        <rFont val="Calibri"/>
        <family val="2"/>
        <scheme val="minor"/>
      </rPr>
      <t>F)</t>
    </r>
  </si>
  <si>
    <r>
      <t>inch-of-mercury(32</t>
    </r>
    <r>
      <rPr>
        <vertAlign val="superscript"/>
        <sz val="11"/>
        <color theme="1"/>
        <rFont val="Calibri"/>
        <family val="2"/>
        <scheme val="minor"/>
      </rPr>
      <t>o</t>
    </r>
    <r>
      <rPr>
        <sz val="11"/>
        <color theme="1"/>
        <rFont val="Calibri"/>
        <family val="2"/>
        <scheme val="minor"/>
      </rPr>
      <t>F)</t>
    </r>
  </si>
  <si>
    <r>
      <t>inHg(60</t>
    </r>
    <r>
      <rPr>
        <vertAlign val="superscript"/>
        <sz val="11"/>
        <color theme="1"/>
        <rFont val="Calibri"/>
        <family val="2"/>
        <scheme val="minor"/>
      </rPr>
      <t>o</t>
    </r>
    <r>
      <rPr>
        <sz val="11"/>
        <color theme="1"/>
        <rFont val="Calibri"/>
        <family val="2"/>
        <scheme val="minor"/>
      </rPr>
      <t>F)</t>
    </r>
  </si>
  <si>
    <r>
      <t>inch-of-mercury(60</t>
    </r>
    <r>
      <rPr>
        <vertAlign val="superscript"/>
        <sz val="11"/>
        <color theme="1"/>
        <rFont val="Calibri"/>
        <family val="2"/>
        <scheme val="minor"/>
      </rPr>
      <t>o</t>
    </r>
    <r>
      <rPr>
        <sz val="11"/>
        <color theme="1"/>
        <rFont val="Calibri"/>
        <family val="2"/>
        <scheme val="minor"/>
      </rPr>
      <t>F)</t>
    </r>
  </si>
  <si>
    <r>
      <t>inch-of-water(15.56</t>
    </r>
    <r>
      <rPr>
        <vertAlign val="superscript"/>
        <sz val="11"/>
        <color theme="1"/>
        <rFont val="Calibri"/>
        <family val="2"/>
        <scheme val="minor"/>
      </rPr>
      <t>o</t>
    </r>
    <r>
      <rPr>
        <sz val="11"/>
        <color theme="1"/>
        <rFont val="Calibri"/>
        <family val="2"/>
        <scheme val="minor"/>
      </rPr>
      <t>C)</t>
    </r>
  </si>
  <si>
    <r>
      <t>inH</t>
    </r>
    <r>
      <rPr>
        <vertAlign val="subscript"/>
        <sz val="11"/>
        <color theme="1"/>
        <rFont val="Calibri"/>
        <family val="2"/>
        <scheme val="minor"/>
      </rPr>
      <t>2</t>
    </r>
    <r>
      <rPr>
        <sz val="11"/>
        <color theme="1"/>
        <rFont val="Calibri"/>
        <family val="2"/>
        <scheme val="minor"/>
      </rPr>
      <t>O(15.56</t>
    </r>
    <r>
      <rPr>
        <vertAlign val="superscript"/>
        <sz val="11"/>
        <color theme="1"/>
        <rFont val="Calibri"/>
        <family val="2"/>
        <scheme val="minor"/>
      </rPr>
      <t>o</t>
    </r>
    <r>
      <rPr>
        <sz val="11"/>
        <color theme="1"/>
        <rFont val="Calibri"/>
        <family val="2"/>
        <scheme val="minor"/>
      </rPr>
      <t>C)</t>
    </r>
  </si>
  <si>
    <r>
      <t>inH</t>
    </r>
    <r>
      <rPr>
        <vertAlign val="subscript"/>
        <sz val="11"/>
        <color theme="1"/>
        <rFont val="Calibri"/>
        <family val="2"/>
        <scheme val="minor"/>
      </rPr>
      <t>2</t>
    </r>
    <r>
      <rPr>
        <sz val="11"/>
        <color theme="1"/>
        <rFont val="Calibri"/>
        <family val="2"/>
        <scheme val="minor"/>
      </rPr>
      <t>O(39.2</t>
    </r>
    <r>
      <rPr>
        <vertAlign val="superscript"/>
        <sz val="11"/>
        <color theme="1"/>
        <rFont val="Calibri"/>
        <family val="2"/>
        <scheme val="minor"/>
      </rPr>
      <t>o</t>
    </r>
    <r>
      <rPr>
        <sz val="11"/>
        <color theme="1"/>
        <rFont val="Calibri"/>
        <family val="2"/>
        <scheme val="minor"/>
      </rPr>
      <t>F)</t>
    </r>
  </si>
  <si>
    <r>
      <t>inch-of-water(39.2</t>
    </r>
    <r>
      <rPr>
        <vertAlign val="superscript"/>
        <sz val="11"/>
        <color theme="1"/>
        <rFont val="Calibri"/>
        <family val="2"/>
        <scheme val="minor"/>
      </rPr>
      <t>o</t>
    </r>
    <r>
      <rPr>
        <sz val="11"/>
        <color theme="1"/>
        <rFont val="Calibri"/>
        <family val="2"/>
        <scheme val="minor"/>
      </rPr>
      <t>F)</t>
    </r>
  </si>
  <si>
    <r>
      <t>inH</t>
    </r>
    <r>
      <rPr>
        <vertAlign val="subscript"/>
        <sz val="11"/>
        <color theme="1"/>
        <rFont val="Calibri"/>
        <family val="2"/>
        <scheme val="minor"/>
      </rPr>
      <t>2</t>
    </r>
    <r>
      <rPr>
        <sz val="11"/>
        <color theme="1"/>
        <rFont val="Calibri"/>
        <family val="2"/>
        <scheme val="minor"/>
      </rPr>
      <t>O(4</t>
    </r>
    <r>
      <rPr>
        <vertAlign val="superscript"/>
        <sz val="11"/>
        <color theme="1"/>
        <rFont val="Calibri"/>
        <family val="2"/>
        <scheme val="minor"/>
      </rPr>
      <t>o</t>
    </r>
    <r>
      <rPr>
        <sz val="11"/>
        <color theme="1"/>
        <rFont val="Calibri"/>
        <family val="2"/>
        <scheme val="minor"/>
      </rPr>
      <t>C)</t>
    </r>
  </si>
  <si>
    <r>
      <t>inch-of-water(4</t>
    </r>
    <r>
      <rPr>
        <vertAlign val="superscript"/>
        <sz val="11"/>
        <color theme="1"/>
        <rFont val="Calibri"/>
        <family val="2"/>
        <scheme val="minor"/>
      </rPr>
      <t>o</t>
    </r>
    <r>
      <rPr>
        <sz val="11"/>
        <color theme="1"/>
        <rFont val="Calibri"/>
        <family val="2"/>
        <scheme val="minor"/>
      </rPr>
      <t>C)</t>
    </r>
  </si>
  <si>
    <r>
      <t>inH</t>
    </r>
    <r>
      <rPr>
        <vertAlign val="subscript"/>
        <sz val="11"/>
        <color theme="1"/>
        <rFont val="Calibri"/>
        <family val="2"/>
        <scheme val="minor"/>
      </rPr>
      <t>2</t>
    </r>
    <r>
      <rPr>
        <sz val="11"/>
        <color theme="1"/>
        <rFont val="Calibri"/>
        <family val="2"/>
        <scheme val="minor"/>
      </rPr>
      <t>O(60</t>
    </r>
    <r>
      <rPr>
        <vertAlign val="superscript"/>
        <sz val="11"/>
        <color theme="1"/>
        <rFont val="Calibri"/>
        <family val="2"/>
        <scheme val="minor"/>
      </rPr>
      <t>o</t>
    </r>
    <r>
      <rPr>
        <sz val="11"/>
        <color theme="1"/>
        <rFont val="Calibri"/>
        <family val="2"/>
        <scheme val="minor"/>
      </rPr>
      <t>F)</t>
    </r>
  </si>
  <si>
    <r>
      <t>inch-of-water(60</t>
    </r>
    <r>
      <rPr>
        <vertAlign val="superscript"/>
        <sz val="11"/>
        <color theme="1"/>
        <rFont val="Calibri"/>
        <family val="2"/>
        <scheme val="minor"/>
      </rPr>
      <t>o</t>
    </r>
    <r>
      <rPr>
        <sz val="11"/>
        <color theme="1"/>
        <rFont val="Calibri"/>
        <family val="2"/>
        <scheme val="minor"/>
      </rPr>
      <t>F)</t>
    </r>
  </si>
  <si>
    <t>joule-per-cubic-meter</t>
  </si>
  <si>
    <t>joule-per-cubic-meter-per-hertz</t>
  </si>
  <si>
    <r>
      <t>J/m</t>
    </r>
    <r>
      <rPr>
        <vertAlign val="superscript"/>
        <sz val="11"/>
        <color theme="1"/>
        <rFont val="Calibri"/>
        <family val="2"/>
        <scheme val="minor"/>
      </rPr>
      <t>3</t>
    </r>
    <r>
      <rPr>
        <sz val="11"/>
        <color theme="1"/>
        <rFont val="Calibri"/>
        <family val="2"/>
        <scheme val="minor"/>
      </rPr>
      <t>-Hz</t>
    </r>
  </si>
  <si>
    <t>kilogram-force-per-square-decimeter</t>
  </si>
  <si>
    <t>kilogram-force-per-square-meter</t>
  </si>
  <si>
    <t>kilogram-force-per-square-millimeter</t>
  </si>
  <si>
    <t>kilogram-force-per-square-centimeter</t>
  </si>
  <si>
    <t>kilopound-force-per-square-inch</t>
  </si>
  <si>
    <r>
      <t>meter-of-water(15.56</t>
    </r>
    <r>
      <rPr>
        <vertAlign val="superscript"/>
        <sz val="11"/>
        <color theme="1"/>
        <rFont val="Calibri"/>
        <family val="2"/>
        <scheme val="minor"/>
      </rPr>
      <t>o</t>
    </r>
    <r>
      <rPr>
        <sz val="11"/>
        <color theme="1"/>
        <rFont val="Calibri"/>
        <family val="2"/>
        <scheme val="minor"/>
      </rPr>
      <t>C)</t>
    </r>
  </si>
  <si>
    <r>
      <t>mH</t>
    </r>
    <r>
      <rPr>
        <vertAlign val="subscript"/>
        <sz val="11"/>
        <color theme="1"/>
        <rFont val="Calibri"/>
        <family val="2"/>
        <scheme val="minor"/>
      </rPr>
      <t>2</t>
    </r>
    <r>
      <rPr>
        <sz val="11"/>
        <color theme="1"/>
        <rFont val="Calibri"/>
        <family val="2"/>
        <scheme val="minor"/>
      </rPr>
      <t>O(15.56</t>
    </r>
    <r>
      <rPr>
        <vertAlign val="superscript"/>
        <sz val="11"/>
        <color theme="1"/>
        <rFont val="Calibri"/>
        <family val="2"/>
        <scheme val="minor"/>
      </rPr>
      <t>o</t>
    </r>
    <r>
      <rPr>
        <sz val="11"/>
        <color theme="1"/>
        <rFont val="Calibri"/>
        <family val="2"/>
        <scheme val="minor"/>
      </rPr>
      <t>C)</t>
    </r>
  </si>
  <si>
    <r>
      <t>mH</t>
    </r>
    <r>
      <rPr>
        <vertAlign val="subscript"/>
        <sz val="11"/>
        <color theme="1"/>
        <rFont val="Calibri"/>
        <family val="2"/>
        <scheme val="minor"/>
      </rPr>
      <t>2</t>
    </r>
    <r>
      <rPr>
        <sz val="11"/>
        <color theme="1"/>
        <rFont val="Calibri"/>
        <family val="2"/>
        <scheme val="minor"/>
      </rPr>
      <t>O(39.2</t>
    </r>
    <r>
      <rPr>
        <vertAlign val="superscript"/>
        <sz val="11"/>
        <color theme="1"/>
        <rFont val="Calibri"/>
        <family val="2"/>
        <scheme val="minor"/>
      </rPr>
      <t>o</t>
    </r>
    <r>
      <rPr>
        <sz val="11"/>
        <color theme="1"/>
        <rFont val="Calibri"/>
        <family val="2"/>
        <scheme val="minor"/>
      </rPr>
      <t>F)</t>
    </r>
  </si>
  <si>
    <r>
      <t>mH</t>
    </r>
    <r>
      <rPr>
        <vertAlign val="subscript"/>
        <sz val="11"/>
        <color theme="1"/>
        <rFont val="Calibri"/>
        <family val="2"/>
        <scheme val="minor"/>
      </rPr>
      <t>2</t>
    </r>
    <r>
      <rPr>
        <sz val="11"/>
        <color theme="1"/>
        <rFont val="Calibri"/>
        <family val="2"/>
        <scheme val="minor"/>
      </rPr>
      <t>O(4</t>
    </r>
    <r>
      <rPr>
        <vertAlign val="superscript"/>
        <sz val="11"/>
        <color theme="1"/>
        <rFont val="Calibri"/>
        <family val="2"/>
        <scheme val="minor"/>
      </rPr>
      <t>o</t>
    </r>
    <r>
      <rPr>
        <sz val="11"/>
        <color theme="1"/>
        <rFont val="Calibri"/>
        <family val="2"/>
        <scheme val="minor"/>
      </rPr>
      <t>C)</t>
    </r>
  </si>
  <si>
    <r>
      <t>mH</t>
    </r>
    <r>
      <rPr>
        <vertAlign val="subscript"/>
        <sz val="11"/>
        <color theme="1"/>
        <rFont val="Calibri"/>
        <family val="2"/>
        <scheme val="minor"/>
      </rPr>
      <t>2</t>
    </r>
    <r>
      <rPr>
        <sz val="11"/>
        <color theme="1"/>
        <rFont val="Calibri"/>
        <family val="2"/>
        <scheme val="minor"/>
      </rPr>
      <t>O(60</t>
    </r>
    <r>
      <rPr>
        <vertAlign val="superscript"/>
        <sz val="11"/>
        <color theme="1"/>
        <rFont val="Calibri"/>
        <family val="2"/>
        <scheme val="minor"/>
      </rPr>
      <t>o</t>
    </r>
    <r>
      <rPr>
        <sz val="11"/>
        <color theme="1"/>
        <rFont val="Calibri"/>
        <family val="2"/>
        <scheme val="minor"/>
      </rPr>
      <t>F)</t>
    </r>
  </si>
  <si>
    <r>
      <t>meter-of-water(39.2</t>
    </r>
    <r>
      <rPr>
        <vertAlign val="superscript"/>
        <sz val="11"/>
        <color theme="1"/>
        <rFont val="Calibri"/>
        <family val="2"/>
        <scheme val="minor"/>
      </rPr>
      <t>o</t>
    </r>
    <r>
      <rPr>
        <sz val="11"/>
        <color theme="1"/>
        <rFont val="Calibri"/>
        <family val="2"/>
        <scheme val="minor"/>
      </rPr>
      <t>F)</t>
    </r>
  </si>
  <si>
    <t>meter-of-water(4oC)</t>
  </si>
  <si>
    <r>
      <t>meter-of-water(60</t>
    </r>
    <r>
      <rPr>
        <vertAlign val="superscript"/>
        <sz val="11"/>
        <color theme="1"/>
        <rFont val="Calibri"/>
        <family val="2"/>
        <scheme val="minor"/>
      </rPr>
      <t>o</t>
    </r>
    <r>
      <rPr>
        <sz val="11"/>
        <color theme="1"/>
        <rFont val="Calibri"/>
        <family val="2"/>
        <scheme val="minor"/>
      </rPr>
      <t>F)</t>
    </r>
  </si>
  <si>
    <r>
      <t>uHg(0</t>
    </r>
    <r>
      <rPr>
        <vertAlign val="superscript"/>
        <sz val="11"/>
        <color theme="1"/>
        <rFont val="Calibri"/>
        <family val="2"/>
        <scheme val="minor"/>
      </rPr>
      <t>o</t>
    </r>
    <r>
      <rPr>
        <sz val="11"/>
        <color theme="1"/>
        <rFont val="Calibri"/>
        <family val="2"/>
        <scheme val="minor"/>
      </rPr>
      <t>C)</t>
    </r>
    <r>
      <rPr>
        <sz val="11"/>
        <color theme="1"/>
        <rFont val="Calibri"/>
        <family val="1"/>
        <charset val="2"/>
        <scheme val="minor"/>
      </rPr>
      <t>,  millitorr</t>
    </r>
  </si>
  <si>
    <t>micron-of-mercury</t>
  </si>
  <si>
    <r>
      <t>mmHg(0</t>
    </r>
    <r>
      <rPr>
        <vertAlign val="superscript"/>
        <sz val="11"/>
        <color theme="1"/>
        <rFont val="Calibri"/>
        <family val="2"/>
        <scheme val="minor"/>
      </rPr>
      <t>o</t>
    </r>
    <r>
      <rPr>
        <sz val="11"/>
        <color theme="1"/>
        <rFont val="Calibri"/>
        <family val="2"/>
        <scheme val="minor"/>
      </rPr>
      <t>C), torr(0</t>
    </r>
    <r>
      <rPr>
        <vertAlign val="superscript"/>
        <sz val="11"/>
        <color theme="1"/>
        <rFont val="Calibri"/>
        <family val="2"/>
        <scheme val="minor"/>
      </rPr>
      <t>o</t>
    </r>
    <r>
      <rPr>
        <sz val="11"/>
        <color theme="1"/>
        <rFont val="Calibri"/>
        <family val="2"/>
        <scheme val="minor"/>
      </rPr>
      <t>C)</t>
    </r>
  </si>
  <si>
    <r>
      <t>mmHg(4</t>
    </r>
    <r>
      <rPr>
        <vertAlign val="superscript"/>
        <sz val="11"/>
        <color theme="1"/>
        <rFont val="Calibri"/>
        <family val="2"/>
        <scheme val="minor"/>
      </rPr>
      <t>o</t>
    </r>
    <r>
      <rPr>
        <sz val="11"/>
        <color theme="1"/>
        <rFont val="Calibri"/>
        <family val="2"/>
        <scheme val="minor"/>
      </rPr>
      <t>C)</t>
    </r>
  </si>
  <si>
    <r>
      <t>millimeter-of-mercury(4</t>
    </r>
    <r>
      <rPr>
        <vertAlign val="superscript"/>
        <sz val="11"/>
        <color theme="1"/>
        <rFont val="Calibri"/>
        <family val="2"/>
        <scheme val="minor"/>
      </rPr>
      <t>o</t>
    </r>
    <r>
      <rPr>
        <sz val="11"/>
        <color theme="1"/>
        <rFont val="Calibri"/>
        <family val="2"/>
        <scheme val="minor"/>
      </rPr>
      <t>C)</t>
    </r>
  </si>
  <si>
    <r>
      <t>millimeter-of-water(15.56</t>
    </r>
    <r>
      <rPr>
        <vertAlign val="superscript"/>
        <sz val="11"/>
        <color theme="1"/>
        <rFont val="Calibri"/>
        <family val="2"/>
        <scheme val="minor"/>
      </rPr>
      <t>o</t>
    </r>
    <r>
      <rPr>
        <sz val="11"/>
        <color theme="1"/>
        <rFont val="Calibri"/>
        <family val="2"/>
        <scheme val="minor"/>
      </rPr>
      <t>C)</t>
    </r>
  </si>
  <si>
    <r>
      <t>mmH</t>
    </r>
    <r>
      <rPr>
        <vertAlign val="subscript"/>
        <sz val="11"/>
        <color theme="1"/>
        <rFont val="Calibri"/>
        <family val="2"/>
        <scheme val="minor"/>
      </rPr>
      <t>2</t>
    </r>
    <r>
      <rPr>
        <sz val="11"/>
        <color theme="1"/>
        <rFont val="Calibri"/>
        <family val="2"/>
        <scheme val="minor"/>
      </rPr>
      <t>O(15.56</t>
    </r>
    <r>
      <rPr>
        <vertAlign val="superscript"/>
        <sz val="11"/>
        <color theme="1"/>
        <rFont val="Calibri"/>
        <family val="2"/>
        <scheme val="minor"/>
      </rPr>
      <t>o</t>
    </r>
    <r>
      <rPr>
        <sz val="11"/>
        <color theme="1"/>
        <rFont val="Calibri"/>
        <family val="2"/>
        <scheme val="minor"/>
      </rPr>
      <t>C), mmCE(15.56</t>
    </r>
    <r>
      <rPr>
        <vertAlign val="superscript"/>
        <sz val="11"/>
        <color theme="1"/>
        <rFont val="Calibri"/>
        <family val="2"/>
        <scheme val="minor"/>
      </rPr>
      <t>o</t>
    </r>
    <r>
      <rPr>
        <sz val="11"/>
        <color theme="1"/>
        <rFont val="Calibri"/>
        <family val="2"/>
        <scheme val="minor"/>
      </rPr>
      <t>C)</t>
    </r>
  </si>
  <si>
    <r>
      <t>mmH</t>
    </r>
    <r>
      <rPr>
        <vertAlign val="subscript"/>
        <sz val="11"/>
        <color theme="1"/>
        <rFont val="Calibri"/>
        <family val="2"/>
        <scheme val="minor"/>
      </rPr>
      <t>2</t>
    </r>
    <r>
      <rPr>
        <sz val="11"/>
        <color theme="1"/>
        <rFont val="Calibri"/>
        <family val="2"/>
        <scheme val="minor"/>
      </rPr>
      <t>O(39.2</t>
    </r>
    <r>
      <rPr>
        <vertAlign val="superscript"/>
        <sz val="11"/>
        <color theme="1"/>
        <rFont val="Calibri"/>
        <family val="2"/>
        <scheme val="minor"/>
      </rPr>
      <t>o</t>
    </r>
    <r>
      <rPr>
        <sz val="11"/>
        <color theme="1"/>
        <rFont val="Calibri"/>
        <family val="2"/>
        <scheme val="minor"/>
      </rPr>
      <t>F), mmCE(39.2</t>
    </r>
    <r>
      <rPr>
        <vertAlign val="superscript"/>
        <sz val="11"/>
        <color theme="1"/>
        <rFont val="Calibri"/>
        <family val="2"/>
        <scheme val="minor"/>
      </rPr>
      <t>o</t>
    </r>
    <r>
      <rPr>
        <sz val="11"/>
        <color theme="1"/>
        <rFont val="Calibri"/>
        <family val="2"/>
        <scheme val="minor"/>
      </rPr>
      <t>F)</t>
    </r>
  </si>
  <si>
    <r>
      <t>millimeter-of-water(39.2</t>
    </r>
    <r>
      <rPr>
        <vertAlign val="superscript"/>
        <sz val="11"/>
        <color theme="1"/>
        <rFont val="Calibri"/>
        <family val="2"/>
        <scheme val="minor"/>
      </rPr>
      <t>o</t>
    </r>
    <r>
      <rPr>
        <sz val="11"/>
        <color theme="1"/>
        <rFont val="Calibri"/>
        <family val="2"/>
        <scheme val="minor"/>
      </rPr>
      <t>F)</t>
    </r>
  </si>
  <si>
    <r>
      <t>mmH</t>
    </r>
    <r>
      <rPr>
        <vertAlign val="subscript"/>
        <sz val="11"/>
        <color theme="1"/>
        <rFont val="Calibri"/>
        <family val="2"/>
        <scheme val="minor"/>
      </rPr>
      <t>2</t>
    </r>
    <r>
      <rPr>
        <sz val="11"/>
        <color theme="1"/>
        <rFont val="Calibri"/>
        <family val="2"/>
        <scheme val="minor"/>
      </rPr>
      <t>O(4</t>
    </r>
    <r>
      <rPr>
        <vertAlign val="superscript"/>
        <sz val="11"/>
        <color theme="1"/>
        <rFont val="Calibri"/>
        <family val="2"/>
        <scheme val="minor"/>
      </rPr>
      <t>o</t>
    </r>
    <r>
      <rPr>
        <sz val="11"/>
        <color theme="1"/>
        <rFont val="Calibri"/>
        <family val="2"/>
        <scheme val="minor"/>
      </rPr>
      <t>C), mmCE(4</t>
    </r>
    <r>
      <rPr>
        <vertAlign val="superscript"/>
        <sz val="11"/>
        <color theme="1"/>
        <rFont val="Calibri"/>
        <family val="2"/>
        <scheme val="minor"/>
      </rPr>
      <t>o</t>
    </r>
    <r>
      <rPr>
        <sz val="11"/>
        <color theme="1"/>
        <rFont val="Calibri"/>
        <family val="2"/>
        <scheme val="minor"/>
      </rPr>
      <t>C)</t>
    </r>
  </si>
  <si>
    <r>
      <t>millimeter-of-water(4</t>
    </r>
    <r>
      <rPr>
        <vertAlign val="superscript"/>
        <sz val="11"/>
        <color theme="1"/>
        <rFont val="Calibri"/>
        <family val="2"/>
        <scheme val="minor"/>
      </rPr>
      <t>o</t>
    </r>
    <r>
      <rPr>
        <sz val="11"/>
        <color theme="1"/>
        <rFont val="Calibri"/>
        <family val="2"/>
        <scheme val="minor"/>
      </rPr>
      <t>C)</t>
    </r>
  </si>
  <si>
    <r>
      <t>millimeter-of-water(60</t>
    </r>
    <r>
      <rPr>
        <vertAlign val="superscript"/>
        <sz val="11"/>
        <color theme="1"/>
        <rFont val="Calibri"/>
        <family val="2"/>
        <scheme val="minor"/>
      </rPr>
      <t>o</t>
    </r>
    <r>
      <rPr>
        <sz val="11"/>
        <color theme="1"/>
        <rFont val="Calibri"/>
        <family val="2"/>
        <scheme val="minor"/>
      </rPr>
      <t>F)</t>
    </r>
  </si>
  <si>
    <r>
      <t>mmH</t>
    </r>
    <r>
      <rPr>
        <vertAlign val="subscript"/>
        <sz val="11"/>
        <color theme="1"/>
        <rFont val="Calibri"/>
        <family val="2"/>
        <scheme val="minor"/>
      </rPr>
      <t>2</t>
    </r>
    <r>
      <rPr>
        <sz val="11"/>
        <color theme="1"/>
        <rFont val="Calibri"/>
        <family val="2"/>
        <scheme val="minor"/>
      </rPr>
      <t>O(60</t>
    </r>
    <r>
      <rPr>
        <vertAlign val="superscript"/>
        <sz val="11"/>
        <color theme="1"/>
        <rFont val="Calibri"/>
        <family val="2"/>
        <scheme val="minor"/>
      </rPr>
      <t>o</t>
    </r>
    <r>
      <rPr>
        <sz val="11"/>
        <color theme="1"/>
        <rFont val="Calibri"/>
        <family val="2"/>
        <scheme val="minor"/>
      </rPr>
      <t>F), mmCE(60</t>
    </r>
    <r>
      <rPr>
        <vertAlign val="superscript"/>
        <sz val="11"/>
        <color theme="1"/>
        <rFont val="Calibri"/>
        <family val="2"/>
        <scheme val="minor"/>
      </rPr>
      <t>o</t>
    </r>
    <r>
      <rPr>
        <sz val="11"/>
        <color theme="1"/>
        <rFont val="Calibri"/>
        <family val="2"/>
        <scheme val="minor"/>
      </rPr>
      <t>F)</t>
    </r>
  </si>
  <si>
    <t>newton-per-square-meter</t>
  </si>
  <si>
    <t>ounce-force-per-square-inch</t>
  </si>
  <si>
    <t>pound-force-per-square-foot</t>
  </si>
  <si>
    <t>pound-force-per-square-inch</t>
  </si>
  <si>
    <t>poundal-per-square-foot</t>
  </si>
  <si>
    <t>standard-atmosphere</t>
  </si>
  <si>
    <t>sthene-per-square-meter</t>
  </si>
  <si>
    <t>technical-atmosphere</t>
  </si>
  <si>
    <t>ton-force-per-square-inch</t>
  </si>
  <si>
    <t>water-column</t>
  </si>
  <si>
    <t>particle-flux-unit</t>
  </si>
  <si>
    <t>Btu(IT)/lb</t>
  </si>
  <si>
    <t>Btu(therm)/lb</t>
  </si>
  <si>
    <t>n-unit</t>
  </si>
  <si>
    <t>rad-equivalent-physical</t>
  </si>
  <si>
    <t>radiation-absorbed-dose</t>
  </si>
  <si>
    <t>curie-per-liter</t>
  </si>
  <si>
    <t>becquerel-per-cubic-meter</t>
  </si>
  <si>
    <t>R-unit(German)</t>
  </si>
  <si>
    <t>R-unit(Solomon)</t>
  </si>
  <si>
    <t>R-unit(G)</t>
  </si>
  <si>
    <t>R-unit(S)</t>
  </si>
  <si>
    <t>E-unit</t>
  </si>
  <si>
    <t>strontium-unit</t>
  </si>
  <si>
    <t>becquerel-per-kilogram</t>
  </si>
  <si>
    <t>sievert-unit</t>
  </si>
  <si>
    <t>coulomb-per-kilogram</t>
  </si>
  <si>
    <t>D-unit</t>
  </si>
  <si>
    <t>pastille-dose</t>
  </si>
  <si>
    <t>B-unit</t>
  </si>
  <si>
    <t>cotton(hand)</t>
  </si>
  <si>
    <t>yarn-cut(wool)</t>
  </si>
  <si>
    <t>yarn-run(cotton)</t>
  </si>
  <si>
    <t>yarn-run(linen)</t>
  </si>
  <si>
    <t>yarn-run(metric)</t>
  </si>
  <si>
    <t>yarn-run(wool)</t>
  </si>
  <si>
    <t>yarn-run(worsted)</t>
  </si>
  <si>
    <t>cut(asbestos)</t>
  </si>
  <si>
    <t>barrel-per-long-ton</t>
  </si>
  <si>
    <t>barrel-per-short-ton</t>
  </si>
  <si>
    <t>cubic-foot-per-pound</t>
  </si>
  <si>
    <t>cubic-foot-per-ton</t>
  </si>
  <si>
    <t>cubic-inch-per-pound</t>
  </si>
  <si>
    <t>cubic-meter-per-kilogram</t>
  </si>
  <si>
    <t>gallon-per-pound</t>
  </si>
  <si>
    <t>liter-per-kilogram</t>
  </si>
  <si>
    <t>volt(thermal)</t>
  </si>
  <si>
    <t>au-of-time</t>
  </si>
  <si>
    <t>day(anom)</t>
  </si>
  <si>
    <t>day(Bessel)</t>
  </si>
  <si>
    <t>day(Gaussian)</t>
  </si>
  <si>
    <t>day(sidereal)</t>
  </si>
  <si>
    <t>day(solar-mean)</t>
  </si>
  <si>
    <t>day(stellar)</t>
  </si>
  <si>
    <t>day(tropical)</t>
  </si>
  <si>
    <t>generation(anthropologist)</t>
  </si>
  <si>
    <t>gen(anthro)</t>
  </si>
  <si>
    <t>gen(gene)</t>
  </si>
  <si>
    <t>generation(genealogist)</t>
  </si>
  <si>
    <t>hr</t>
  </si>
  <si>
    <t>hour(sidereal)</t>
  </si>
  <si>
    <t>month(lunar)</t>
  </si>
  <si>
    <t>month(solar-mean)</t>
  </si>
  <si>
    <r>
      <t>perm-inch(0</t>
    </r>
    <r>
      <rPr>
        <vertAlign val="superscript"/>
        <sz val="11"/>
        <color theme="1"/>
        <rFont val="Calibri"/>
        <family val="2"/>
        <scheme val="minor"/>
      </rPr>
      <t>o</t>
    </r>
    <r>
      <rPr>
        <sz val="11"/>
        <color theme="1"/>
        <rFont val="Calibri"/>
        <family val="2"/>
        <scheme val="minor"/>
      </rPr>
      <t>C)</t>
    </r>
  </si>
  <si>
    <r>
      <t>perm-inch(23</t>
    </r>
    <r>
      <rPr>
        <vertAlign val="superscript"/>
        <sz val="11"/>
        <color theme="1"/>
        <rFont val="Calibri"/>
        <family val="2"/>
        <scheme val="minor"/>
      </rPr>
      <t>o</t>
    </r>
    <r>
      <rPr>
        <sz val="11"/>
        <color theme="1"/>
        <rFont val="Calibri"/>
        <family val="2"/>
        <scheme val="minor"/>
      </rPr>
      <t>C)</t>
    </r>
  </si>
  <si>
    <t>second(sidereal)</t>
  </si>
  <si>
    <t>watch(dog)</t>
  </si>
  <si>
    <t>wk</t>
  </si>
  <si>
    <t>yr</t>
  </si>
  <si>
    <t>year(anomalistic)</t>
  </si>
  <si>
    <t>a(anom)</t>
  </si>
  <si>
    <t>yr(Bessel)</t>
  </si>
  <si>
    <t>yr(cal), civil-year</t>
  </si>
  <si>
    <t>year(Bessel)</t>
  </si>
  <si>
    <t>year(calendar)</t>
  </si>
  <si>
    <t>year(common)</t>
  </si>
  <si>
    <t>year(eclipse)</t>
  </si>
  <si>
    <t>year(Islamic)</t>
  </si>
  <si>
    <t>year(Gaussian)</t>
  </si>
  <si>
    <t>yr(Gaussian)</t>
  </si>
  <si>
    <t>yr(Gregorian)</t>
  </si>
  <si>
    <t>yr(Julian)</t>
  </si>
  <si>
    <t>yr(leap)</t>
  </si>
  <si>
    <t>year(Gregorian)</t>
  </si>
  <si>
    <t>year(Julian)</t>
  </si>
  <si>
    <t>year(leap)</t>
  </si>
  <si>
    <t>year(sidereal)</t>
  </si>
  <si>
    <t>yr(sidereal)</t>
  </si>
  <si>
    <t>yr(solar-mean)</t>
  </si>
  <si>
    <t>yr(tropical)</t>
  </si>
  <si>
    <t>year(solar-mean)</t>
  </si>
  <si>
    <t>year(tropical)</t>
  </si>
  <si>
    <t>attometer-per-year</t>
  </si>
  <si>
    <t>am/yr</t>
  </si>
  <si>
    <t>am/day</t>
  </si>
  <si>
    <t>am/sec</t>
  </si>
  <si>
    <t>Bz, m/sec</t>
  </si>
  <si>
    <t>attometer-per-month</t>
  </si>
  <si>
    <t>attometer-per-day</t>
  </si>
  <si>
    <t>attometer-per-hour</t>
  </si>
  <si>
    <t>attometer-per-minute</t>
  </si>
  <si>
    <t>attometer-per-second</t>
  </si>
  <si>
    <t>centimeter-per-year</t>
  </si>
  <si>
    <t>centimeter-per-month</t>
  </si>
  <si>
    <t>centimeter-per-day</t>
  </si>
  <si>
    <t>centimeter-per-hour</t>
  </si>
  <si>
    <t>cm/day</t>
  </si>
  <si>
    <t>cm/yr</t>
  </si>
  <si>
    <t>cm/sec</t>
  </si>
  <si>
    <t>ch/yr</t>
  </si>
  <si>
    <t>centimeter-per-minute</t>
  </si>
  <si>
    <t>centimeter-per-second</t>
  </si>
  <si>
    <t>chain-per-year</t>
  </si>
  <si>
    <t>chain-per-month</t>
  </si>
  <si>
    <t>chain-per-day</t>
  </si>
  <si>
    <t>chain-per-hour</t>
  </si>
  <si>
    <t>ch/day</t>
  </si>
  <si>
    <t>ch/hr</t>
  </si>
  <si>
    <t>ch/sec</t>
  </si>
  <si>
    <t>chain-per-minute</t>
  </si>
  <si>
    <t>chain-per-second</t>
  </si>
  <si>
    <t>dam/yr</t>
  </si>
  <si>
    <t>dam/day</t>
  </si>
  <si>
    <t>dam/sec</t>
  </si>
  <si>
    <t>dm/yr</t>
  </si>
  <si>
    <t>decameter-per-year</t>
  </si>
  <si>
    <t>decameter-per-month</t>
  </si>
  <si>
    <t>decameter-per-day</t>
  </si>
  <si>
    <t>decameter-per-hour</t>
  </si>
  <si>
    <t>decameter-per-minute</t>
  </si>
  <si>
    <t>decameter-per-second</t>
  </si>
  <si>
    <t>decimeter-per-year</t>
  </si>
  <si>
    <t>decimeter-per-month</t>
  </si>
  <si>
    <t>decimeter-per-day</t>
  </si>
  <si>
    <t>dm/day</t>
  </si>
  <si>
    <t>dm/sec</t>
  </si>
  <si>
    <t>fm/yr</t>
  </si>
  <si>
    <t>fm/day</t>
  </si>
  <si>
    <t>fm/sec</t>
  </si>
  <si>
    <t>ft/yr, fpy</t>
  </si>
  <si>
    <t>decimeter-per-hour</t>
  </si>
  <si>
    <t>decimeter0per-minute</t>
  </si>
  <si>
    <t>decimeter-per-second</t>
  </si>
  <si>
    <t>femtometer-per-year</t>
  </si>
  <si>
    <t>femtometer-per-month</t>
  </si>
  <si>
    <t>femtometer-per-day</t>
  </si>
  <si>
    <t>femtometer-per-hour</t>
  </si>
  <si>
    <t>femtometer-per-minute</t>
  </si>
  <si>
    <t>femtometer-per-second</t>
  </si>
  <si>
    <t>foot-per-year</t>
  </si>
  <si>
    <t>foot-per-month</t>
  </si>
  <si>
    <t>foot-per-day</t>
  </si>
  <si>
    <t>foot-per-hour</t>
  </si>
  <si>
    <t>foot-per-minute</t>
  </si>
  <si>
    <t>foot-per-second</t>
  </si>
  <si>
    <t>ft/day, fpd</t>
  </si>
  <si>
    <t>ft/hr, fph</t>
  </si>
  <si>
    <t>ft/sec, fps</t>
  </si>
  <si>
    <t>fur/yy</t>
  </si>
  <si>
    <t>furlong-per-year</t>
  </si>
  <si>
    <t>furlong-per-month</t>
  </si>
  <si>
    <t>furlong-per-day</t>
  </si>
  <si>
    <t>furlong-per-hour</t>
  </si>
  <si>
    <t>fur/day</t>
  </si>
  <si>
    <t>fur/hr</t>
  </si>
  <si>
    <t>furlong-per-minute</t>
  </si>
  <si>
    <t>furlong-per-second</t>
  </si>
  <si>
    <t>fur/sec</t>
  </si>
  <si>
    <t>hd/sec</t>
  </si>
  <si>
    <t>hand-per-second</t>
  </si>
  <si>
    <t>hand-per-minute</t>
  </si>
  <si>
    <t>hand-per-hour</t>
  </si>
  <si>
    <t>hand-per-day</t>
  </si>
  <si>
    <t>hd/day</t>
  </si>
  <si>
    <t>hd/yr</t>
  </si>
  <si>
    <t>hm/yr</t>
  </si>
  <si>
    <t>hm/day</t>
  </si>
  <si>
    <t>hand-per-month</t>
  </si>
  <si>
    <t>hand-per-year</t>
  </si>
  <si>
    <t>hectometer-per-year</t>
  </si>
  <si>
    <t>hectometer-per-month</t>
  </si>
  <si>
    <t>hectometer-per-day</t>
  </si>
  <si>
    <t>hectometer-per-hour</t>
  </si>
  <si>
    <t>hectometer-per-minute</t>
  </si>
  <si>
    <t>hm/sec</t>
  </si>
  <si>
    <t>in/sec, ips</t>
  </si>
  <si>
    <t>hectometer-per-second</t>
  </si>
  <si>
    <t>inch-per-second</t>
  </si>
  <si>
    <t>inch-per-minute</t>
  </si>
  <si>
    <t>inch-per-hour</t>
  </si>
  <si>
    <t>in/day</t>
  </si>
  <si>
    <t>inch-per-day</t>
  </si>
  <si>
    <t>inch-per-month</t>
  </si>
  <si>
    <t>in/yr</t>
  </si>
  <si>
    <t>km/yr</t>
  </si>
  <si>
    <t>inch-per-year</t>
  </si>
  <si>
    <t>kilometer-per-year</t>
  </si>
  <si>
    <t>kilometer-per-month</t>
  </si>
  <si>
    <t>kilometer-per-day</t>
  </si>
  <si>
    <t>km/day</t>
  </si>
  <si>
    <t>km/sec</t>
  </si>
  <si>
    <t>kilometer-per-hour</t>
  </si>
  <si>
    <t>kilometer-per-minute</t>
  </si>
  <si>
    <t>kilometer-per-second</t>
  </si>
  <si>
    <t>league-per-year</t>
  </si>
  <si>
    <t>leag/yr</t>
  </si>
  <si>
    <t>leag/day</t>
  </si>
  <si>
    <t>league-per-month</t>
  </si>
  <si>
    <t>league-per-day</t>
  </si>
  <si>
    <t>leag/hr</t>
  </si>
  <si>
    <t>leag/sec</t>
  </si>
  <si>
    <t>league-per-hour</t>
  </si>
  <si>
    <t>league-per-minute</t>
  </si>
  <si>
    <t>league-per-second</t>
  </si>
  <si>
    <t>micrometer-per-second</t>
  </si>
  <si>
    <t>um/sec</t>
  </si>
  <si>
    <t>um/day</t>
  </si>
  <si>
    <t>um/yr</t>
  </si>
  <si>
    <t>mm/sec</t>
  </si>
  <si>
    <t>Mm/day</t>
  </si>
  <si>
    <t>Mm/yr</t>
  </si>
  <si>
    <t>m/sec</t>
  </si>
  <si>
    <t>mm/day</t>
  </si>
  <si>
    <t>mm/yr</t>
  </si>
  <si>
    <t>Mm/sec</t>
  </si>
  <si>
    <t>micrometer-per-minute</t>
  </si>
  <si>
    <t>micrometer-per-hour</t>
  </si>
  <si>
    <t>micrometer-per-day</t>
  </si>
  <si>
    <t>micrometer-per-month</t>
  </si>
  <si>
    <t>micrometer-per-year</t>
  </si>
  <si>
    <t>millimeter-per-second</t>
  </si>
  <si>
    <t>millimeter-per-minute</t>
  </si>
  <si>
    <t>millimeter-per-hour</t>
  </si>
  <si>
    <t>millimeter-per-day</t>
  </si>
  <si>
    <t>millimeter-per-month</t>
  </si>
  <si>
    <t>millimeter-per-year</t>
  </si>
  <si>
    <t>megameter-per-second</t>
  </si>
  <si>
    <t>megameter-per-minute</t>
  </si>
  <si>
    <t>megameter-per-hour</t>
  </si>
  <si>
    <t>megameter-per-day</t>
  </si>
  <si>
    <t>megameter-per-month</t>
  </si>
  <si>
    <t>megameter-per-year</t>
  </si>
  <si>
    <t>meter-per-second</t>
  </si>
  <si>
    <t>meter-per-minute</t>
  </si>
  <si>
    <t>meter-per-hour</t>
  </si>
  <si>
    <t>meter-per-day</t>
  </si>
  <si>
    <t>m/day</t>
  </si>
  <si>
    <t>m/yr</t>
  </si>
  <si>
    <t>meter-per-month</t>
  </si>
  <si>
    <t>meter-per-year</t>
  </si>
  <si>
    <t>mil-per-year</t>
  </si>
  <si>
    <t>mile-per-second</t>
  </si>
  <si>
    <t>mile-per-minute</t>
  </si>
  <si>
    <t>mile-per-hour</t>
  </si>
  <si>
    <t>mph, mi/hr</t>
  </si>
  <si>
    <t>mi/day</t>
  </si>
  <si>
    <t>mi/yr</t>
  </si>
  <si>
    <t>mile-per-day</t>
  </si>
  <si>
    <t>mile-per-month</t>
  </si>
  <si>
    <t>mile-per-year</t>
  </si>
  <si>
    <t>milligram-per-square-decimeter-per-day</t>
  </si>
  <si>
    <r>
      <t>mg/dm</t>
    </r>
    <r>
      <rPr>
        <vertAlign val="superscript"/>
        <sz val="11"/>
        <color theme="1"/>
        <rFont val="Calibri"/>
        <family val="2"/>
        <scheme val="minor"/>
      </rPr>
      <t>2</t>
    </r>
    <r>
      <rPr>
        <sz val="11"/>
        <color theme="1"/>
        <rFont val="Calibri"/>
        <family val="2"/>
        <scheme val="minor"/>
      </rPr>
      <t>-day</t>
    </r>
  </si>
  <si>
    <t>nm/sec</t>
  </si>
  <si>
    <t>nm/day</t>
  </si>
  <si>
    <t>nm/yr</t>
  </si>
  <si>
    <t>nanometer-per-second</t>
  </si>
  <si>
    <t>nanometer-per-minute</t>
  </si>
  <si>
    <t>nanometer-per-hour</t>
  </si>
  <si>
    <t>nanometer-per-day</t>
  </si>
  <si>
    <t>nanometer-per-month</t>
  </si>
  <si>
    <t>nanometer-per-year</t>
  </si>
  <si>
    <t>nautical-mile-per-hour</t>
  </si>
  <si>
    <t>kn, knot, nmph</t>
  </si>
  <si>
    <t>pm/sec</t>
  </si>
  <si>
    <t>pm/day</t>
  </si>
  <si>
    <t>pm/yr</t>
  </si>
  <si>
    <t>picometer-per-second</t>
  </si>
  <si>
    <t>picometer-per-minute</t>
  </si>
  <si>
    <t>picometer-per-hour</t>
  </si>
  <si>
    <t>picometer-per-day</t>
  </si>
  <si>
    <t>picometer-per-month</t>
  </si>
  <si>
    <t>picometer-per-year</t>
  </si>
  <si>
    <t>yd/sec</t>
  </si>
  <si>
    <t>yd/day</t>
  </si>
  <si>
    <t>yd/yr</t>
  </si>
  <si>
    <t>ym/sec</t>
  </si>
  <si>
    <t>ym/day</t>
  </si>
  <si>
    <t>ym/yr</t>
  </si>
  <si>
    <t>yard-per-second</t>
  </si>
  <si>
    <t>yard-per-minute</t>
  </si>
  <si>
    <t>yard-per-hour</t>
  </si>
  <si>
    <t>yard-per-day</t>
  </si>
  <si>
    <t>yard-per-month</t>
  </si>
  <si>
    <t>yard-per-year</t>
  </si>
  <si>
    <t>yoctometer-per-second</t>
  </si>
  <si>
    <t>yoctometer-per-minute</t>
  </si>
  <si>
    <t>yoctometer-per-hour</t>
  </si>
  <si>
    <t>yoctometer-per-day</t>
  </si>
  <si>
    <t>yoctometer-per-month</t>
  </si>
  <si>
    <t>yoctometer-per-year</t>
  </si>
  <si>
    <t>zm/sec</t>
  </si>
  <si>
    <t>zm/day</t>
  </si>
  <si>
    <t>zm/yr</t>
  </si>
  <si>
    <t>zeptometer-per-second</t>
  </si>
  <si>
    <t>zeptometer-per-minute</t>
  </si>
  <si>
    <t>zeptometer-per-hour</t>
  </si>
  <si>
    <t>zeptometer-per-day</t>
  </si>
  <si>
    <t>zeptometer-per-month</t>
  </si>
  <si>
    <t>zeptometer-per-year</t>
  </si>
  <si>
    <t>speed-of-light</t>
  </si>
  <si>
    <t>c, lightspeed</t>
  </si>
  <si>
    <r>
      <t>in/sec</t>
    </r>
    <r>
      <rPr>
        <vertAlign val="superscript"/>
        <sz val="11"/>
        <color theme="1"/>
        <rFont val="Calibri"/>
        <family val="2"/>
        <scheme val="minor"/>
      </rPr>
      <t>2</t>
    </r>
  </si>
  <si>
    <r>
      <t>hd/sec</t>
    </r>
    <r>
      <rPr>
        <vertAlign val="superscript"/>
        <sz val="11"/>
        <color theme="1"/>
        <rFont val="Calibri"/>
        <family val="2"/>
        <scheme val="minor"/>
      </rPr>
      <t>2</t>
    </r>
  </si>
  <si>
    <r>
      <t>ft/sec</t>
    </r>
    <r>
      <rPr>
        <vertAlign val="superscript"/>
        <sz val="11"/>
        <color theme="1"/>
        <rFont val="Calibri"/>
        <family val="2"/>
        <scheme val="minor"/>
      </rPr>
      <t>2</t>
    </r>
  </si>
  <si>
    <r>
      <t>yd/sec</t>
    </r>
    <r>
      <rPr>
        <vertAlign val="superscript"/>
        <sz val="11"/>
        <color theme="1"/>
        <rFont val="Calibri"/>
        <family val="2"/>
        <scheme val="minor"/>
      </rPr>
      <t>2</t>
    </r>
  </si>
  <si>
    <r>
      <t>ch/sec</t>
    </r>
    <r>
      <rPr>
        <vertAlign val="superscript"/>
        <sz val="11"/>
        <color theme="1"/>
        <rFont val="Calibri"/>
        <family val="2"/>
        <scheme val="minor"/>
      </rPr>
      <t>2</t>
    </r>
  </si>
  <si>
    <r>
      <t>fur/sec</t>
    </r>
    <r>
      <rPr>
        <vertAlign val="superscript"/>
        <sz val="11"/>
        <color theme="1"/>
        <rFont val="Calibri"/>
        <family val="2"/>
        <scheme val="minor"/>
      </rPr>
      <t>2</t>
    </r>
  </si>
  <si>
    <r>
      <t>mi/sec</t>
    </r>
    <r>
      <rPr>
        <vertAlign val="superscript"/>
        <sz val="11"/>
        <color theme="1"/>
        <rFont val="Calibri"/>
        <family val="2"/>
        <scheme val="minor"/>
      </rPr>
      <t>2</t>
    </r>
  </si>
  <si>
    <r>
      <t>lea/sec</t>
    </r>
    <r>
      <rPr>
        <vertAlign val="superscript"/>
        <sz val="11"/>
        <color theme="1"/>
        <rFont val="Calibri"/>
        <family val="2"/>
        <scheme val="minor"/>
      </rPr>
      <t>2</t>
    </r>
  </si>
  <si>
    <t>inch-per-square-second</t>
  </si>
  <si>
    <t>hand-per-square-second</t>
  </si>
  <si>
    <t>foot-per-square-second</t>
  </si>
  <si>
    <t>yard-per-square-second</t>
  </si>
  <si>
    <t>chain-per-square-second</t>
  </si>
  <si>
    <t>furlong-per-square-second</t>
  </si>
  <si>
    <t>mile-per-square-second</t>
  </si>
  <si>
    <t>league-per-square-second</t>
  </si>
  <si>
    <t>normal-acceleration</t>
  </si>
  <si>
    <r>
      <t>ym/sec</t>
    </r>
    <r>
      <rPr>
        <vertAlign val="superscript"/>
        <sz val="11"/>
        <color theme="1"/>
        <rFont val="Calibri"/>
        <family val="2"/>
        <scheme val="minor"/>
      </rPr>
      <t>2</t>
    </r>
  </si>
  <si>
    <r>
      <t>zm/sec</t>
    </r>
    <r>
      <rPr>
        <vertAlign val="superscript"/>
        <sz val="11"/>
        <color theme="1"/>
        <rFont val="Calibri"/>
        <family val="2"/>
        <scheme val="minor"/>
      </rPr>
      <t>2</t>
    </r>
  </si>
  <si>
    <r>
      <t>am/sec</t>
    </r>
    <r>
      <rPr>
        <vertAlign val="superscript"/>
        <sz val="11"/>
        <color theme="1"/>
        <rFont val="Calibri"/>
        <family val="2"/>
        <scheme val="minor"/>
      </rPr>
      <t>2</t>
    </r>
  </si>
  <si>
    <r>
      <t>fm/sec</t>
    </r>
    <r>
      <rPr>
        <vertAlign val="superscript"/>
        <sz val="11"/>
        <color theme="1"/>
        <rFont val="Calibri"/>
        <family val="2"/>
        <scheme val="minor"/>
      </rPr>
      <t>2</t>
    </r>
  </si>
  <si>
    <r>
      <t>pm/sec</t>
    </r>
    <r>
      <rPr>
        <vertAlign val="superscript"/>
        <sz val="11"/>
        <color theme="1"/>
        <rFont val="Calibri"/>
        <family val="2"/>
        <scheme val="minor"/>
      </rPr>
      <t>2</t>
    </r>
  </si>
  <si>
    <r>
      <t>nm/sec</t>
    </r>
    <r>
      <rPr>
        <vertAlign val="superscript"/>
        <sz val="11"/>
        <color theme="1"/>
        <rFont val="Calibri"/>
        <family val="2"/>
        <scheme val="minor"/>
      </rPr>
      <t>2</t>
    </r>
  </si>
  <si>
    <r>
      <t>um/sec</t>
    </r>
    <r>
      <rPr>
        <vertAlign val="superscript"/>
        <sz val="11"/>
        <color theme="1"/>
        <rFont val="Calibri"/>
        <family val="2"/>
        <scheme val="minor"/>
      </rPr>
      <t>2</t>
    </r>
  </si>
  <si>
    <r>
      <t>mm/sec</t>
    </r>
    <r>
      <rPr>
        <vertAlign val="superscript"/>
        <sz val="11"/>
        <color theme="1"/>
        <rFont val="Calibri"/>
        <family val="2"/>
        <scheme val="minor"/>
      </rPr>
      <t>2</t>
    </r>
  </si>
  <si>
    <r>
      <t>cm/sec</t>
    </r>
    <r>
      <rPr>
        <vertAlign val="superscript"/>
        <sz val="11"/>
        <color theme="1"/>
        <rFont val="Calibri"/>
        <family val="2"/>
        <scheme val="minor"/>
      </rPr>
      <t>2</t>
    </r>
  </si>
  <si>
    <r>
      <t>dm/sec</t>
    </r>
    <r>
      <rPr>
        <vertAlign val="superscript"/>
        <sz val="11"/>
        <color theme="1"/>
        <rFont val="Calibri"/>
        <family val="2"/>
        <scheme val="minor"/>
      </rPr>
      <t>2</t>
    </r>
  </si>
  <si>
    <r>
      <t>m/sec</t>
    </r>
    <r>
      <rPr>
        <vertAlign val="superscript"/>
        <sz val="11"/>
        <color theme="1"/>
        <rFont val="Calibri"/>
        <family val="2"/>
        <scheme val="minor"/>
      </rPr>
      <t>2</t>
    </r>
  </si>
  <si>
    <r>
      <t>dam/sec</t>
    </r>
    <r>
      <rPr>
        <vertAlign val="superscript"/>
        <sz val="11"/>
        <color theme="1"/>
        <rFont val="Calibri"/>
        <family val="2"/>
        <scheme val="minor"/>
      </rPr>
      <t>2</t>
    </r>
  </si>
  <si>
    <r>
      <t>hm/sec</t>
    </r>
    <r>
      <rPr>
        <vertAlign val="superscript"/>
        <sz val="11"/>
        <color theme="1"/>
        <rFont val="Calibri"/>
        <family val="2"/>
        <scheme val="minor"/>
      </rPr>
      <t>2</t>
    </r>
  </si>
  <si>
    <r>
      <t>km/sec</t>
    </r>
    <r>
      <rPr>
        <vertAlign val="superscript"/>
        <sz val="11"/>
        <color theme="1"/>
        <rFont val="Calibri"/>
        <family val="2"/>
        <scheme val="minor"/>
      </rPr>
      <t>2</t>
    </r>
  </si>
  <si>
    <t>yoctometer-per-square-second</t>
  </si>
  <si>
    <t>zeptometer-per-square-second</t>
  </si>
  <si>
    <t>attometer-per-square-second</t>
  </si>
  <si>
    <t>femtometer-per-square-second</t>
  </si>
  <si>
    <t>picometer-per-square-second</t>
  </si>
  <si>
    <t>nanometer-per-square-second</t>
  </si>
  <si>
    <t>micrometer-per-square-second</t>
  </si>
  <si>
    <t>millimeter-per-square-second</t>
  </si>
  <si>
    <t>centimeter-per-square-second</t>
  </si>
  <si>
    <t>decimeter-per-square-second</t>
  </si>
  <si>
    <t>meter-per-square-second</t>
  </si>
  <si>
    <t>decameter-per-square-second</t>
  </si>
  <si>
    <t>hectometer-per-square-second</t>
  </si>
  <si>
    <t>kilometer-per-square-second</t>
  </si>
  <si>
    <r>
      <t>ft</t>
    </r>
    <r>
      <rPr>
        <vertAlign val="superscript"/>
        <sz val="11"/>
        <color theme="1"/>
        <rFont val="Calibri"/>
        <family val="2"/>
        <scheme val="minor"/>
      </rPr>
      <t>2</t>
    </r>
    <r>
      <rPr>
        <sz val="11"/>
        <color theme="1"/>
        <rFont val="Calibri"/>
        <family val="2"/>
        <scheme val="minor"/>
      </rPr>
      <t>/hr</t>
    </r>
  </si>
  <si>
    <r>
      <t>ft</t>
    </r>
    <r>
      <rPr>
        <vertAlign val="superscript"/>
        <sz val="11"/>
        <color theme="1"/>
        <rFont val="Calibri"/>
        <family val="2"/>
        <scheme val="minor"/>
      </rPr>
      <t>2</t>
    </r>
    <r>
      <rPr>
        <sz val="11"/>
        <color theme="1"/>
        <rFont val="Calibri"/>
        <family val="2"/>
        <scheme val="minor"/>
      </rPr>
      <t>/sec</t>
    </r>
  </si>
  <si>
    <r>
      <t>in</t>
    </r>
    <r>
      <rPr>
        <vertAlign val="superscript"/>
        <sz val="11"/>
        <color theme="1"/>
        <rFont val="Calibri"/>
        <family val="2"/>
        <scheme val="minor"/>
      </rPr>
      <t>2</t>
    </r>
    <r>
      <rPr>
        <sz val="11"/>
        <color theme="1"/>
        <rFont val="Calibri"/>
        <family val="2"/>
        <scheme val="minor"/>
      </rPr>
      <t>/hr</t>
    </r>
  </si>
  <si>
    <r>
      <t>in</t>
    </r>
    <r>
      <rPr>
        <vertAlign val="superscript"/>
        <sz val="11"/>
        <color theme="1"/>
        <rFont val="Calibri"/>
        <family val="2"/>
        <scheme val="minor"/>
      </rPr>
      <t>2</t>
    </r>
    <r>
      <rPr>
        <sz val="11"/>
        <color theme="1"/>
        <rFont val="Calibri"/>
        <family val="2"/>
        <scheme val="minor"/>
      </rPr>
      <t>/sec</t>
    </r>
  </si>
  <si>
    <r>
      <t>m</t>
    </r>
    <r>
      <rPr>
        <vertAlign val="superscript"/>
        <sz val="11"/>
        <color theme="1"/>
        <rFont val="Calibri"/>
        <family val="2"/>
        <scheme val="minor"/>
      </rPr>
      <t>2</t>
    </r>
    <r>
      <rPr>
        <sz val="11"/>
        <color theme="1"/>
        <rFont val="Calibri"/>
        <family val="2"/>
        <scheme val="minor"/>
      </rPr>
      <t>/hr</t>
    </r>
  </si>
  <si>
    <r>
      <t>m</t>
    </r>
    <r>
      <rPr>
        <vertAlign val="superscript"/>
        <sz val="11"/>
        <color theme="1"/>
        <rFont val="Calibri"/>
        <family val="2"/>
        <scheme val="minor"/>
      </rPr>
      <t>2</t>
    </r>
    <r>
      <rPr>
        <sz val="11"/>
        <color theme="1"/>
        <rFont val="Calibri"/>
        <family val="2"/>
        <scheme val="minor"/>
      </rPr>
      <t>/sec</t>
    </r>
  </si>
  <si>
    <r>
      <t>cm</t>
    </r>
    <r>
      <rPr>
        <vertAlign val="superscript"/>
        <sz val="11"/>
        <color theme="1"/>
        <rFont val="Calibri"/>
        <family val="2"/>
        <scheme val="minor"/>
      </rPr>
      <t>2</t>
    </r>
    <r>
      <rPr>
        <sz val="11"/>
        <color theme="1"/>
        <rFont val="Calibri"/>
        <family val="2"/>
        <scheme val="minor"/>
      </rPr>
      <t>/hr</t>
    </r>
  </si>
  <si>
    <r>
      <t>cm</t>
    </r>
    <r>
      <rPr>
        <vertAlign val="superscript"/>
        <sz val="11"/>
        <color theme="1"/>
        <rFont val="Calibri"/>
        <family val="2"/>
        <scheme val="minor"/>
      </rPr>
      <t>2</t>
    </r>
    <r>
      <rPr>
        <sz val="11"/>
        <color theme="1"/>
        <rFont val="Calibri"/>
        <family val="2"/>
        <scheme val="minor"/>
      </rPr>
      <t>/sec</t>
    </r>
  </si>
  <si>
    <r>
      <t>mm</t>
    </r>
    <r>
      <rPr>
        <vertAlign val="superscript"/>
        <sz val="11"/>
        <color theme="1"/>
        <rFont val="Calibri"/>
        <family val="2"/>
        <scheme val="minor"/>
      </rPr>
      <t>2</t>
    </r>
    <r>
      <rPr>
        <sz val="11"/>
        <color theme="1"/>
        <rFont val="Calibri"/>
        <family val="2"/>
        <scheme val="minor"/>
      </rPr>
      <t>/hr</t>
    </r>
  </si>
  <si>
    <r>
      <t>mm</t>
    </r>
    <r>
      <rPr>
        <vertAlign val="superscript"/>
        <sz val="11"/>
        <color theme="1"/>
        <rFont val="Calibri"/>
        <family val="2"/>
        <scheme val="minor"/>
      </rPr>
      <t>2</t>
    </r>
    <r>
      <rPr>
        <sz val="11"/>
        <color theme="1"/>
        <rFont val="Calibri"/>
        <family val="2"/>
        <scheme val="minor"/>
      </rPr>
      <t>/sec</t>
    </r>
  </si>
  <si>
    <t>square-foot-per-hour</t>
  </si>
  <si>
    <t>square-foot-per-second</t>
  </si>
  <si>
    <t>square-inch-per-hour</t>
  </si>
  <si>
    <t>square-inch-per-second</t>
  </si>
  <si>
    <t>square-meter-per-hour</t>
  </si>
  <si>
    <t>square-meter-per-second</t>
  </si>
  <si>
    <t>square-centimeter-per-hour</t>
  </si>
  <si>
    <t>square-millimeter-per-hour</t>
  </si>
  <si>
    <t>square-millimeter-per-second</t>
  </si>
  <si>
    <t>barye-second</t>
  </si>
  <si>
    <t>barye-sec</t>
  </si>
  <si>
    <r>
      <t>dyn-sec/cm</t>
    </r>
    <r>
      <rPr>
        <vertAlign val="superscript"/>
        <sz val="11"/>
        <color theme="1"/>
        <rFont val="Calibri"/>
        <family val="2"/>
        <scheme val="minor"/>
      </rPr>
      <t>2</t>
    </r>
    <r>
      <rPr>
        <sz val="11"/>
        <color theme="1"/>
        <rFont val="Calibri"/>
        <family val="1"/>
        <charset val="2"/>
        <scheme val="minor"/>
      </rPr>
      <t xml:space="preserve">, </t>
    </r>
  </si>
  <si>
    <t>dyne-second-per-square-centimeter</t>
  </si>
  <si>
    <t>kilopound-hour-per-square-meter</t>
  </si>
  <si>
    <r>
      <t>kip-hr/m</t>
    </r>
    <r>
      <rPr>
        <vertAlign val="superscript"/>
        <sz val="11"/>
        <color theme="1"/>
        <rFont val="Calibri"/>
        <family val="2"/>
        <scheme val="minor"/>
      </rPr>
      <t>2</t>
    </r>
  </si>
  <si>
    <r>
      <t>kip-sec/m</t>
    </r>
    <r>
      <rPr>
        <vertAlign val="superscript"/>
        <sz val="11"/>
        <color theme="1"/>
        <rFont val="Calibri"/>
        <family val="2"/>
        <scheme val="minor"/>
      </rPr>
      <t>2</t>
    </r>
  </si>
  <si>
    <t>kilopound-second-per-square-meter</t>
  </si>
  <si>
    <t>millipascal-second</t>
  </si>
  <si>
    <t>mPa-sec</t>
  </si>
  <si>
    <t>pz-sec</t>
  </si>
  <si>
    <t>pieze-second</t>
  </si>
  <si>
    <t>pound-force-hour-per-square-foot</t>
  </si>
  <si>
    <r>
      <t>lbf-hr/ft</t>
    </r>
    <r>
      <rPr>
        <vertAlign val="superscript"/>
        <sz val="11"/>
        <color theme="1"/>
        <rFont val="Calibri"/>
        <family val="2"/>
        <scheme val="minor"/>
      </rPr>
      <t>2</t>
    </r>
  </si>
  <si>
    <r>
      <t>lbf-sec/ft</t>
    </r>
    <r>
      <rPr>
        <vertAlign val="superscript"/>
        <sz val="11"/>
        <color theme="1"/>
        <rFont val="Calibri"/>
        <family val="2"/>
        <scheme val="minor"/>
      </rPr>
      <t>2</t>
    </r>
  </si>
  <si>
    <t>pound-force-second-per-square-foot</t>
  </si>
  <si>
    <t>sthene-second-per-square-meter</t>
  </si>
  <si>
    <r>
      <t>sthene-sec/m</t>
    </r>
    <r>
      <rPr>
        <vertAlign val="superscript"/>
        <sz val="11"/>
        <color theme="1"/>
        <rFont val="Calibri"/>
        <family val="2"/>
        <scheme val="minor"/>
      </rPr>
      <t>2</t>
    </r>
    <r>
      <rPr>
        <sz val="11"/>
        <color theme="1"/>
        <rFont val="Calibri"/>
        <family val="2"/>
        <scheme val="minor"/>
      </rPr>
      <t>, sn-sec/m</t>
    </r>
    <r>
      <rPr>
        <vertAlign val="superscript"/>
        <sz val="11"/>
        <color theme="1"/>
        <rFont val="Calibri"/>
        <family val="2"/>
        <scheme val="minor"/>
      </rPr>
      <t>2</t>
    </r>
  </si>
  <si>
    <r>
      <t>kgf-sec/m</t>
    </r>
    <r>
      <rPr>
        <vertAlign val="superscript"/>
        <sz val="11"/>
        <color theme="1"/>
        <rFont val="Calibri"/>
        <family val="2"/>
        <scheme val="minor"/>
      </rPr>
      <t>2</t>
    </r>
  </si>
  <si>
    <r>
      <t>N-sec/m</t>
    </r>
    <r>
      <rPr>
        <vertAlign val="superscript"/>
        <sz val="11"/>
        <color theme="1"/>
        <rFont val="Calibri"/>
        <family val="2"/>
        <scheme val="minor"/>
      </rPr>
      <t>2</t>
    </r>
  </si>
  <si>
    <t>kilogram-force-second-per-square-meter</t>
  </si>
  <si>
    <t>newton-second-per-square-meter</t>
  </si>
  <si>
    <t>pascal-second</t>
  </si>
  <si>
    <t>Pa-sec</t>
  </si>
  <si>
    <r>
      <t>pdl-sec/ft</t>
    </r>
    <r>
      <rPr>
        <vertAlign val="superscript"/>
        <sz val="11"/>
        <color theme="1"/>
        <rFont val="Calibri"/>
        <family val="2"/>
        <scheme val="minor"/>
      </rPr>
      <t>2</t>
    </r>
  </si>
  <si>
    <t>poundal-second-per-square-foot</t>
  </si>
  <si>
    <t>dots-per-inch</t>
  </si>
  <si>
    <t>points-per-inch</t>
  </si>
  <si>
    <t>tracks-per-inch</t>
  </si>
  <si>
    <t>reciprocal-meter</t>
  </si>
  <si>
    <t>reciprocal-foot</t>
  </si>
  <si>
    <t>elementary-charge</t>
  </si>
  <si>
    <t>atmosphere(standard)</t>
  </si>
  <si>
    <t>kg-water</t>
  </si>
  <si>
    <t>standard-gravity</t>
  </si>
  <si>
    <t>BTU(IT)</t>
  </si>
  <si>
    <t>thermochemical-calorie</t>
  </si>
  <si>
    <t>international-nautical-mile</t>
  </si>
  <si>
    <t>cal(IST)</t>
  </si>
  <si>
    <t>yr(common)</t>
  </si>
  <si>
    <t>earth-equatorial-radius-WGS-84</t>
  </si>
  <si>
    <t>permittivity-of-free-space</t>
  </si>
  <si>
    <t>permeability-of-free-space</t>
  </si>
  <si>
    <t>electron-mass</t>
  </si>
  <si>
    <r>
      <t>pH2O(4</t>
    </r>
    <r>
      <rPr>
        <vertAlign val="superscript"/>
        <sz val="11"/>
        <color theme="1"/>
        <rFont val="Calibri"/>
        <family val="2"/>
        <scheme val="minor"/>
      </rPr>
      <t>o</t>
    </r>
    <r>
      <rPr>
        <sz val="11"/>
        <color theme="1"/>
        <rFont val="Calibri"/>
        <family val="2"/>
        <scheme val="minor"/>
      </rPr>
      <t>C)</t>
    </r>
  </si>
  <si>
    <r>
      <t>pH2O(4</t>
    </r>
    <r>
      <rPr>
        <vertAlign val="superscript"/>
        <sz val="11"/>
        <color theme="1"/>
        <rFont val="Calibri"/>
        <family val="2"/>
        <scheme val="minor"/>
      </rPr>
      <t>o</t>
    </r>
    <r>
      <rPr>
        <sz val="11"/>
        <color theme="1"/>
        <rFont val="Calibri"/>
        <family val="2"/>
        <scheme val="minor"/>
      </rPr>
      <t>F)</t>
    </r>
  </si>
  <si>
    <r>
      <t>pH2O(0</t>
    </r>
    <r>
      <rPr>
        <vertAlign val="superscript"/>
        <sz val="11"/>
        <color theme="1"/>
        <rFont val="Calibri"/>
        <family val="2"/>
        <scheme val="minor"/>
      </rPr>
      <t>o</t>
    </r>
    <r>
      <rPr>
        <sz val="11"/>
        <color theme="1"/>
        <rFont val="Calibri"/>
        <family val="2"/>
        <scheme val="minor"/>
      </rPr>
      <t>C)</t>
    </r>
  </si>
  <si>
    <r>
      <t>pH2O(60</t>
    </r>
    <r>
      <rPr>
        <vertAlign val="superscript"/>
        <sz val="11"/>
        <color theme="1"/>
        <rFont val="Calibri"/>
        <family val="2"/>
        <scheme val="minor"/>
      </rPr>
      <t>o</t>
    </r>
    <r>
      <rPr>
        <sz val="11"/>
        <color theme="1"/>
        <rFont val="Calibri"/>
        <family val="2"/>
        <scheme val="minor"/>
      </rPr>
      <t>F)</t>
    </r>
  </si>
  <si>
    <t>electron-radius</t>
  </si>
  <si>
    <t>proton-mass</t>
  </si>
  <si>
    <r>
      <t>pHg(23</t>
    </r>
    <r>
      <rPr>
        <vertAlign val="superscript"/>
        <sz val="11"/>
        <color theme="1"/>
        <rFont val="Calibri"/>
        <family val="2"/>
        <scheme val="minor"/>
      </rPr>
      <t>o</t>
    </r>
    <r>
      <rPr>
        <sz val="11"/>
        <color theme="1"/>
        <rFont val="Calibri"/>
        <family val="2"/>
        <scheme val="minor"/>
      </rPr>
      <t>C)</t>
    </r>
  </si>
  <si>
    <t>density-of-sea-water</t>
  </si>
  <si>
    <t>gas-constant-for-air</t>
  </si>
  <si>
    <t>ratio-of-specific-heat-for-air</t>
  </si>
  <si>
    <t>BTU(Mean)</t>
  </si>
  <si>
    <r>
      <t>pHg(4</t>
    </r>
    <r>
      <rPr>
        <vertAlign val="superscript"/>
        <sz val="11"/>
        <color theme="1"/>
        <rFont val="Calibri"/>
        <family val="2"/>
        <scheme val="minor"/>
      </rPr>
      <t>o</t>
    </r>
    <r>
      <rPr>
        <sz val="11"/>
        <color theme="1"/>
        <rFont val="Calibri"/>
        <family val="2"/>
        <scheme val="minor"/>
      </rPr>
      <t>C)</t>
    </r>
  </si>
  <si>
    <t>equatorial-radius</t>
  </si>
  <si>
    <t>inverse-flattening</t>
  </si>
  <si>
    <t>angular-velocity</t>
  </si>
  <si>
    <t>polar-radius</t>
  </si>
  <si>
    <t>eccentricity-squared</t>
  </si>
  <si>
    <t>equatorial-gravity</t>
  </si>
  <si>
    <t>polar-gravity</t>
  </si>
  <si>
    <t>gravity-constant</t>
  </si>
  <si>
    <t>foot(UK-old)</t>
  </si>
  <si>
    <t>foot(US-survey)</t>
  </si>
  <si>
    <t>vara(US-Texas)</t>
  </si>
  <si>
    <t>derah(royal-cubit)</t>
  </si>
  <si>
    <t>derah(cubit)</t>
  </si>
  <si>
    <t>pied(de-Paris/du-Roi)</t>
  </si>
  <si>
    <t>canne(Provence)</t>
  </si>
  <si>
    <t>point-didot</t>
  </si>
  <si>
    <t>pied(d'ordonance)</t>
  </si>
  <si>
    <t>piki(mansonary)</t>
  </si>
  <si>
    <t>cubit(acared)</t>
  </si>
  <si>
    <t>piedi-liprando</t>
  </si>
  <si>
    <t>pes(common)</t>
  </si>
  <si>
    <t>pic(Tunisian)</t>
  </si>
  <si>
    <t>rijnlandse-voet</t>
  </si>
  <si>
    <t>cape-foot</t>
  </si>
  <si>
    <t>square-pik</t>
  </si>
  <si>
    <t>square-wah</t>
  </si>
  <si>
    <t>quadratus(Druisian)</t>
  </si>
  <si>
    <t>quadratus(2nd-legal)</t>
  </si>
  <si>
    <t>quadratus(1st-legal)</t>
  </si>
  <si>
    <t>quadratus(common)</t>
  </si>
  <si>
    <t>square-vera</t>
  </si>
  <si>
    <t>square-stopa(Cracow)</t>
  </si>
  <si>
    <t>square-guz(Bombay)</t>
  </si>
  <si>
    <t>becheree(Lyonnais)</t>
  </si>
  <si>
    <t>tarefa(max)</t>
  </si>
  <si>
    <t>tarefa(min)</t>
  </si>
  <si>
    <t>tarefa(nominal)</t>
  </si>
  <si>
    <t>salamis(max)</t>
  </si>
  <si>
    <t>salamis(min)</t>
  </si>
  <si>
    <t>salamis(nominal)</t>
  </si>
  <si>
    <t>square-pic(dzera-a-torky)</t>
  </si>
  <si>
    <t>atomic-cross-section</t>
  </si>
  <si>
    <t>pond(ordinary)</t>
  </si>
  <si>
    <t>livre(Charlemange)</t>
  </si>
  <si>
    <t>mina(Talmudic)</t>
  </si>
  <si>
    <t>batman(nomial)</t>
  </si>
  <si>
    <t>batman(min)</t>
  </si>
  <si>
    <t>batman(max)</t>
  </si>
  <si>
    <t>gallon(UK)</t>
  </si>
  <si>
    <t>gallon(US)</t>
  </si>
  <si>
    <t>liter(old)</t>
  </si>
  <si>
    <t>botella(nominal)</t>
  </si>
  <si>
    <t>botella(min)</t>
  </si>
  <si>
    <t>botella(max)</t>
  </si>
  <si>
    <t>cubic-stopa(Moravian)</t>
  </si>
  <si>
    <t>oka(average)</t>
  </si>
  <si>
    <t>cubic-vera</t>
  </si>
  <si>
    <t>barile(Florence-oil)</t>
  </si>
  <si>
    <t>lippy(oat-barley-malt)</t>
  </si>
  <si>
    <t>lippy(wheat-peas-beans-rice-salt)</t>
  </si>
  <si>
    <t>arroba(oil)</t>
  </si>
  <si>
    <t>tanan(nomial)</t>
  </si>
  <si>
    <t>tanan(min)</t>
  </si>
  <si>
    <t>tanan(max)</t>
  </si>
  <si>
    <t>cubic-pik</t>
  </si>
  <si>
    <t>barile(Florence-wine)</t>
  </si>
  <si>
    <t>basis-box</t>
  </si>
  <si>
    <t>kilogram-per-hectare</t>
  </si>
  <si>
    <t>milligram-per-square-centimeter</t>
  </si>
  <si>
    <t>milligram-per-square-millimeter</t>
  </si>
  <si>
    <t>ounce-per-square-foot</t>
  </si>
  <si>
    <t>ounce-per-square-inch</t>
  </si>
  <si>
    <t>ounce-per-square-yard</t>
  </si>
  <si>
    <t>pound-per-acre</t>
  </si>
  <si>
    <t>pound-per-square-foot</t>
  </si>
  <si>
    <t>pound-per-square-inch</t>
  </si>
  <si>
    <t>grain-percubic-foot</t>
  </si>
  <si>
    <t>grain-per-gallon</t>
  </si>
  <si>
    <t>gram-per-cubic-millimeter</t>
  </si>
  <si>
    <t>gram-per-cubic-centimeter</t>
  </si>
  <si>
    <t>gram-per-cubic-decimeter</t>
  </si>
  <si>
    <t>pound-per-gallon</t>
  </si>
  <si>
    <t>ton-per-cubic-meter</t>
  </si>
  <si>
    <t>ton-per-cubic-decimeter</t>
  </si>
  <si>
    <t>ton-per-cubic-centimeter</t>
  </si>
  <si>
    <t>abcoulomb</t>
  </si>
  <si>
    <t>abfarad</t>
  </si>
  <si>
    <r>
      <t>centigrade-heat-unit(15</t>
    </r>
    <r>
      <rPr>
        <vertAlign val="superscript"/>
        <sz val="11"/>
        <color theme="1"/>
        <rFont val="Calibri"/>
        <family val="2"/>
        <scheme val="minor"/>
      </rPr>
      <t>o</t>
    </r>
    <r>
      <rPr>
        <sz val="11"/>
        <color theme="1"/>
        <rFont val="Calibri"/>
        <family val="2"/>
        <scheme val="minor"/>
      </rPr>
      <t>C)</t>
    </r>
  </si>
  <si>
    <t>liter-atmosphere</t>
  </si>
  <si>
    <t>micri-erg</t>
  </si>
  <si>
    <t>miners-inch</t>
  </si>
  <si>
    <t>millibar</t>
  </si>
  <si>
    <r>
      <t>millimeter-of-mercury(0</t>
    </r>
    <r>
      <rPr>
        <vertAlign val="superscript"/>
        <sz val="11"/>
        <color theme="1"/>
        <rFont val="Calibri"/>
        <family val="2"/>
        <scheme val="minor"/>
      </rPr>
      <t>o</t>
    </r>
    <r>
      <rPr>
        <sz val="11"/>
        <color theme="1"/>
        <rFont val="Calibri"/>
        <family val="2"/>
        <scheme val="minor"/>
      </rPr>
      <t>C)</t>
    </r>
  </si>
  <si>
    <t>reyns</t>
  </si>
  <si>
    <t>thi-ly</t>
  </si>
  <si>
    <t>cubit(hachemic)</t>
  </si>
  <si>
    <t>unit</t>
  </si>
  <si>
    <t>tael(troy)</t>
  </si>
  <si>
    <t>long-cubit</t>
  </si>
  <si>
    <t>mil-hachmi</t>
  </si>
  <si>
    <t>sintzer</t>
  </si>
  <si>
    <t>beesa(Calcutta)</t>
  </si>
  <si>
    <t>angula</t>
  </si>
  <si>
    <t>bigha(Bangladesh)</t>
  </si>
  <si>
    <t>karvar</t>
  </si>
  <si>
    <t>arc-minute</t>
  </si>
  <si>
    <t>cota-ban</t>
  </si>
  <si>
    <t>quintalmacho</t>
  </si>
  <si>
    <t>square-ref</t>
  </si>
  <si>
    <t>brache</t>
  </si>
  <si>
    <t>skein(cotton)</t>
  </si>
  <si>
    <t>ream(perfect)</t>
  </si>
  <si>
    <r>
      <t>density-of-water(4</t>
    </r>
    <r>
      <rPr>
        <vertAlign val="superscript"/>
        <sz val="11"/>
        <color theme="1"/>
        <rFont val="Calibri"/>
        <family val="2"/>
        <scheme val="minor"/>
      </rPr>
      <t>0</t>
    </r>
    <r>
      <rPr>
        <sz val="11"/>
        <color theme="1"/>
        <rFont val="Calibri"/>
        <family val="2"/>
        <scheme val="minor"/>
      </rPr>
      <t>C)</t>
    </r>
  </si>
  <si>
    <r>
      <t>density-of-water(60</t>
    </r>
    <r>
      <rPr>
        <vertAlign val="superscript"/>
        <sz val="11"/>
        <color theme="1"/>
        <rFont val="Calibri"/>
        <family val="2"/>
        <scheme val="minor"/>
      </rPr>
      <t>0</t>
    </r>
    <r>
      <rPr>
        <sz val="11"/>
        <color theme="1"/>
        <rFont val="Calibri"/>
        <family val="2"/>
        <scheme val="minor"/>
      </rPr>
      <t>F)</t>
    </r>
  </si>
  <si>
    <r>
      <t>density-of-mercury(0</t>
    </r>
    <r>
      <rPr>
        <vertAlign val="superscript"/>
        <sz val="11"/>
        <color theme="1"/>
        <rFont val="Calibri"/>
        <family val="2"/>
        <scheme val="minor"/>
      </rPr>
      <t>0</t>
    </r>
    <r>
      <rPr>
        <sz val="11"/>
        <color theme="1"/>
        <rFont val="Calibri"/>
        <family val="2"/>
        <scheme val="minor"/>
      </rPr>
      <t>C)</t>
    </r>
  </si>
  <si>
    <r>
      <t>density-of-mercury(60</t>
    </r>
    <r>
      <rPr>
        <vertAlign val="superscript"/>
        <sz val="11"/>
        <color theme="1"/>
        <rFont val="Calibri"/>
        <family val="2"/>
        <scheme val="minor"/>
      </rPr>
      <t>0</t>
    </r>
    <r>
      <rPr>
        <sz val="11"/>
        <color theme="1"/>
        <rFont val="Calibri"/>
        <family val="2"/>
        <scheme val="minor"/>
      </rPr>
      <t>F)</t>
    </r>
  </si>
  <si>
    <r>
      <t>density-of-mercury(23</t>
    </r>
    <r>
      <rPr>
        <vertAlign val="superscript"/>
        <sz val="11"/>
        <color theme="1"/>
        <rFont val="Calibri"/>
        <family val="2"/>
        <scheme val="minor"/>
      </rPr>
      <t>0</t>
    </r>
    <r>
      <rPr>
        <sz val="11"/>
        <color theme="1"/>
        <rFont val="Calibri"/>
        <family val="2"/>
        <scheme val="minor"/>
      </rPr>
      <t>C)</t>
    </r>
  </si>
  <si>
    <r>
      <t>density-of-mercury(4</t>
    </r>
    <r>
      <rPr>
        <vertAlign val="superscript"/>
        <sz val="11"/>
        <color theme="1"/>
        <rFont val="Calibri"/>
        <family val="2"/>
        <scheme val="minor"/>
      </rPr>
      <t>0</t>
    </r>
    <r>
      <rPr>
        <sz val="11"/>
        <color theme="1"/>
        <rFont val="Calibri"/>
        <family val="2"/>
        <scheme val="minor"/>
      </rPr>
      <t>C)</t>
    </r>
  </si>
  <si>
    <t>pound(UK-Imperial)</t>
  </si>
  <si>
    <t>gallon(UK-beer)</t>
  </si>
  <si>
    <t>alquiera(common)</t>
  </si>
  <si>
    <t>pes(Druisian)</t>
  </si>
  <si>
    <t>cmi, cir-mi</t>
  </si>
  <si>
    <t>ct(metric)</t>
  </si>
  <si>
    <t>Rt</t>
  </si>
  <si>
    <t>feet</t>
  </si>
  <si>
    <t>square-feet</t>
  </si>
  <si>
    <t>ft, feet</t>
  </si>
  <si>
    <t>in, inches</t>
  </si>
  <si>
    <t>yd, yards</t>
  </si>
  <si>
    <t>mi, miles</t>
  </si>
  <si>
    <r>
      <t>ft</t>
    </r>
    <r>
      <rPr>
        <vertAlign val="superscript"/>
        <sz val="11"/>
        <color theme="1"/>
        <rFont val="Calibri"/>
        <family val="2"/>
        <scheme val="minor"/>
      </rPr>
      <t>2</t>
    </r>
    <r>
      <rPr>
        <sz val="11"/>
        <color theme="1"/>
        <rFont val="Calibri"/>
        <family val="2"/>
        <scheme val="minor"/>
      </rPr>
      <t>, sq-ft, square-feet</t>
    </r>
  </si>
  <si>
    <r>
      <t>in</t>
    </r>
    <r>
      <rPr>
        <vertAlign val="superscript"/>
        <sz val="11"/>
        <color theme="1"/>
        <rFont val="Calibri"/>
        <family val="2"/>
        <scheme val="minor"/>
      </rPr>
      <t>2</t>
    </r>
    <r>
      <rPr>
        <sz val="11"/>
        <color theme="1"/>
        <rFont val="Calibri"/>
        <family val="2"/>
        <scheme val="minor"/>
      </rPr>
      <t>, sq-in, square-inches</t>
    </r>
  </si>
  <si>
    <r>
      <t>yd</t>
    </r>
    <r>
      <rPr>
        <vertAlign val="superscript"/>
        <sz val="11"/>
        <color theme="1"/>
        <rFont val="Calibri"/>
        <family val="2"/>
        <scheme val="minor"/>
      </rPr>
      <t>2</t>
    </r>
    <r>
      <rPr>
        <sz val="11"/>
        <color theme="1"/>
        <rFont val="Calibri"/>
        <family val="2"/>
        <scheme val="minor"/>
      </rPr>
      <t>, sq-yd, square-yards</t>
    </r>
  </si>
  <si>
    <r>
      <t>mi</t>
    </r>
    <r>
      <rPr>
        <vertAlign val="superscript"/>
        <sz val="11"/>
        <color theme="1"/>
        <rFont val="Calibri"/>
        <family val="2"/>
        <scheme val="minor"/>
      </rPr>
      <t>2</t>
    </r>
    <r>
      <rPr>
        <sz val="11"/>
        <color theme="1"/>
        <rFont val="Calibri"/>
        <family val="2"/>
        <scheme val="minor"/>
      </rPr>
      <t>, sq-mi, square-miles</t>
    </r>
  </si>
  <si>
    <r>
      <t>ft</t>
    </r>
    <r>
      <rPr>
        <vertAlign val="superscript"/>
        <sz val="11"/>
        <color theme="1"/>
        <rFont val="Calibri"/>
        <family val="2"/>
        <scheme val="minor"/>
      </rPr>
      <t>3</t>
    </r>
    <r>
      <rPr>
        <sz val="11"/>
        <color theme="1"/>
        <rFont val="Calibri"/>
        <family val="2"/>
        <scheme val="minor"/>
      </rPr>
      <t>, cu-ft, cubic-feet</t>
    </r>
  </si>
  <si>
    <r>
      <t>in</t>
    </r>
    <r>
      <rPr>
        <vertAlign val="superscript"/>
        <sz val="11"/>
        <color theme="1"/>
        <rFont val="Calibri"/>
        <family val="2"/>
        <scheme val="minor"/>
      </rPr>
      <t>3</t>
    </r>
    <r>
      <rPr>
        <sz val="11"/>
        <color theme="1"/>
        <rFont val="Calibri"/>
        <family val="2"/>
        <scheme val="minor"/>
      </rPr>
      <t>, cu-in, cubic-inches</t>
    </r>
  </si>
  <si>
    <r>
      <t>yd</t>
    </r>
    <r>
      <rPr>
        <vertAlign val="superscript"/>
        <sz val="11"/>
        <color theme="1"/>
        <rFont val="Calibri"/>
        <family val="2"/>
        <scheme val="minor"/>
      </rPr>
      <t>3</t>
    </r>
    <r>
      <rPr>
        <sz val="11"/>
        <color theme="1"/>
        <rFont val="Calibri"/>
        <family val="2"/>
        <scheme val="minor"/>
      </rPr>
      <t>, cu-yd, cubic-yards</t>
    </r>
  </si>
  <si>
    <r>
      <t>mi</t>
    </r>
    <r>
      <rPr>
        <vertAlign val="superscript"/>
        <sz val="11"/>
        <color theme="1"/>
        <rFont val="Calibri"/>
        <family val="2"/>
        <scheme val="minor"/>
      </rPr>
      <t>3</t>
    </r>
    <r>
      <rPr>
        <sz val="11"/>
        <color theme="1"/>
        <rFont val="Calibri"/>
        <family val="2"/>
        <scheme val="minor"/>
      </rPr>
      <t>, cu-mi, cubic-miles</t>
    </r>
  </si>
  <si>
    <t>gal, gallons</t>
  </si>
  <si>
    <t>qt, quarts</t>
  </si>
  <si>
    <t>pt, pints</t>
  </si>
  <si>
    <t>cups</t>
  </si>
  <si>
    <t>lb, pounds</t>
  </si>
  <si>
    <t>oz, ounces</t>
  </si>
  <si>
    <r>
      <t>sq-mi, mi</t>
    </r>
    <r>
      <rPr>
        <vertAlign val="superscript"/>
        <sz val="11"/>
        <color theme="1"/>
        <rFont val="Calibri"/>
        <family val="2"/>
        <scheme val="minor"/>
      </rPr>
      <t>2</t>
    </r>
    <r>
      <rPr>
        <sz val="11"/>
        <color theme="1"/>
        <rFont val="Calibri"/>
        <family val="2"/>
        <scheme val="minor"/>
      </rPr>
      <t>, square-miles</t>
    </r>
  </si>
  <si>
    <r>
      <t>yd</t>
    </r>
    <r>
      <rPr>
        <vertAlign val="superscript"/>
        <sz val="11"/>
        <color theme="1"/>
        <rFont val="Calibri"/>
        <family val="2"/>
        <scheme val="minor"/>
      </rPr>
      <t>2</t>
    </r>
    <r>
      <rPr>
        <sz val="11"/>
        <color theme="1"/>
        <rFont val="Calibri"/>
        <family val="2"/>
        <scheme val="minor"/>
      </rPr>
      <t>,sq-yd, square-yards</t>
    </r>
  </si>
  <si>
    <t>miles</t>
  </si>
  <si>
    <t>yards</t>
  </si>
  <si>
    <t>cubic-feet</t>
  </si>
  <si>
    <t>inches</t>
  </si>
  <si>
    <t>square-inches</t>
  </si>
  <si>
    <t>ac, acres</t>
  </si>
  <si>
    <r>
      <t>ft</t>
    </r>
    <r>
      <rPr>
        <vertAlign val="superscript"/>
        <sz val="11"/>
        <color theme="1"/>
        <rFont val="Calibri"/>
        <family val="2"/>
        <scheme val="minor"/>
      </rPr>
      <t>3</t>
    </r>
    <r>
      <rPr>
        <sz val="11"/>
        <color theme="1"/>
        <rFont val="Calibri"/>
        <family val="2"/>
        <scheme val="minor"/>
      </rPr>
      <t>,cu-ft, cubic-feet</t>
    </r>
  </si>
  <si>
    <t>ly, AL, al. light-years</t>
  </si>
  <si>
    <t>pc, parsecs</t>
  </si>
  <si>
    <t>sq-leag, square-leagues</t>
  </si>
  <si>
    <t>pounds, lb</t>
  </si>
  <si>
    <t>fath, fathoms</t>
  </si>
  <si>
    <t>fur, furlongs</t>
  </si>
  <si>
    <t>leag, leagues</t>
  </si>
  <si>
    <t>rd, rods</t>
  </si>
  <si>
    <t>acres</t>
  </si>
  <si>
    <r>
      <t>rd</t>
    </r>
    <r>
      <rPr>
        <vertAlign val="superscript"/>
        <sz val="11"/>
        <color theme="1"/>
        <rFont val="Calibri"/>
        <family val="2"/>
        <scheme val="minor"/>
      </rPr>
      <t>2</t>
    </r>
    <r>
      <rPr>
        <sz val="11"/>
        <color theme="1"/>
        <rFont val="Calibri"/>
        <family val="2"/>
        <scheme val="minor"/>
      </rPr>
      <t>, square-rods</t>
    </r>
  </si>
  <si>
    <t>slugs</t>
  </si>
  <si>
    <t>nmi, nautical-miles</t>
  </si>
  <si>
    <r>
      <t>sq-mi,mi</t>
    </r>
    <r>
      <rPr>
        <vertAlign val="superscript"/>
        <sz val="11"/>
        <color theme="1"/>
        <rFont val="Calibri"/>
        <family val="2"/>
        <scheme val="minor"/>
      </rPr>
      <t>2</t>
    </r>
    <r>
      <rPr>
        <sz val="11"/>
        <color theme="1"/>
        <rFont val="Calibri"/>
        <family val="2"/>
        <scheme val="minor"/>
      </rPr>
      <t>, square-miles</t>
    </r>
  </si>
  <si>
    <t>fathoms</t>
  </si>
  <si>
    <t>furlongs</t>
  </si>
  <si>
    <t>gallons</t>
  </si>
  <si>
    <t>m, meters</t>
  </si>
  <si>
    <t>l, liters</t>
  </si>
  <si>
    <t>g, grams</t>
  </si>
  <si>
    <t>mi, mile(statute), miles</t>
  </si>
  <si>
    <t>cubic-miles</t>
  </si>
  <si>
    <r>
      <t>in</t>
    </r>
    <r>
      <rPr>
        <vertAlign val="superscript"/>
        <sz val="11"/>
        <color theme="1"/>
        <rFont val="Calibri"/>
        <family val="2"/>
        <scheme val="minor"/>
      </rPr>
      <t>3</t>
    </r>
    <r>
      <rPr>
        <sz val="11"/>
        <color theme="1"/>
        <rFont val="Calibri"/>
        <family val="1"/>
        <charset val="2"/>
        <scheme val="minor"/>
      </rPr>
      <t>, cu-in, cubic-inches</t>
    </r>
  </si>
  <si>
    <r>
      <t>ft</t>
    </r>
    <r>
      <rPr>
        <vertAlign val="superscript"/>
        <sz val="11"/>
        <color theme="1"/>
        <rFont val="Calibri"/>
        <family val="2"/>
        <scheme val="minor"/>
      </rPr>
      <t>3</t>
    </r>
    <r>
      <rPr>
        <sz val="11"/>
        <color theme="1"/>
        <rFont val="Calibri"/>
        <family val="1"/>
        <charset val="2"/>
        <scheme val="minor"/>
      </rPr>
      <t>, cu-ft, cubic-feet</t>
    </r>
  </si>
  <si>
    <r>
      <t>yd</t>
    </r>
    <r>
      <rPr>
        <vertAlign val="superscript"/>
        <sz val="11"/>
        <color theme="1"/>
        <rFont val="Calibri"/>
        <family val="2"/>
        <scheme val="minor"/>
      </rPr>
      <t>3</t>
    </r>
    <r>
      <rPr>
        <sz val="11"/>
        <color theme="1"/>
        <rFont val="Calibri"/>
        <family val="1"/>
        <charset val="2"/>
        <scheme val="minor"/>
      </rPr>
      <t>, cu-yd, cubic-yards</t>
    </r>
  </si>
  <si>
    <t>ounces, oz</t>
  </si>
  <si>
    <t>yottaradian</t>
  </si>
  <si>
    <t>zettaradian</t>
  </si>
  <si>
    <t>exaradian</t>
  </si>
  <si>
    <t>petaradian</t>
  </si>
  <si>
    <t>teraradian</t>
  </si>
  <si>
    <t>gigaradian</t>
  </si>
  <si>
    <t>megaradian</t>
  </si>
  <si>
    <t>kiloradian</t>
  </si>
  <si>
    <t>hectoradian</t>
  </si>
  <si>
    <t>decaradian</t>
  </si>
  <si>
    <t>deciradian</t>
  </si>
  <si>
    <t>centiradian</t>
  </si>
  <si>
    <t>microradian</t>
  </si>
  <si>
    <t>nanoradian</t>
  </si>
  <si>
    <t>picoradian</t>
  </si>
  <si>
    <t>femtoradian</t>
  </si>
  <si>
    <t>attoradian</t>
  </si>
  <si>
    <t>zeptoradian</t>
  </si>
  <si>
    <t>yoctoradian</t>
  </si>
  <si>
    <t>Yrad</t>
  </si>
  <si>
    <t>Zrad</t>
  </si>
  <si>
    <t>Erad</t>
  </si>
  <si>
    <t>Prad</t>
  </si>
  <si>
    <t>Trad</t>
  </si>
  <si>
    <t>Grad</t>
  </si>
  <si>
    <t>Mrad</t>
  </si>
  <si>
    <t>krad</t>
  </si>
  <si>
    <t>hrad</t>
  </si>
  <si>
    <t>darad</t>
  </si>
  <si>
    <t>drad</t>
  </si>
  <si>
    <t>crad</t>
  </si>
  <si>
    <t>mrad,millirad</t>
  </si>
  <si>
    <t>urad</t>
  </si>
  <si>
    <t>nrad</t>
  </si>
  <si>
    <t>prad</t>
  </si>
  <si>
    <t>frad</t>
  </si>
  <si>
    <t>arad</t>
  </si>
  <si>
    <t>zrad</t>
  </si>
  <si>
    <t>yrad</t>
  </si>
  <si>
    <t>yottasteradian</t>
  </si>
  <si>
    <t>zettasteradian</t>
  </si>
  <si>
    <t>exasteradian</t>
  </si>
  <si>
    <t>petasteradian</t>
  </si>
  <si>
    <t>terasteradian</t>
  </si>
  <si>
    <t>gigasteradian</t>
  </si>
  <si>
    <t>megasteradian</t>
  </si>
  <si>
    <t>kilosteradian</t>
  </si>
  <si>
    <t>hectosteradian</t>
  </si>
  <si>
    <t>decasteradian</t>
  </si>
  <si>
    <t>decisteradian</t>
  </si>
  <si>
    <t>centisteradian</t>
  </si>
  <si>
    <t>millisteradian</t>
  </si>
  <si>
    <t>microsteradian</t>
  </si>
  <si>
    <t>nanosteradian</t>
  </si>
  <si>
    <t>picosteradian</t>
  </si>
  <si>
    <t>femtosteradian</t>
  </si>
  <si>
    <t>attosteradian</t>
  </si>
  <si>
    <t>zeptosteradian</t>
  </si>
  <si>
    <t>yoctosteradian</t>
  </si>
  <si>
    <t>Ysr</t>
  </si>
  <si>
    <t>Zsr</t>
  </si>
  <si>
    <t>Esr</t>
  </si>
  <si>
    <t>Psr</t>
  </si>
  <si>
    <t>Tsr</t>
  </si>
  <si>
    <t>Gsr</t>
  </si>
  <si>
    <t>Msr</t>
  </si>
  <si>
    <t>ksr</t>
  </si>
  <si>
    <t>hsr</t>
  </si>
  <si>
    <t>dasr</t>
  </si>
  <si>
    <t>dsr</t>
  </si>
  <si>
    <t>csr</t>
  </si>
  <si>
    <t>msr</t>
  </si>
  <si>
    <t>usr</t>
  </si>
  <si>
    <t>nsr</t>
  </si>
  <si>
    <t>psr</t>
  </si>
  <si>
    <t>fsr</t>
  </si>
  <si>
    <t>asr</t>
  </si>
  <si>
    <t>zsr</t>
  </si>
  <si>
    <t>ysr</t>
  </si>
  <si>
    <t>electricFieldGradient, gradient of electric field strength</t>
  </si>
  <si>
    <t>square-centimeter-per-second</t>
  </si>
  <si>
    <t>Date</t>
  </si>
  <si>
    <t>Version</t>
  </si>
  <si>
    <t>1.0</t>
  </si>
  <si>
    <t>Done</t>
  </si>
  <si>
    <t>Instructions</t>
  </si>
  <si>
    <t>2024</t>
  </si>
  <si>
    <t>year</t>
  </si>
  <si>
    <t>day(anomalistic)</t>
  </si>
  <si>
    <t xml:space="preserve">Unit </t>
  </si>
  <si>
    <t>pix</t>
  </si>
  <si>
    <t>vox</t>
  </si>
  <si>
    <t>Count</t>
  </si>
  <si>
    <t>Factors</t>
  </si>
  <si>
    <t>Madagascar</t>
  </si>
  <si>
    <t>Malagasy</t>
  </si>
  <si>
    <t>rahf</t>
  </si>
  <si>
    <t>nanki</t>
  </si>
  <si>
    <t>square-rahf</t>
  </si>
  <si>
    <t>cubic-rahf</t>
  </si>
  <si>
    <t>bambou</t>
  </si>
  <si>
    <t>vari</t>
  </si>
  <si>
    <t>sompi</t>
  </si>
  <si>
    <t>Tanzanian</t>
  </si>
  <si>
    <t>Tanzania</t>
  </si>
  <si>
    <t>ohra</t>
  </si>
  <si>
    <t>square-ohra</t>
  </si>
  <si>
    <t>mane</t>
  </si>
  <si>
    <t>bazla</t>
  </si>
  <si>
    <t>franzella</t>
  </si>
  <si>
    <t>djezla</t>
  </si>
  <si>
    <t>cubic-ohra</t>
  </si>
  <si>
    <t>djzela</t>
  </si>
  <si>
    <t>Afgan</t>
  </si>
  <si>
    <t>gaz-i-shah</t>
  </si>
  <si>
    <t>gaz-i-mimar</t>
  </si>
  <si>
    <t>gaz-i-jareeb</t>
  </si>
  <si>
    <t>jareeb</t>
  </si>
  <si>
    <t>biswah</t>
  </si>
  <si>
    <t>biswasah</t>
  </si>
  <si>
    <t>goes</t>
  </si>
  <si>
    <t>Afghanistan</t>
  </si>
  <si>
    <t>Afghan</t>
  </si>
  <si>
    <t>nakhud</t>
  </si>
  <si>
    <t>misqal</t>
  </si>
  <si>
    <t>khurd</t>
  </si>
  <si>
    <t>pao</t>
  </si>
  <si>
    <t>kharwar</t>
  </si>
  <si>
    <t>puri</t>
  </si>
  <si>
    <t>khaltar</t>
  </si>
  <si>
    <t>cubic-gaz-i-shah</t>
  </si>
  <si>
    <t>tanab</t>
  </si>
  <si>
    <t>Korea</t>
  </si>
  <si>
    <t>Korean</t>
  </si>
  <si>
    <t>cheok</t>
  </si>
  <si>
    <t>pyeong</t>
  </si>
  <si>
    <t>gwan</t>
  </si>
  <si>
    <t>doe</t>
  </si>
  <si>
    <t>cubic-cheok</t>
  </si>
  <si>
    <t>ho</t>
  </si>
  <si>
    <t>pun</t>
  </si>
  <si>
    <t>bun</t>
  </si>
  <si>
    <t>chon</t>
  </si>
  <si>
    <t>ja</t>
  </si>
  <si>
    <t>bo</t>
  </si>
  <si>
    <t>jang</t>
  </si>
  <si>
    <t>jeong</t>
  </si>
  <si>
    <t>jak</t>
  </si>
  <si>
    <t>hop</t>
  </si>
  <si>
    <t>myo</t>
  </si>
  <si>
    <t>danbo</t>
  </si>
  <si>
    <t>jeongbo</t>
  </si>
  <si>
    <t>gyeong</t>
  </si>
  <si>
    <t>doejigi</t>
  </si>
  <si>
    <t>majigi</t>
  </si>
  <si>
    <t>durak</t>
  </si>
  <si>
    <t>seomjigi</t>
  </si>
  <si>
    <t>seung</t>
  </si>
  <si>
    <t>mai</t>
  </si>
  <si>
    <t>du</t>
  </si>
  <si>
    <t>seom</t>
  </si>
  <si>
    <t>seok</t>
  </si>
  <si>
    <t>jeom</t>
  </si>
  <si>
    <t>sogok</t>
  </si>
  <si>
    <t>pyeongseok</t>
  </si>
  <si>
    <t>daegok</t>
  </si>
  <si>
    <t>jeonseok</t>
  </si>
  <si>
    <t>don</t>
  </si>
  <si>
    <t>nyang</t>
  </si>
  <si>
    <t>geun</t>
  </si>
  <si>
    <t>geun(meat)</t>
  </si>
  <si>
    <t>Oman</t>
  </si>
  <si>
    <t>Omani</t>
  </si>
  <si>
    <t>muscat</t>
  </si>
  <si>
    <t>square-muscat</t>
  </si>
  <si>
    <t>ferren</t>
  </si>
  <si>
    <t>cubic-muscat</t>
  </si>
  <si>
    <t>kotschas</t>
  </si>
  <si>
    <t>US Avoirdupois</t>
  </si>
  <si>
    <t>UK Avoirdupois</t>
  </si>
  <si>
    <t>Pakistani</t>
  </si>
  <si>
    <t>kos</t>
  </si>
  <si>
    <t>kanai</t>
  </si>
  <si>
    <t>marla</t>
  </si>
  <si>
    <t>karam</t>
  </si>
  <si>
    <t>cubic-karam</t>
  </si>
  <si>
    <t>Pakistan</t>
  </si>
  <si>
    <t>square-karam</t>
  </si>
  <si>
    <t>Singaporean</t>
  </si>
  <si>
    <t>cubic-cubit</t>
  </si>
  <si>
    <t>buncai</t>
  </si>
  <si>
    <t>Taiwanese</t>
  </si>
  <si>
    <t>Taiwan</t>
  </si>
  <si>
    <t>nu</t>
  </si>
  <si>
    <t>chhioh</t>
  </si>
  <si>
    <t>cubic-chhioh</t>
  </si>
  <si>
    <t>chhun</t>
  </si>
  <si>
    <t>tng</t>
  </si>
  <si>
    <t>kah</t>
  </si>
  <si>
    <t>ilter</t>
  </si>
  <si>
    <t>kun</t>
  </si>
  <si>
    <t>Tamil</t>
  </si>
  <si>
    <t>yaar</t>
  </si>
  <si>
    <t>cent</t>
  </si>
  <si>
    <t>palam</t>
  </si>
  <si>
    <t>padi</t>
  </si>
  <si>
    <t>koan</t>
  </si>
  <si>
    <t>yel</t>
  </si>
  <si>
    <t>nel</t>
  </si>
  <si>
    <t>viral</t>
  </si>
  <si>
    <t>san</t>
  </si>
  <si>
    <t>pagam</t>
  </si>
  <si>
    <t>mulam</t>
  </si>
  <si>
    <t>patakku</t>
  </si>
  <si>
    <t>mukkuruni</t>
  </si>
  <si>
    <t>kajam</t>
  </si>
  <si>
    <t>visam</t>
  </si>
  <si>
    <t>kuli</t>
  </si>
  <si>
    <t>veli</t>
  </si>
  <si>
    <t>thakku</t>
  </si>
  <si>
    <t>parappu</t>
  </si>
  <si>
    <t>lacham</t>
  </si>
  <si>
    <t>kulies</t>
  </si>
  <si>
    <t>lacham(paddy)</t>
  </si>
  <si>
    <t>kaqhsu</t>
  </si>
  <si>
    <t>kalancu</t>
  </si>
  <si>
    <t>panaveadai</t>
  </si>
  <si>
    <t>vardgadedai</t>
  </si>
  <si>
    <t>mancddi</t>
  </si>
  <si>
    <t>kunrimani</t>
  </si>
  <si>
    <t>veesai</t>
  </si>
  <si>
    <t>ka</t>
  </si>
  <si>
    <t>tulam</t>
  </si>
  <si>
    <t>manangu</t>
  </si>
  <si>
    <t>param</t>
  </si>
  <si>
    <t>uri</t>
  </si>
  <si>
    <t>alakku</t>
  </si>
  <si>
    <t>sevidu</t>
  </si>
  <si>
    <t>marakkal</t>
  </si>
  <si>
    <t>padakku</t>
  </si>
  <si>
    <t>toni</t>
  </si>
  <si>
    <t>kalam</t>
  </si>
  <si>
    <t>parai</t>
  </si>
  <si>
    <t>karisai</t>
  </si>
  <si>
    <t>pothi</t>
  </si>
  <si>
    <t>modai</t>
  </si>
  <si>
    <t>kottai</t>
  </si>
  <si>
    <t>mahani</t>
  </si>
  <si>
    <t>Nepalese</t>
  </si>
  <si>
    <t>Nepal</t>
  </si>
  <si>
    <t>angul</t>
  </si>
  <si>
    <t>pathi</t>
  </si>
  <si>
    <t>cubic-angul</t>
  </si>
  <si>
    <t>Napalese</t>
  </si>
  <si>
    <t>dharnugrah</t>
  </si>
  <si>
    <t>dhanurmushti</t>
  </si>
  <si>
    <t>vitastaa</t>
  </si>
  <si>
    <t>haath</t>
  </si>
  <si>
    <t>kosh, gourt</t>
  </si>
  <si>
    <t>dand</t>
  </si>
  <si>
    <t>yojan</t>
  </si>
  <si>
    <t>paisa</t>
  </si>
  <si>
    <t>aana</t>
  </si>
  <si>
    <t>ropani</t>
  </si>
  <si>
    <t>dhur</t>
  </si>
  <si>
    <t>kattha</t>
  </si>
  <si>
    <t>khetmuri</t>
  </si>
  <si>
    <t>mana</t>
  </si>
  <si>
    <t>mutthi</t>
  </si>
  <si>
    <t>muri</t>
  </si>
  <si>
    <t>lal</t>
  </si>
  <si>
    <t>chatak</t>
  </si>
  <si>
    <t>pau</t>
  </si>
  <si>
    <t>dharni</t>
  </si>
  <si>
    <t>Tatar</t>
  </si>
  <si>
    <t>caqrim</t>
  </si>
  <si>
    <t>sajin</t>
  </si>
  <si>
    <t>quadrat-sajin</t>
  </si>
  <si>
    <t>qadaq</t>
  </si>
  <si>
    <t>duym</t>
  </si>
  <si>
    <t>qans</t>
  </si>
  <si>
    <t>cirek</t>
  </si>
  <si>
    <t>soyam</t>
  </si>
  <si>
    <t>farsax</t>
  </si>
  <si>
    <t>atni-tuqtawsız-yurıyu</t>
  </si>
  <si>
    <t>cayawlenen-konlek-yuli</t>
  </si>
  <si>
    <t>antnin-konlek-yuli</t>
  </si>
  <si>
    <t>cayawlenen-ayliq-yuli</t>
  </si>
  <si>
    <t>carib</t>
  </si>
  <si>
    <t>distina</t>
  </si>
  <si>
    <t>quadrat-carqrim</t>
  </si>
  <si>
    <t>cubic-qadaq</t>
  </si>
  <si>
    <t>cirektan</t>
  </si>
  <si>
    <t>cilak</t>
  </si>
  <si>
    <t>podawqa</t>
  </si>
  <si>
    <t>pociq</t>
  </si>
  <si>
    <t>oles</t>
  </si>
  <si>
    <t>bevrkovets</t>
  </si>
  <si>
    <t>Byzantium</t>
  </si>
  <si>
    <t>Byzantine</t>
  </si>
  <si>
    <t>ogkia</t>
  </si>
  <si>
    <t>cubic-pous</t>
  </si>
  <si>
    <t>Sumeria</t>
  </si>
  <si>
    <t>Sumerian</t>
  </si>
  <si>
    <t>kus</t>
  </si>
  <si>
    <t>gin</t>
  </si>
  <si>
    <t>sila</t>
  </si>
  <si>
    <t>cubic-kus</t>
  </si>
  <si>
    <t>su-si</t>
  </si>
  <si>
    <t>su-du-a</t>
  </si>
  <si>
    <t>grir</t>
  </si>
  <si>
    <t>nindan</t>
  </si>
  <si>
    <t>ese</t>
  </si>
  <si>
    <t>da-na</t>
  </si>
  <si>
    <t>sar</t>
  </si>
  <si>
    <t>uzalak</t>
  </si>
  <si>
    <t>upu</t>
  </si>
  <si>
    <t>iku</t>
  </si>
  <si>
    <t>bur</t>
  </si>
  <si>
    <t>barig</t>
  </si>
  <si>
    <t>gun</t>
  </si>
  <si>
    <t>anticheir</t>
  </si>
  <si>
    <t>dekapodon</t>
  </si>
  <si>
    <t>skhoinion</t>
  </si>
  <si>
    <t>skhoinos</t>
  </si>
  <si>
    <t>demosios-pekhys</t>
  </si>
  <si>
    <t>basilikos-pekhys</t>
  </si>
  <si>
    <t>geometrikos-pekhys</t>
  </si>
  <si>
    <t>bema-haploun</t>
  </si>
  <si>
    <t>bema-deploun</t>
  </si>
  <si>
    <t>haple-orguia</t>
  </si>
  <si>
    <t>demosios-orguia</t>
  </si>
  <si>
    <t>basilikos-orguia</t>
  </si>
  <si>
    <t>doxariou-bole</t>
  </si>
  <si>
    <t>hodos-hemeras</t>
  </si>
  <si>
    <t>hodos-sabbatou</t>
  </si>
  <si>
    <t>modios-zeugarion</t>
  </si>
  <si>
    <t>ouggia</t>
  </si>
  <si>
    <t>ougkia</t>
  </si>
  <si>
    <t>hemixestion</t>
  </si>
  <si>
    <t>phoukta</t>
  </si>
  <si>
    <t>modios</t>
  </si>
  <si>
    <t>gramma</t>
  </si>
  <si>
    <t>tremisis</t>
  </si>
  <si>
    <t>semisis</t>
  </si>
  <si>
    <t>nomisma</t>
  </si>
  <si>
    <t>tashkurghan-man</t>
  </si>
  <si>
    <t>tashkurghan-seer</t>
  </si>
  <si>
    <t>marzar-kharwar</t>
  </si>
  <si>
    <t>mazar-man</t>
  </si>
  <si>
    <t>mazar-seer</t>
  </si>
  <si>
    <t>herati-kharwar</t>
  </si>
  <si>
    <t>herati-man</t>
  </si>
  <si>
    <t>herati-seer</t>
  </si>
  <si>
    <t>kandahari</t>
  </si>
  <si>
    <t>nel-edai</t>
  </si>
  <si>
    <t>marakkal-vitaippatu</t>
  </si>
  <si>
    <r>
      <t>s.A/m</t>
    </r>
    <r>
      <rPr>
        <vertAlign val="superscript"/>
        <sz val="11"/>
        <color theme="1"/>
        <rFont val="Calibri"/>
        <family val="2"/>
        <scheme val="minor"/>
      </rPr>
      <t>2</t>
    </r>
  </si>
  <si>
    <t>angle</t>
  </si>
  <si>
    <t>solidAngle</t>
  </si>
  <si>
    <t>angularVelocity</t>
  </si>
  <si>
    <t>computer</t>
  </si>
  <si>
    <t>Density</t>
  </si>
  <si>
    <t>current</t>
  </si>
  <si>
    <t>EM</t>
  </si>
  <si>
    <t>currentDensity</t>
  </si>
  <si>
    <t>surfaceChargeDensity</t>
  </si>
  <si>
    <t>chargeDensity</t>
  </si>
  <si>
    <t>capacitance</t>
  </si>
  <si>
    <t>conductivity</t>
  </si>
  <si>
    <t>specificAcousticImpedance</t>
  </si>
  <si>
    <t>magneticInduction</t>
  </si>
  <si>
    <t>inductance</t>
  </si>
  <si>
    <t>potential</t>
  </si>
  <si>
    <t>resistance</t>
  </si>
  <si>
    <t>resistivity</t>
  </si>
  <si>
    <t>acousticImpedance</t>
  </si>
  <si>
    <t>electricFieldStrength</t>
  </si>
  <si>
    <t>magneticFluxDensity</t>
  </si>
  <si>
    <t>electricFieldGradient</t>
  </si>
  <si>
    <t>magneticPotential</t>
  </si>
  <si>
    <t>energy</t>
  </si>
  <si>
    <t>Energy</t>
  </si>
  <si>
    <t>heatFlux</t>
  </si>
  <si>
    <t>heatTransfer</t>
  </si>
  <si>
    <t>radiantEnergy</t>
  </si>
  <si>
    <t>heatInsulation</t>
  </si>
  <si>
    <t>Frequency</t>
  </si>
  <si>
    <t>flow</t>
  </si>
  <si>
    <t>Flow</t>
  </si>
  <si>
    <t>force</t>
  </si>
  <si>
    <t>Force</t>
  </si>
  <si>
    <t>momentum</t>
  </si>
  <si>
    <t>action</t>
  </si>
  <si>
    <t>massFlow</t>
  </si>
  <si>
    <t>quadMoment</t>
  </si>
  <si>
    <t>Luminosity</t>
  </si>
  <si>
    <t>luminance</t>
  </si>
  <si>
    <t>molarity</t>
  </si>
  <si>
    <t>Molarity</t>
  </si>
  <si>
    <t>surfaceMolarity</t>
  </si>
  <si>
    <t>molarAbsorption</t>
  </si>
  <si>
    <t>quantity</t>
  </si>
  <si>
    <t>molarCharge</t>
  </si>
  <si>
    <t>Power</t>
  </si>
  <si>
    <t>pressure</t>
  </si>
  <si>
    <t>Pressure</t>
  </si>
  <si>
    <t>particleFlux</t>
  </si>
  <si>
    <t>Radiation</t>
  </si>
  <si>
    <t>SpecificDensity</t>
  </si>
  <si>
    <t>velocity</t>
  </si>
  <si>
    <t>VelAccJrk</t>
  </si>
  <si>
    <t>Viscosity</t>
  </si>
  <si>
    <t>dynamicViscosity</t>
  </si>
  <si>
    <t>wavenumber</t>
  </si>
  <si>
    <t>Wavenumber</t>
  </si>
  <si>
    <t>Dimension</t>
  </si>
  <si>
    <t>Worksheet</t>
  </si>
  <si>
    <t>girah-i-gaz-i-shah</t>
  </si>
  <si>
    <t>Pass</t>
  </si>
  <si>
    <t>East-Med</t>
  </si>
  <si>
    <t>Worksheet Integrity</t>
  </si>
  <si>
    <t>Puerto-Rican</t>
  </si>
  <si>
    <t>Sri-Lankan</t>
  </si>
  <si>
    <t>South-African</t>
  </si>
  <si>
    <t>Saudi-Arabian</t>
  </si>
  <si>
    <t>The Generate button is used to generate C++, C#, Java, and Python classes containing the unit conversion data for all the units contained in the spreadsheet. These are located in the various tabs starting with ‘Angle’ and ending with ‘Wavenumber’.  Code for constants (green tabs) is also generated. The output is placed in a subdirectory collocated with this spreadsheet and named ‘Output’. This directory must exist before using the Generate button. The underlying VBA code will not create this directory if it does not exist. The cells next to the cells labeled ‘Date’ and ‘Version’ can be used to change the date and version information placed into the generated code. The cell next to the Generate button gives the progress of the generation process. This typically takes a minute or so and the word ‘Done’ will appear when code generation is complete. The generated code placed in the ‘Output’ directory must be manually copied or moved into the respective ‘Generated’ subdirectories for each language implementation. Any previously generated code in the ‘Output’ subdirectory will be overwritten without warning (and therefore lost) when the Generate button is used. There is no need to regenerate the unit conversion unit classes unless units are added (or removed) from the spreadsheet.  The check button validates the unit worksheets checking for formatting and other errors.  Row numbers that have errors are listed under the worksheet names in columns J-AD. See the User Manual for more details.</t>
  </si>
  <si>
    <t>manches-ter</t>
  </si>
  <si>
    <t>clarke-degree</t>
  </si>
  <si>
    <t>bohr-magneton</t>
  </si>
  <si>
    <t>magneton(bohr)</t>
  </si>
  <si>
    <r>
      <t>british-thermal-unit(15.56</t>
    </r>
    <r>
      <rPr>
        <vertAlign val="superscript"/>
        <sz val="11"/>
        <color theme="1"/>
        <rFont val="Calibri"/>
        <family val="2"/>
        <scheme val="minor"/>
      </rPr>
      <t>o</t>
    </r>
    <r>
      <rPr>
        <sz val="11"/>
        <color theme="1"/>
        <rFont val="Calibri"/>
        <family val="2"/>
        <scheme val="minor"/>
      </rPr>
      <t>C)</t>
    </r>
  </si>
  <si>
    <r>
      <t>british-thermal-unit(39</t>
    </r>
    <r>
      <rPr>
        <vertAlign val="superscript"/>
        <sz val="11"/>
        <color theme="1"/>
        <rFont val="Calibri"/>
        <family val="2"/>
        <scheme val="minor"/>
      </rPr>
      <t>o</t>
    </r>
    <r>
      <rPr>
        <sz val="11"/>
        <color theme="1"/>
        <rFont val="Calibri"/>
        <family val="2"/>
        <scheme val="minor"/>
      </rPr>
      <t>F)</t>
    </r>
  </si>
  <si>
    <r>
      <t>british-thermal-unit(4</t>
    </r>
    <r>
      <rPr>
        <vertAlign val="superscript"/>
        <sz val="11"/>
        <color theme="1"/>
        <rFont val="Calibri"/>
        <family val="2"/>
        <scheme val="minor"/>
      </rPr>
      <t>o</t>
    </r>
    <r>
      <rPr>
        <sz val="11"/>
        <color theme="1"/>
        <rFont val="Calibri"/>
        <family val="2"/>
        <scheme val="minor"/>
      </rPr>
      <t>C)</t>
    </r>
  </si>
  <si>
    <r>
      <t>british=thermal-unit(59</t>
    </r>
    <r>
      <rPr>
        <vertAlign val="superscript"/>
        <sz val="11"/>
        <color theme="1"/>
        <rFont val="Calibri"/>
        <family val="2"/>
        <scheme val="minor"/>
      </rPr>
      <t>o</t>
    </r>
    <r>
      <rPr>
        <sz val="11"/>
        <color theme="1"/>
        <rFont val="Calibri"/>
        <family val="2"/>
        <scheme val="minor"/>
      </rPr>
      <t>F)</t>
    </r>
  </si>
  <si>
    <r>
      <t>british-thermal-unit-(60</t>
    </r>
    <r>
      <rPr>
        <vertAlign val="superscript"/>
        <sz val="11"/>
        <color theme="1"/>
        <rFont val="Calibri"/>
        <family val="2"/>
        <scheme val="minor"/>
      </rPr>
      <t>o</t>
    </r>
    <r>
      <rPr>
        <sz val="11"/>
        <color theme="1"/>
        <rFont val="Calibri"/>
        <family val="2"/>
        <scheme val="minor"/>
      </rPr>
      <t>F)</t>
    </r>
  </si>
  <si>
    <t>british-thermal-unit(Gas)</t>
  </si>
  <si>
    <t>british-thermal-unit(GIA)</t>
  </si>
  <si>
    <t>british-thermal-unit(ISO)</t>
  </si>
  <si>
    <t>british-thermal-unit(IT)</t>
  </si>
  <si>
    <t>british-thermal-unit(mean)</t>
  </si>
  <si>
    <t>british-thermal-unit(therm)</t>
  </si>
  <si>
    <t>celsius-heat-unit</t>
  </si>
  <si>
    <t>britishthermalunit(IT)-per-hour-per-square-foot</t>
  </si>
  <si>
    <t>british-thermal-unit(therm)-per-hour-per-square-foot</t>
  </si>
  <si>
    <t>finsen-unit</t>
  </si>
  <si>
    <t>gurley-unit</t>
  </si>
  <si>
    <t>british-thermal-unit(IT)-per-square-foot-per-hour-per-fahrenheit-degree</t>
  </si>
  <si>
    <t>british-thermal-unit(therm)-per-square-foot-per-hour-per-fahrenheit-degree</t>
  </si>
  <si>
    <t>british-thermal-unit(IT)-inch-per-square-foot-per-hour-per-fahrenheit-degree</t>
  </si>
  <si>
    <t>british-thermal-unit(IT)-inch-per-square-foot-per-second-per-fahrenheit-degree</t>
  </si>
  <si>
    <t>british-thermal-unit(IT)-per-foot-per-hour-fahrenheit-degree</t>
  </si>
  <si>
    <t>british-thermal-unit(IT)-per-in-per-hour-fahrenheit-degree</t>
  </si>
  <si>
    <t>british-thermal-unit(therm)-inch-per-square-foot-per-hour-per-fahrenheit-degree</t>
  </si>
  <si>
    <t>british-thermal-unit(therm)-inch-per-square-foot-per-second-per-fahrenheit-degree</t>
  </si>
  <si>
    <t>british-thermal-unit(therm)-per-foot-per-hour-per-fahrenheit-degree</t>
  </si>
  <si>
    <t>british-thermal-unit(therm)-per-inch-per-hour-per-fahrenheit-degree</t>
  </si>
  <si>
    <t>calorie(IT)-per-centimeter-per-second-per-degree-celsius</t>
  </si>
  <si>
    <t>calorie(therm)-per-centimeter-per-second-per-degree-celsius</t>
  </si>
  <si>
    <t>british-thermal-unit(IT)-per-fahrenheit-degree</t>
  </si>
  <si>
    <t>british-thermal-unit(IT)-per-pound-fahrenheit-degree</t>
  </si>
  <si>
    <t>british-thermal-unit(therm)-per-pound-fahrenheit-degree</t>
  </si>
  <si>
    <t>mache-unit</t>
  </si>
  <si>
    <t>carcel-unit</t>
  </si>
  <si>
    <t>bubnoff-unit</t>
  </si>
  <si>
    <t>mach</t>
  </si>
  <si>
    <t>galileo</t>
  </si>
  <si>
    <t>lentor</t>
  </si>
  <si>
    <t>jordan's-elementary-time</t>
  </si>
  <si>
    <t>ce</t>
  </si>
  <si>
    <t>reaumur</t>
  </si>
  <si>
    <t>fahrenheit</t>
  </si>
  <si>
    <t>rankine</t>
  </si>
  <si>
    <t>celsius</t>
  </si>
  <si>
    <t>british-thermal-unit(IT)-per-pound</t>
  </si>
  <si>
    <t>british-thermal-unit(therm)-per-pound</t>
  </si>
  <si>
    <t>british-thermal-unit(IT)-per-barrel</t>
  </si>
  <si>
    <t>british-thermal-unit(IT)-per-cubic-foot</t>
  </si>
  <si>
    <t>british-thermal-unit(IT)-per-gallon</t>
  </si>
  <si>
    <t>british-thermal-unit(mean)-per-hour</t>
  </si>
  <si>
    <t>british-thermal-unit(mean)-per-minute</t>
  </si>
  <si>
    <t>british-thermal-unit(mean)-per-second</t>
  </si>
  <si>
    <t>british-thermal-unit(ISO)-per-hour</t>
  </si>
  <si>
    <t>british-thermal-unit(ISO)-per-minute</t>
  </si>
  <si>
    <t>british-thermal-unit(ISO)-per-second</t>
  </si>
  <si>
    <r>
      <t>british-thermal-unit(39</t>
    </r>
    <r>
      <rPr>
        <vertAlign val="superscript"/>
        <sz val="11"/>
        <color theme="1"/>
        <rFont val="Calibri"/>
        <family val="2"/>
        <scheme val="minor"/>
      </rPr>
      <t>o</t>
    </r>
    <r>
      <rPr>
        <sz val="11"/>
        <color theme="1"/>
        <rFont val="Calibri"/>
        <family val="2"/>
        <scheme val="minor"/>
      </rPr>
      <t>F)-per-hour</t>
    </r>
  </si>
  <si>
    <r>
      <t>british-thermal-unit(39</t>
    </r>
    <r>
      <rPr>
        <vertAlign val="superscript"/>
        <sz val="11"/>
        <color theme="1"/>
        <rFont val="Calibri"/>
        <family val="2"/>
        <scheme val="minor"/>
      </rPr>
      <t>o</t>
    </r>
    <r>
      <rPr>
        <sz val="11"/>
        <color theme="1"/>
        <rFont val="Calibri"/>
        <family val="2"/>
        <scheme val="minor"/>
      </rPr>
      <t>F)-per-minute</t>
    </r>
  </si>
  <si>
    <r>
      <t>british-thermal-unit(39</t>
    </r>
    <r>
      <rPr>
        <vertAlign val="superscript"/>
        <sz val="11"/>
        <color theme="1"/>
        <rFont val="Calibri"/>
        <family val="2"/>
        <scheme val="minor"/>
      </rPr>
      <t>o</t>
    </r>
    <r>
      <rPr>
        <sz val="11"/>
        <color theme="1"/>
        <rFont val="Calibri"/>
        <family val="2"/>
        <scheme val="minor"/>
      </rPr>
      <t>F)-per-second</t>
    </r>
  </si>
  <si>
    <r>
      <t>british-thermal-unit(60</t>
    </r>
    <r>
      <rPr>
        <vertAlign val="superscript"/>
        <sz val="11"/>
        <color theme="1"/>
        <rFont val="Calibri"/>
        <family val="2"/>
        <scheme val="minor"/>
      </rPr>
      <t>o</t>
    </r>
    <r>
      <rPr>
        <sz val="11"/>
        <color theme="1"/>
        <rFont val="Calibri"/>
        <family val="2"/>
        <scheme val="minor"/>
      </rPr>
      <t>F)-per-hour</t>
    </r>
  </si>
  <si>
    <r>
      <t>british-thermal-unit(60</t>
    </r>
    <r>
      <rPr>
        <vertAlign val="superscript"/>
        <sz val="11"/>
        <color theme="1"/>
        <rFont val="Calibri"/>
        <family val="2"/>
        <scheme val="minor"/>
      </rPr>
      <t>o</t>
    </r>
    <r>
      <rPr>
        <sz val="11"/>
        <color theme="1"/>
        <rFont val="Calibri"/>
        <family val="2"/>
        <scheme val="minor"/>
      </rPr>
      <t>F)-per-minute</t>
    </r>
  </si>
  <si>
    <r>
      <t>british-thermal-unit(60</t>
    </r>
    <r>
      <rPr>
        <vertAlign val="superscript"/>
        <sz val="11"/>
        <color theme="1"/>
        <rFont val="Calibri"/>
        <family val="2"/>
        <scheme val="minor"/>
      </rPr>
      <t>o</t>
    </r>
    <r>
      <rPr>
        <sz val="11"/>
        <color theme="1"/>
        <rFont val="Calibri"/>
        <family val="2"/>
        <scheme val="minor"/>
      </rPr>
      <t>F)-per-second</t>
    </r>
  </si>
  <si>
    <t>british-thermal-unit(IT)-per-hour</t>
  </si>
  <si>
    <t>british-thermal-unit(IT)-per-minute</t>
  </si>
  <si>
    <t>british-thermal-unit(IT)-per-second</t>
  </si>
  <si>
    <t>british-thermal-unit(therm)-per-hour</t>
  </si>
  <si>
    <t>british-thermal-unit(therm)-per-minute</t>
  </si>
  <si>
    <t>british-thermal-unit(therm)-per-second</t>
  </si>
  <si>
    <t>american-run</t>
  </si>
  <si>
    <t>centi-hg</t>
  </si>
  <si>
    <t>joule-per-kelvin</t>
  </si>
  <si>
    <t>first-bohr-radius</t>
  </si>
  <si>
    <t>meterte-of-heron</t>
  </si>
  <si>
    <t>talent-of-moses(sacred)</t>
  </si>
  <si>
    <t>colombian</t>
  </si>
  <si>
    <t>hath(Calcutta)</t>
  </si>
  <si>
    <t>ghamaon(Bombay)</t>
  </si>
  <si>
    <t>ghamaon(Calcutta)</t>
  </si>
  <si>
    <t>siegbahn-unit</t>
  </si>
  <si>
    <t>rijnlandse-duim</t>
  </si>
  <si>
    <t>rijnlandse-roede</t>
  </si>
  <si>
    <t>nunnanu</t>
  </si>
  <si>
    <t>kadirtugal</t>
  </si>
  <si>
    <t>tusumbu</t>
  </si>
  <si>
    <t>mayirnuni</t>
  </si>
  <si>
    <t>nunnmanal</t>
  </si>
  <si>
    <t>siru-kadugu</t>
  </si>
  <si>
    <t>dutch-cask(butter)</t>
  </si>
  <si>
    <t>winchester-bushel</t>
  </si>
  <si>
    <t>grain(jeweller)</t>
  </si>
  <si>
    <t>pragilbert</t>
  </si>
  <si>
    <t>kiloton-equivalent(TNT)</t>
  </si>
  <si>
    <t>megatonne-equivalent(TNT)</t>
  </si>
  <si>
    <t>gallon-per-day-per-capita</t>
  </si>
  <si>
    <t>lieue(des-Postes)</t>
  </si>
  <si>
    <t>lyne</t>
  </si>
  <si>
    <t>li(large)</t>
  </si>
  <si>
    <t>li(metric-large)</t>
  </si>
  <si>
    <t>li(metric-small)</t>
  </si>
  <si>
    <t>li(small)</t>
  </si>
  <si>
    <t>ulakku</t>
  </si>
  <si>
    <t>Troy</t>
  </si>
  <si>
    <t>Far-East</t>
  </si>
  <si>
    <t>loschmidt's-number</t>
  </si>
  <si>
    <t>planck-constant</t>
  </si>
  <si>
    <t>boltzman-constant</t>
  </si>
  <si>
    <t>avogadro-constant</t>
  </si>
  <si>
    <t>international-steam-table-calorie</t>
  </si>
  <si>
    <t>room-temperature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</si>
</sst>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165" formatCode="0.0000000"/>
    <numFmt numFmtId="166" formatCode="0.000000000000000E+00"/>
    <numFmt numFmtId="167" formatCode="0.000000"/>
    <numFmt numFmtId="168" formatCode="0.0000"/>
    <numFmt numFmtId="169" formatCode="0.00000"/>
    <numFmt numFmtId="170" formatCode="0.00000000"/>
    <numFmt numFmtId="171" formatCode="0.00000000000000"/>
    <numFmt numFmtId="172" formatCode="0.000000000000000"/>
    <numFmt numFmtId="173" formatCode="0.0000000000"/>
    <numFmt numFmtId="174" formatCode="0.000000000000"/>
    <numFmt numFmtId="175" formatCode="0.000000000"/>
    <numFmt numFmtId="176" formatCode="0.00000000000"/>
    <numFmt numFmtId="177" formatCode="0.0000000000000"/>
    <numFmt numFmtId="178" formatCode="0.000000000000000000"/>
    <numFmt numFmtId="179" formatCode="0.00000000E+00"/>
    <numFmt numFmtId="180" formatCode="0.000000000E+00"/>
    <numFmt numFmtId="181" formatCode="0.000000E+00"/>
    <numFmt numFmtId="182" formatCode="0.0000000000E+00"/>
    <numFmt numFmtId="183" formatCode="0.00000000000E+00"/>
    <numFmt numFmtId="184" formatCode="0.0000000000000000"/>
    <numFmt numFmtId="185" formatCode="0.0000000E+00"/>
    <numFmt numFmtId="186" formatCode="0.00000E+00"/>
    <numFmt numFmtId="187" formatCode="0.00000000000000000"/>
    <numFmt numFmtId="188" formatCode="0.000E+00"/>
    <numFmt numFmtId="189" formatCode="0.0"/>
    <numFmt numFmtId="190" formatCode="0.000"/>
    <numFmt numFmtId="191" formatCode="0.00000000000000E+00"/>
  </numFmts>
  <fonts count="32">
    <font>
      <sz val="11"/>
      <color theme="1"/>
      <name val="Calibri"/>
      <family val="2"/>
      <scheme val="minor"/>
    </font>
    <font>
      <b/>
      <sz val="11"/>
      <color theme="0"/>
      <name val="Calibri"/>
      <family val="2"/>
      <scheme val="minor"/>
    </font>
    <font>
      <vertAlign val="subscript"/>
      <sz val="11"/>
      <color theme="1"/>
      <name val="Calibri"/>
      <family val="2"/>
      <scheme val="minor"/>
    </font>
    <font>
      <vertAlign val="superscript"/>
      <sz val="11"/>
      <color theme="1"/>
      <name val="Calibri"/>
      <family val="2"/>
      <scheme val="minor"/>
    </font>
    <font>
      <sz val="11"/>
      <color theme="1"/>
      <name val="Symbol"/>
      <family val="1"/>
      <charset val="2"/>
    </font>
    <font>
      <sz val="11"/>
      <color theme="1"/>
      <name val="Calibri"/>
      <family val="2"/>
    </font>
    <font>
      <sz val="11"/>
      <color rgb="FFFF0000"/>
      <name val="Calibri"/>
      <family val="2"/>
      <scheme val="minor"/>
    </font>
    <font>
      <sz val="11"/>
      <color theme="1"/>
      <name val="Calibri"/>
      <family val="1"/>
      <charset val="2"/>
      <scheme val="minor"/>
    </font>
    <font>
      <vertAlign val="superscript"/>
      <sz val="11"/>
      <color theme="1"/>
      <name val="Calibri"/>
      <family val="2"/>
    </font>
    <font>
      <vertAlign val="superscript"/>
      <sz val="11"/>
      <color theme="1"/>
      <name val="Symbol"/>
      <family val="1"/>
      <charset val="2"/>
    </font>
    <font>
      <sz val="11"/>
      <color theme="1"/>
      <name val="Calibri"/>
      <family val="2"/>
      <scheme val="minor"/>
    </font>
    <font>
      <sz val="11"/>
      <color rgb="FF000000"/>
      <name val="Calibri"/>
      <family val="2"/>
    </font>
    <font>
      <sz val="11"/>
      <color indexed="8"/>
      <name val="Calibri"/>
      <family val="2"/>
    </font>
    <font>
      <sz val="11"/>
      <color indexed="8"/>
      <name val="Calibri"/>
      <family val="2"/>
      <scheme val="minor"/>
    </font>
    <font>
      <sz val="11"/>
      <name val="Calibri"/>
      <family val="2"/>
      <scheme val="minor"/>
    </font>
    <font>
      <sz val="12"/>
      <color indexed="8"/>
      <name val="Calibri"/>
      <family val="2"/>
    </font>
    <font>
      <sz val="12"/>
      <color rgb="FF000000"/>
      <name val="Calibri"/>
      <family val="2"/>
      <scheme val="minor"/>
    </font>
    <font>
      <sz val="12"/>
      <color indexed="8"/>
      <name val="Calibri"/>
      <family val="2"/>
      <scheme val="minor"/>
    </font>
    <font>
      <sz val="11"/>
      <color rgb="FF000000"/>
      <name val="Calibri"/>
      <family val="2"/>
      <scheme val="minor"/>
    </font>
    <font>
      <i/>
      <sz val="11"/>
      <color theme="1"/>
      <name val="Calibri"/>
      <family val="2"/>
      <scheme val="minor"/>
    </font>
    <font>
      <vertAlign val="superscript"/>
      <sz val="11"/>
      <name val="Calibri"/>
      <family val="2"/>
      <scheme val="minor"/>
    </font>
    <font>
      <sz val="10"/>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1"/>
      <color rgb="FF7030A0"/>
      <name val="Calibri"/>
      <family val="2"/>
      <scheme val="minor"/>
    </font>
    <font>
      <vertAlign val="superscript"/>
      <sz val="11"/>
      <color rgb="FFFF0000"/>
      <name val="Calibri"/>
      <family val="2"/>
      <scheme val="minor"/>
    </font>
    <font>
      <sz val="11"/>
      <color rgb="FFFF0000"/>
      <name val="Symbol"/>
      <family val="1"/>
      <charset val="2"/>
    </font>
    <font>
      <sz val="11.5"/>
      <name val="Times New Roman"/>
      <family val="1"/>
    </font>
    <font>
      <vertAlign val="superscript"/>
      <sz val="11"/>
      <color rgb="FF000000"/>
      <name val="Calibri"/>
      <family val="2"/>
    </font>
    <font>
      <vertAlign val="superscript"/>
      <sz val="11.5"/>
      <name val="Times New Roman"/>
      <family val="1"/>
    </font>
    <font>
      <b/>
      <sz val="16"/>
      <color theme="0"/>
      <name val="Calibri"/>
      <family val="2"/>
      <scheme val="minor"/>
    </font>
  </fonts>
  <fills count="6">
    <fill>
      <patternFill patternType="none"/>
    </fill>
    <fill>
      <patternFill patternType="gray125"/>
    </fill>
    <fill>
      <patternFill patternType="solid">
        <fgColor rgb="FF0070C0"/>
        <bgColor indexed="64"/>
      </patternFill>
    </fill>
    <fill>
      <patternFill patternType="solid">
        <fgColor theme="0" tint="-0.24994659260841701"/>
        <bgColor indexed="64"/>
      </patternFill>
    </fill>
    <fill>
      <patternFill patternType="solid">
        <fgColor theme="0" tint="-4.9989318521683403E-2"/>
        <bgColor indexed="64"/>
      </patternFill>
    </fill>
    <fill>
      <patternFill patternType="solid">
        <fgColor theme="0" tint="-0.14996795556505021"/>
        <bgColor indexed="64"/>
      </patternFill>
    </fill>
  </fills>
  <borders count="42">
    <border>
      <left/>
      <right/>
      <top/>
      <bottom/>
      <diagonal/>
    </border>
    <border>
      <left style="medium">
        <color auto="1"/>
      </left>
      <right/>
      <top/>
      <bottom/>
      <diagonal/>
    </border>
    <border>
      <left/>
      <right/>
      <top/>
      <bottom style="medium">
        <color auto="1"/>
      </bottom>
      <diagonal/>
    </border>
    <border>
      <left style="medium">
        <color auto="1"/>
      </left>
      <right/>
      <top/>
      <bottom style="medium">
        <color auto="1"/>
      </bottom>
      <diagonal/>
    </border>
    <border>
      <left/>
      <right style="medium">
        <color auto="1"/>
      </right>
      <top/>
      <bottom style="medium">
        <color auto="1"/>
      </bottom>
      <diagonal/>
    </border>
    <border>
      <left/>
      <right style="medium">
        <color auto="1"/>
      </right>
      <top/>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medium">
        <color auto="1"/>
      </right>
      <top style="hair">
        <color auto="1"/>
      </top>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right style="hair">
        <color auto="1"/>
      </right>
      <top style="hair">
        <color auto="1"/>
      </top>
      <bottom/>
      <diagonal/>
    </border>
    <border>
      <left style="medium">
        <color auto="1"/>
      </left>
      <right style="hair">
        <color auto="1"/>
      </right>
      <top/>
      <bottom/>
      <diagonal/>
    </border>
    <border>
      <left style="hair">
        <color auto="1"/>
      </left>
      <right/>
      <top/>
      <bottom style="hair">
        <color auto="1"/>
      </bottom>
      <diagonal/>
    </border>
    <border>
      <left style="hair">
        <color auto="1"/>
      </left>
      <right/>
      <top style="hair">
        <color auto="1"/>
      </top>
      <bottom style="hair">
        <color auto="1"/>
      </bottom>
      <diagonal/>
    </border>
    <border>
      <left style="hair">
        <color auto="1"/>
      </left>
      <right/>
      <top style="hair">
        <color auto="1"/>
      </top>
      <bottom/>
      <diagonal/>
    </border>
    <border>
      <left style="medium">
        <color auto="1"/>
      </left>
      <right/>
      <top style="hair">
        <color auto="1"/>
      </top>
      <bottom style="hair">
        <color auto="1"/>
      </bottom>
      <diagonal/>
    </border>
    <border>
      <left/>
      <right style="medium">
        <color auto="1"/>
      </right>
      <top style="hair">
        <color auto="1"/>
      </top>
      <bottom/>
      <diagonal/>
    </border>
    <border>
      <left style="hair">
        <color auto="1"/>
      </left>
      <right style="hair">
        <color auto="1"/>
      </right>
      <top/>
      <bottom/>
      <diagonal/>
    </border>
    <border>
      <left style="hair">
        <color auto="1"/>
      </left>
      <right style="medium">
        <color auto="1"/>
      </right>
      <top/>
      <bottom/>
      <diagonal/>
    </border>
    <border>
      <left/>
      <right style="hair">
        <color auto="1"/>
      </right>
      <top/>
      <bottom/>
      <diagonal/>
    </border>
    <border>
      <left/>
      <right/>
      <top style="medium">
        <color auto="1"/>
      </top>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hair">
        <color auto="1"/>
      </top>
      <bottom/>
      <diagonal/>
    </border>
    <border>
      <left style="hair">
        <color auto="1"/>
      </left>
      <right/>
      <top/>
      <bottom/>
      <diagonal/>
    </border>
    <border>
      <left/>
      <right style="hair">
        <color auto="1"/>
      </right>
      <top/>
      <bottom style="medium">
        <color auto="1"/>
      </bottom>
      <diagonal/>
    </border>
    <border>
      <left style="hair">
        <color auto="1"/>
      </left>
      <right style="medium">
        <color auto="1"/>
      </right>
      <top/>
      <bottom style="medium">
        <color auto="1"/>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right/>
      <top style="hair">
        <color auto="1"/>
      </top>
      <bottom/>
      <diagonal/>
    </border>
    <border>
      <left style="hair">
        <color auto="1"/>
      </left>
      <right/>
      <top/>
      <bottom style="medium">
        <color auto="1"/>
      </bottom>
      <diagonal/>
    </border>
    <border>
      <left style="hair">
        <color auto="1"/>
      </left>
      <right/>
      <top style="medium">
        <color auto="1"/>
      </top>
      <bottom/>
      <diagonal/>
    </border>
    <border>
      <left style="dashed">
        <color auto="1"/>
      </left>
      <right style="medium">
        <color auto="1"/>
      </right>
      <top/>
      <bottom/>
      <diagonal/>
    </border>
    <border>
      <left style="dashed">
        <color auto="1"/>
      </left>
      <right/>
      <top/>
      <bottom/>
      <diagonal/>
    </border>
    <border>
      <left style="medium">
        <color auto="1"/>
      </left>
      <right/>
      <top style="medium">
        <color auto="1"/>
      </top>
      <bottom/>
      <diagonal/>
    </border>
    <border>
      <left/>
      <right style="medium">
        <color auto="1"/>
      </right>
      <top style="medium">
        <color auto="1"/>
      </top>
      <bottom/>
      <diagonal/>
    </border>
  </borders>
  <cellStyleXfs count="2">
    <xf numFmtId="0" fontId="0" fillId="0" borderId="0"/>
    <xf numFmtId="44" fontId="10" fillId="0" borderId="0" applyFont="0" applyFill="0" applyBorder="0" applyAlignment="0" applyProtection="0"/>
  </cellStyleXfs>
  <cellXfs count="394">
    <xf numFmtId="0" fontId="0" fillId="0" borderId="0" xfId="0"/>
    <xf numFmtId="0" fontId="0" fillId="0" borderId="0" xfId="0" applyAlignment="1">
      <alignment horizontal="left" vertical="top" wrapText="1"/>
    </xf>
    <xf numFmtId="0" fontId="1" fillId="2" borderId="0" xfId="0" applyFont="1" applyFill="1" applyAlignment="1">
      <alignment horizontal="center" vertical="top" wrapText="1"/>
    </xf>
    <xf numFmtId="0" fontId="0" fillId="3" borderId="0" xfId="0" applyFill="1" applyAlignment="1">
      <alignment horizontal="left" vertical="top" wrapText="1"/>
    </xf>
    <xf numFmtId="0" fontId="4" fillId="0" borderId="0" xfId="0" applyFont="1" applyAlignment="1">
      <alignment horizontal="left" vertical="top" wrapText="1"/>
    </xf>
    <xf numFmtId="0" fontId="5" fillId="0" borderId="0" xfId="0" applyFont="1" applyAlignment="1">
      <alignment horizontal="left" vertical="top" wrapText="1"/>
    </xf>
    <xf numFmtId="0" fontId="0" fillId="0" borderId="0" xfId="0" quotePrefix="1" applyAlignment="1">
      <alignment horizontal="left" vertical="top" wrapText="1"/>
    </xf>
    <xf numFmtId="49" fontId="0" fillId="0" borderId="0" xfId="0" quotePrefix="1" applyNumberFormat="1" applyAlignment="1">
      <alignment horizontal="left" vertical="top" wrapText="1"/>
    </xf>
    <xf numFmtId="0" fontId="7" fillId="0" borderId="0" xfId="0" applyFont="1" applyAlignment="1">
      <alignment horizontal="left" vertical="top" wrapText="1"/>
    </xf>
    <xf numFmtId="2" fontId="0" fillId="0" borderId="0" xfId="0" applyNumberFormat="1" applyAlignment="1">
      <alignment horizontal="left" vertical="top" wrapText="1"/>
    </xf>
    <xf numFmtId="165" fontId="0" fillId="0" borderId="0" xfId="0" applyNumberFormat="1" applyAlignment="1">
      <alignment horizontal="left" vertical="top" wrapText="1"/>
    </xf>
    <xf numFmtId="166" fontId="0" fillId="0" borderId="0" xfId="0" applyNumberFormat="1" applyAlignment="1">
      <alignment horizontal="left"/>
    </xf>
    <xf numFmtId="166" fontId="0" fillId="0" borderId="0" xfId="0" applyNumberFormat="1" applyAlignment="1">
      <alignment horizontal="left" vertical="top" wrapText="1"/>
    </xf>
    <xf numFmtId="166" fontId="0" fillId="3" borderId="0" xfId="0" applyNumberFormat="1" applyFill="1" applyAlignment="1">
      <alignment horizontal="left" vertical="top" wrapText="1"/>
    </xf>
    <xf numFmtId="0" fontId="11" fillId="0" borderId="0" xfId="0" applyFont="1" applyAlignment="1">
      <alignment horizontal="left" vertical="top" wrapText="1"/>
    </xf>
    <xf numFmtId="0" fontId="12" fillId="0" borderId="0" xfId="0" applyFont="1" applyAlignment="1">
      <alignment horizontal="left" vertical="top" wrapText="1"/>
    </xf>
    <xf numFmtId="166" fontId="13" fillId="0" borderId="0" xfId="0" applyNumberFormat="1" applyFont="1" applyAlignment="1">
      <alignment horizontal="left" vertical="top" shrinkToFit="1"/>
    </xf>
    <xf numFmtId="166" fontId="13" fillId="0" borderId="0" xfId="0" applyNumberFormat="1" applyFont="1" applyAlignment="1">
      <alignment horizontal="left" shrinkToFit="1"/>
    </xf>
    <xf numFmtId="0" fontId="13" fillId="0" borderId="0" xfId="0" applyFont="1" applyAlignment="1">
      <alignment horizontal="left" vertical="top" wrapText="1"/>
    </xf>
    <xf numFmtId="44" fontId="0" fillId="0" borderId="0" xfId="1" applyFont="1" applyAlignment="1">
      <alignment horizontal="left" vertical="top" wrapText="1"/>
    </xf>
    <xf numFmtId="44" fontId="0" fillId="0" borderId="0" xfId="1" applyFont="1"/>
    <xf numFmtId="166" fontId="0" fillId="0" borderId="0" xfId="1" applyNumberFormat="1" applyFont="1" applyAlignment="1">
      <alignment horizontal="left" vertical="top" wrapText="1"/>
    </xf>
    <xf numFmtId="0" fontId="15" fillId="0" borderId="0" xfId="0" applyFont="1" applyAlignment="1">
      <alignment horizontal="left" vertical="top" wrapText="1"/>
    </xf>
    <xf numFmtId="0" fontId="16" fillId="0" borderId="0" xfId="0" applyFont="1" applyAlignment="1">
      <alignment horizontal="left" vertical="top" wrapText="1"/>
    </xf>
    <xf numFmtId="0" fontId="17" fillId="0" borderId="0" xfId="0" applyFont="1" applyAlignment="1">
      <alignment horizontal="left" vertical="top" wrapText="1"/>
    </xf>
    <xf numFmtId="166" fontId="13" fillId="0" borderId="0" xfId="0" applyNumberFormat="1" applyFont="1" applyAlignment="1">
      <alignment horizontal="left" vertical="top" wrapText="1"/>
    </xf>
    <xf numFmtId="166" fontId="0" fillId="0" borderId="0" xfId="0" applyNumberFormat="1" applyAlignment="1">
      <alignment horizontal="left" vertical="top"/>
    </xf>
    <xf numFmtId="0" fontId="0" fillId="0" borderId="0" xfId="0" applyAlignment="1">
      <alignment vertical="top"/>
    </xf>
    <xf numFmtId="0" fontId="0" fillId="0" borderId="1" xfId="0" applyBorder="1" applyAlignment="1">
      <alignment vertical="top"/>
    </xf>
    <xf numFmtId="49" fontId="0" fillId="0" borderId="0" xfId="0" applyNumberFormat="1" applyAlignment="1">
      <alignment horizontal="left" vertical="top" wrapText="1"/>
    </xf>
    <xf numFmtId="0" fontId="18" fillId="0" borderId="0" xfId="0" applyFont="1" applyAlignment="1">
      <alignment horizontal="left" vertical="top" wrapText="1"/>
    </xf>
    <xf numFmtId="0" fontId="21" fillId="0" borderId="0" xfId="0" applyFont="1"/>
    <xf numFmtId="0" fontId="14" fillId="0" borderId="0" xfId="0" applyFont="1" applyAlignment="1">
      <alignment horizontal="left" vertical="top" wrapText="1"/>
    </xf>
    <xf numFmtId="0" fontId="18" fillId="0" borderId="0" xfId="0" applyFont="1" applyAlignment="1">
      <alignment horizontal="left" vertical="center" wrapText="1"/>
    </xf>
    <xf numFmtId="0" fontId="18" fillId="0" borderId="0" xfId="0" applyFont="1" applyAlignment="1">
      <alignment horizontal="left" vertical="top"/>
    </xf>
    <xf numFmtId="0" fontId="1" fillId="2" borderId="0" xfId="0" applyFont="1" applyFill="1" applyAlignment="1">
      <alignment horizontal="right" vertical="top" wrapText="1"/>
    </xf>
    <xf numFmtId="0" fontId="0" fillId="0" borderId="0" xfId="0" applyAlignment="1">
      <alignment horizontal="right"/>
    </xf>
    <xf numFmtId="0" fontId="0" fillId="0" borderId="0" xfId="0" applyAlignment="1">
      <alignment wrapText="1"/>
    </xf>
    <xf numFmtId="0" fontId="1" fillId="2" borderId="2" xfId="0" applyFont="1" applyFill="1" applyBorder="1"/>
    <xf numFmtId="0" fontId="4" fillId="0" borderId="0" xfId="0" applyFont="1"/>
    <xf numFmtId="49" fontId="0" fillId="0" borderId="0" xfId="0" applyNumberFormat="1"/>
    <xf numFmtId="11" fontId="0" fillId="0" borderId="0" xfId="0" applyNumberFormat="1"/>
    <xf numFmtId="1" fontId="0" fillId="0" borderId="0" xfId="0" applyNumberFormat="1"/>
    <xf numFmtId="0" fontId="0" fillId="0" borderId="1" xfId="0" applyBorder="1"/>
    <xf numFmtId="0" fontId="22" fillId="4" borderId="3" xfId="0" applyFont="1" applyFill="1" applyBorder="1" applyAlignment="1">
      <alignment horizontal="center"/>
    </xf>
    <xf numFmtId="0" fontId="22" fillId="4" borderId="2" xfId="0" applyFont="1" applyFill="1" applyBorder="1" applyAlignment="1">
      <alignment horizontal="center"/>
    </xf>
    <xf numFmtId="0" fontId="0" fillId="0" borderId="5" xfId="0" applyBorder="1" applyAlignment="1">
      <alignment horizontal="right"/>
    </xf>
    <xf numFmtId="0" fontId="22" fillId="4" borderId="4" xfId="0" applyFont="1" applyFill="1" applyBorder="1" applyAlignment="1">
      <alignment horizontal="right"/>
    </xf>
    <xf numFmtId="0" fontId="0" fillId="5" borderId="0" xfId="0" applyFill="1"/>
    <xf numFmtId="0" fontId="0" fillId="5" borderId="1" xfId="0" applyFill="1" applyBorder="1"/>
    <xf numFmtId="0" fontId="0" fillId="5" borderId="0" xfId="0" applyFill="1" applyAlignment="1">
      <alignment horizontal="right"/>
    </xf>
    <xf numFmtId="0" fontId="0" fillId="5" borderId="5" xfId="0" applyFill="1" applyBorder="1" applyAlignment="1">
      <alignment horizontal="right"/>
    </xf>
    <xf numFmtId="0" fontId="22" fillId="4" borderId="2" xfId="0" applyFont="1" applyFill="1" applyBorder="1" applyAlignment="1">
      <alignment horizontal="right"/>
    </xf>
    <xf numFmtId="0" fontId="0" fillId="5" borderId="6" xfId="0" applyFill="1" applyBorder="1"/>
    <xf numFmtId="0" fontId="0" fillId="5" borderId="7" xfId="0" applyFill="1" applyBorder="1"/>
    <xf numFmtId="0" fontId="0" fillId="5" borderId="8" xfId="0" applyFill="1" applyBorder="1" applyAlignment="1">
      <alignment horizontal="right"/>
    </xf>
    <xf numFmtId="0" fontId="0" fillId="5" borderId="9" xfId="0" applyFill="1" applyBorder="1"/>
    <xf numFmtId="0" fontId="0" fillId="5" borderId="10" xfId="0" applyFill="1" applyBorder="1"/>
    <xf numFmtId="0" fontId="0" fillId="5" borderId="11" xfId="0" applyFill="1" applyBorder="1" applyAlignment="1">
      <alignment horizontal="right"/>
    </xf>
    <xf numFmtId="0" fontId="0" fillId="5" borderId="12" xfId="0" applyFill="1" applyBorder="1"/>
    <xf numFmtId="0" fontId="0" fillId="5" borderId="13" xfId="0" applyFill="1" applyBorder="1"/>
    <xf numFmtId="0" fontId="0" fillId="5" borderId="14" xfId="0" applyFill="1" applyBorder="1" applyAlignment="1">
      <alignment horizontal="right"/>
    </xf>
    <xf numFmtId="0" fontId="0" fillId="5" borderId="17" xfId="0" applyFill="1" applyBorder="1" applyAlignment="1">
      <alignment horizontal="right"/>
    </xf>
    <xf numFmtId="0" fontId="0" fillId="5" borderId="18" xfId="0" applyFill="1" applyBorder="1" applyAlignment="1">
      <alignment horizontal="right"/>
    </xf>
    <xf numFmtId="0" fontId="0" fillId="5" borderId="19" xfId="0" applyFill="1" applyBorder="1" applyAlignment="1">
      <alignment horizontal="right"/>
    </xf>
    <xf numFmtId="170" fontId="0" fillId="5" borderId="13" xfId="0" applyNumberFormat="1" applyFill="1" applyBorder="1"/>
    <xf numFmtId="170" fontId="0" fillId="0" borderId="0" xfId="0" applyNumberFormat="1"/>
    <xf numFmtId="165" fontId="0" fillId="5" borderId="13" xfId="0" applyNumberFormat="1" applyFill="1" applyBorder="1"/>
    <xf numFmtId="167" fontId="0" fillId="5" borderId="7" xfId="0" applyNumberFormat="1" applyFill="1" applyBorder="1"/>
    <xf numFmtId="172" fontId="0" fillId="5" borderId="10" xfId="0" applyNumberFormat="1" applyFill="1" applyBorder="1"/>
    <xf numFmtId="1" fontId="0" fillId="5" borderId="10" xfId="0" applyNumberFormat="1" applyFill="1" applyBorder="1"/>
    <xf numFmtId="174" fontId="0" fillId="0" borderId="0" xfId="0" applyNumberFormat="1"/>
    <xf numFmtId="175" fontId="0" fillId="5" borderId="13" xfId="0" applyNumberFormat="1" applyFill="1" applyBorder="1"/>
    <xf numFmtId="175" fontId="0" fillId="5" borderId="7" xfId="0" applyNumberFormat="1" applyFill="1" applyBorder="1"/>
    <xf numFmtId="175" fontId="0" fillId="5" borderId="10" xfId="0" applyNumberFormat="1" applyFill="1" applyBorder="1"/>
    <xf numFmtId="0" fontId="0" fillId="0" borderId="5" xfId="0" applyBorder="1" applyAlignment="1">
      <alignment horizontal="right" vertical="top"/>
    </xf>
    <xf numFmtId="0" fontId="0" fillId="5" borderId="16" xfId="0" applyFill="1" applyBorder="1" applyAlignment="1">
      <alignment vertical="top"/>
    </xf>
    <xf numFmtId="0" fontId="0" fillId="5" borderId="22" xfId="0" applyFill="1" applyBorder="1" applyAlignment="1">
      <alignment vertical="top"/>
    </xf>
    <xf numFmtId="0" fontId="0" fillId="5" borderId="24" xfId="0" applyFill="1" applyBorder="1"/>
    <xf numFmtId="0" fontId="0" fillId="5" borderId="16" xfId="0" applyFill="1" applyBorder="1"/>
    <xf numFmtId="0" fontId="0" fillId="5" borderId="22" xfId="0" applyFill="1" applyBorder="1"/>
    <xf numFmtId="0" fontId="0" fillId="5" borderId="23" xfId="0" applyFill="1" applyBorder="1" applyAlignment="1">
      <alignment horizontal="right"/>
    </xf>
    <xf numFmtId="0" fontId="0" fillId="5" borderId="23" xfId="0" applyFill="1" applyBorder="1"/>
    <xf numFmtId="172" fontId="0" fillId="5" borderId="22" xfId="0" applyNumberFormat="1" applyFill="1" applyBorder="1"/>
    <xf numFmtId="165" fontId="0" fillId="5" borderId="22" xfId="0" applyNumberFormat="1" applyFill="1" applyBorder="1"/>
    <xf numFmtId="0" fontId="0" fillId="0" borderId="12" xfId="0" applyBorder="1"/>
    <xf numFmtId="0" fontId="0" fillId="0" borderId="17" xfId="0" applyBorder="1" applyAlignment="1">
      <alignment horizontal="right"/>
    </xf>
    <xf numFmtId="0" fontId="0" fillId="0" borderId="9" xfId="0" applyBorder="1"/>
    <xf numFmtId="0" fontId="0" fillId="0" borderId="19" xfId="0" applyBorder="1" applyAlignment="1">
      <alignment horizontal="right"/>
    </xf>
    <xf numFmtId="0" fontId="0" fillId="0" borderId="6" xfId="0" applyBorder="1"/>
    <xf numFmtId="0" fontId="0" fillId="0" borderId="18" xfId="0" applyBorder="1" applyAlignment="1">
      <alignment horizontal="right"/>
    </xf>
    <xf numFmtId="167" fontId="0" fillId="5" borderId="22" xfId="0" applyNumberFormat="1" applyFill="1" applyBorder="1"/>
    <xf numFmtId="174" fontId="0" fillId="5" borderId="22" xfId="0" applyNumberFormat="1" applyFill="1" applyBorder="1"/>
    <xf numFmtId="0" fontId="0" fillId="5" borderId="30" xfId="0" applyFill="1" applyBorder="1"/>
    <xf numFmtId="0" fontId="0" fillId="0" borderId="24" xfId="0" applyBorder="1"/>
    <xf numFmtId="0" fontId="0" fillId="0" borderId="16" xfId="0" applyBorder="1"/>
    <xf numFmtId="0" fontId="0" fillId="0" borderId="22" xfId="0" applyBorder="1"/>
    <xf numFmtId="0" fontId="0" fillId="0" borderId="23" xfId="0" applyBorder="1" applyAlignment="1">
      <alignment horizontal="right"/>
    </xf>
    <xf numFmtId="0" fontId="0" fillId="0" borderId="23" xfId="0" applyBorder="1"/>
    <xf numFmtId="172" fontId="0" fillId="0" borderId="22" xfId="0" applyNumberFormat="1" applyBorder="1"/>
    <xf numFmtId="165" fontId="0" fillId="0" borderId="22" xfId="0" applyNumberFormat="1" applyBorder="1"/>
    <xf numFmtId="167" fontId="0" fillId="0" borderId="22" xfId="0" applyNumberFormat="1" applyBorder="1"/>
    <xf numFmtId="174" fontId="0" fillId="0" borderId="22" xfId="0" applyNumberFormat="1" applyBorder="1"/>
    <xf numFmtId="170" fontId="0" fillId="5" borderId="10" xfId="0" applyNumberFormat="1" applyFill="1" applyBorder="1"/>
    <xf numFmtId="0" fontId="0" fillId="0" borderId="13" xfId="0" applyBorder="1"/>
    <xf numFmtId="0" fontId="0" fillId="0" borderId="14" xfId="0" applyBorder="1" applyAlignment="1">
      <alignment horizontal="right"/>
    </xf>
    <xf numFmtId="0" fontId="0" fillId="0" borderId="10" xfId="0" applyBorder="1"/>
    <xf numFmtId="0" fontId="0" fillId="0" borderId="11" xfId="0" applyBorder="1" applyAlignment="1">
      <alignment horizontal="right"/>
    </xf>
    <xf numFmtId="0" fontId="0" fillId="0" borderId="28" xfId="0" applyBorder="1"/>
    <xf numFmtId="0" fontId="0" fillId="0" borderId="26" xfId="0" applyBorder="1"/>
    <xf numFmtId="0" fontId="0" fillId="0" borderId="27" xfId="0" applyBorder="1"/>
    <xf numFmtId="0" fontId="0" fillId="0" borderId="28" xfId="0" applyBorder="1" applyAlignment="1">
      <alignment horizontal="right"/>
    </xf>
    <xf numFmtId="0" fontId="0" fillId="0" borderId="25" xfId="0" applyBorder="1"/>
    <xf numFmtId="169" fontId="0" fillId="5" borderId="22" xfId="0" applyNumberFormat="1" applyFill="1" applyBorder="1"/>
    <xf numFmtId="0" fontId="0" fillId="5" borderId="5" xfId="0" applyFill="1" applyBorder="1" applyAlignment="1">
      <alignment horizontal="right" vertical="top"/>
    </xf>
    <xf numFmtId="0" fontId="0" fillId="5" borderId="23" xfId="0" applyFill="1" applyBorder="1" applyAlignment="1">
      <alignment horizontal="right" vertical="top"/>
    </xf>
    <xf numFmtId="170" fontId="0" fillId="5" borderId="22" xfId="0" applyNumberFormat="1" applyFill="1" applyBorder="1"/>
    <xf numFmtId="0" fontId="0" fillId="5" borderId="30" xfId="0" applyFill="1" applyBorder="1" applyAlignment="1">
      <alignment horizontal="right"/>
    </xf>
    <xf numFmtId="0" fontId="0" fillId="0" borderId="30" xfId="0" applyBorder="1" applyAlignment="1">
      <alignment horizontal="right"/>
    </xf>
    <xf numFmtId="2" fontId="0" fillId="0" borderId="22" xfId="0" applyNumberFormat="1" applyBorder="1"/>
    <xf numFmtId="0" fontId="6" fillId="0" borderId="0" xfId="0" applyFont="1"/>
    <xf numFmtId="165" fontId="0" fillId="0" borderId="0" xfId="0" applyNumberFormat="1"/>
    <xf numFmtId="178" fontId="0" fillId="5" borderId="22" xfId="0" applyNumberFormat="1" applyFill="1" applyBorder="1"/>
    <xf numFmtId="0" fontId="6" fillId="0" borderId="24" xfId="0" applyFont="1" applyBorder="1"/>
    <xf numFmtId="0" fontId="0" fillId="0" borderId="23" xfId="0" applyBorder="1" applyAlignment="1">
      <alignment horizontal="right" vertical="top"/>
    </xf>
    <xf numFmtId="179" fontId="0" fillId="0" borderId="0" xfId="0" applyNumberFormat="1"/>
    <xf numFmtId="180" fontId="0" fillId="0" borderId="0" xfId="0" applyNumberFormat="1"/>
    <xf numFmtId="181" fontId="0" fillId="0" borderId="0" xfId="0" applyNumberFormat="1"/>
    <xf numFmtId="166" fontId="1" fillId="2" borderId="0" xfId="0" applyNumberFormat="1" applyFont="1" applyFill="1" applyAlignment="1">
      <alignment horizontal="center" vertical="top" wrapText="1"/>
    </xf>
    <xf numFmtId="0" fontId="0" fillId="5" borderId="31" xfId="0" applyFill="1" applyBorder="1"/>
    <xf numFmtId="0" fontId="0" fillId="5" borderId="32" xfId="0" applyFill="1" applyBorder="1"/>
    <xf numFmtId="0" fontId="0" fillId="5" borderId="33" xfId="0" applyFill="1" applyBorder="1"/>
    <xf numFmtId="0" fontId="0" fillId="5" borderId="34" xfId="0" applyFill="1" applyBorder="1"/>
    <xf numFmtId="0" fontId="0" fillId="5" borderId="32" xfId="0" applyFill="1" applyBorder="1" applyAlignment="1">
      <alignment horizontal="right"/>
    </xf>
    <xf numFmtId="175" fontId="0" fillId="5" borderId="22" xfId="0" applyNumberFormat="1" applyFill="1" applyBorder="1"/>
    <xf numFmtId="171" fontId="0" fillId="5" borderId="22" xfId="0" applyNumberFormat="1" applyFill="1" applyBorder="1"/>
    <xf numFmtId="166" fontId="13" fillId="0" borderId="0" xfId="0" applyNumberFormat="1" applyFont="1" applyAlignment="1" applyProtection="1">
      <alignment horizontal="left" vertical="top" wrapText="1"/>
      <protection locked="0"/>
    </xf>
    <xf numFmtId="168" fontId="0" fillId="0" borderId="0" xfId="0" applyNumberFormat="1"/>
    <xf numFmtId="182" fontId="0" fillId="0" borderId="0" xfId="0" applyNumberFormat="1"/>
    <xf numFmtId="1" fontId="0" fillId="5" borderId="22" xfId="0" applyNumberFormat="1" applyFill="1" applyBorder="1"/>
    <xf numFmtId="183" fontId="0" fillId="0" borderId="0" xfId="0" applyNumberFormat="1"/>
    <xf numFmtId="0" fontId="0" fillId="5" borderId="0" xfId="0" applyFill="1" applyAlignment="1">
      <alignment vertical="top"/>
    </xf>
    <xf numFmtId="0" fontId="0" fillId="5" borderId="5" xfId="0" applyFill="1" applyBorder="1" applyAlignment="1">
      <alignment vertical="top"/>
    </xf>
    <xf numFmtId="0" fontId="0" fillId="5" borderId="1" xfId="0" applyFill="1" applyBorder="1" applyAlignment="1">
      <alignment vertical="top"/>
    </xf>
    <xf numFmtId="0" fontId="6" fillId="5" borderId="0" xfId="0" applyFont="1" applyFill="1"/>
    <xf numFmtId="0" fontId="14" fillId="5" borderId="0" xfId="0" applyFont="1" applyFill="1"/>
    <xf numFmtId="0" fontId="0" fillId="0" borderId="30" xfId="0" applyBorder="1"/>
    <xf numFmtId="0" fontId="0" fillId="0" borderId="20" xfId="0" applyBorder="1"/>
    <xf numFmtId="0" fontId="0" fillId="0" borderId="7" xfId="0" applyBorder="1"/>
    <xf numFmtId="0" fontId="0" fillId="5" borderId="29" xfId="0" applyFill="1" applyBorder="1"/>
    <xf numFmtId="177" fontId="0" fillId="0" borderId="0" xfId="0" applyNumberFormat="1"/>
    <xf numFmtId="176" fontId="0" fillId="0" borderId="22" xfId="0" applyNumberFormat="1" applyBorder="1"/>
    <xf numFmtId="173" fontId="0" fillId="0" borderId="22" xfId="0" applyNumberFormat="1" applyBorder="1"/>
    <xf numFmtId="0" fontId="6" fillId="0" borderId="22" xfId="0" applyFont="1" applyBorder="1"/>
    <xf numFmtId="172" fontId="0" fillId="5" borderId="22" xfId="0" applyNumberFormat="1" applyFill="1" applyBorder="1" applyAlignment="1">
      <alignment vertical="top"/>
    </xf>
    <xf numFmtId="170" fontId="0" fillId="5" borderId="22" xfId="0" applyNumberFormat="1" applyFill="1" applyBorder="1" applyAlignment="1">
      <alignment vertical="top"/>
    </xf>
    <xf numFmtId="0" fontId="0" fillId="5" borderId="23" xfId="0" applyFill="1" applyBorder="1" applyAlignment="1">
      <alignment vertical="top"/>
    </xf>
    <xf numFmtId="172" fontId="0" fillId="5" borderId="0" xfId="0" applyNumberFormat="1" applyFill="1" applyAlignment="1">
      <alignment vertical="top"/>
    </xf>
    <xf numFmtId="0" fontId="0" fillId="0" borderId="24" xfId="0" applyBorder="1" applyAlignment="1">
      <alignment vertical="top"/>
    </xf>
    <xf numFmtId="169" fontId="0" fillId="5" borderId="22" xfId="0" applyNumberFormat="1" applyFill="1" applyBorder="1" applyAlignment="1">
      <alignment vertical="top"/>
    </xf>
    <xf numFmtId="173" fontId="0" fillId="0" borderId="0" xfId="0" applyNumberFormat="1"/>
    <xf numFmtId="171" fontId="0" fillId="5" borderId="0" xfId="0" applyNumberFormat="1" applyFill="1"/>
    <xf numFmtId="0" fontId="6" fillId="5" borderId="22" xfId="0" applyFont="1" applyFill="1" applyBorder="1"/>
    <xf numFmtId="173" fontId="0" fillId="5" borderId="22" xfId="0" applyNumberFormat="1" applyFill="1" applyBorder="1"/>
    <xf numFmtId="0" fontId="6" fillId="5" borderId="23" xfId="0" applyFont="1" applyFill="1" applyBorder="1"/>
    <xf numFmtId="184" fontId="0" fillId="5" borderId="22" xfId="0" applyNumberFormat="1" applyFill="1" applyBorder="1"/>
    <xf numFmtId="166" fontId="14" fillId="0" borderId="0" xfId="0" applyNumberFormat="1" applyFont="1" applyAlignment="1">
      <alignment horizontal="left" vertical="top" wrapText="1"/>
    </xf>
    <xf numFmtId="176" fontId="0" fillId="5" borderId="22" xfId="0" applyNumberFormat="1" applyFill="1" applyBorder="1" applyAlignment="1">
      <alignment vertical="top"/>
    </xf>
    <xf numFmtId="175" fontId="0" fillId="5" borderId="22" xfId="0" applyNumberFormat="1" applyFill="1" applyBorder="1" applyAlignment="1">
      <alignment vertical="top"/>
    </xf>
    <xf numFmtId="0" fontId="1" fillId="2" borderId="0" xfId="0" applyFont="1" applyFill="1"/>
    <xf numFmtId="166" fontId="0" fillId="0" borderId="0" xfId="0" applyNumberFormat="1"/>
    <xf numFmtId="169" fontId="0" fillId="0" borderId="0" xfId="0" applyNumberFormat="1"/>
    <xf numFmtId="185" fontId="0" fillId="0" borderId="0" xfId="0" applyNumberFormat="1"/>
    <xf numFmtId="176" fontId="0" fillId="5" borderId="22" xfId="0" applyNumberFormat="1" applyFill="1" applyBorder="1"/>
    <xf numFmtId="167" fontId="0" fillId="0" borderId="0" xfId="0" applyNumberFormat="1"/>
    <xf numFmtId="177" fontId="0" fillId="5" borderId="0" xfId="0" applyNumberFormat="1" applyFill="1"/>
    <xf numFmtId="166" fontId="19" fillId="0" borderId="0" xfId="0" applyNumberFormat="1" applyFont="1" applyAlignment="1">
      <alignment horizontal="left" vertical="top" wrapText="1"/>
    </xf>
    <xf numFmtId="183" fontId="0" fillId="0" borderId="0" xfId="0" applyNumberFormat="1" applyAlignment="1">
      <alignment horizontal="right"/>
    </xf>
    <xf numFmtId="186" fontId="0" fillId="0" borderId="0" xfId="0" applyNumberFormat="1"/>
    <xf numFmtId="178" fontId="0" fillId="0" borderId="0" xfId="0" applyNumberFormat="1"/>
    <xf numFmtId="187" fontId="0" fillId="0" borderId="22" xfId="0" applyNumberFormat="1" applyBorder="1"/>
    <xf numFmtId="173" fontId="0" fillId="0" borderId="24" xfId="0" applyNumberFormat="1" applyBorder="1"/>
    <xf numFmtId="0" fontId="25" fillId="0" borderId="16" xfId="0" applyFont="1" applyBorder="1"/>
    <xf numFmtId="172" fontId="0" fillId="5" borderId="0" xfId="0" applyNumberFormat="1" applyFill="1"/>
    <xf numFmtId="172" fontId="0" fillId="5" borderId="24" xfId="0" applyNumberFormat="1" applyFill="1" applyBorder="1"/>
    <xf numFmtId="178" fontId="0" fillId="5" borderId="0" xfId="0" applyNumberFormat="1" applyFill="1"/>
    <xf numFmtId="188" fontId="0" fillId="0" borderId="0" xfId="0" applyNumberFormat="1"/>
    <xf numFmtId="2" fontId="0" fillId="0" borderId="0" xfId="0" applyNumberFormat="1"/>
    <xf numFmtId="0" fontId="0" fillId="0" borderId="18" xfId="0" applyBorder="1"/>
    <xf numFmtId="0" fontId="14" fillId="0" borderId="0" xfId="0" applyFont="1"/>
    <xf numFmtId="0" fontId="0" fillId="0" borderId="16" xfId="0" applyBorder="1" applyAlignment="1">
      <alignment vertical="top"/>
    </xf>
    <xf numFmtId="0" fontId="0" fillId="0" borderId="22" xfId="0" applyBorder="1" applyAlignment="1">
      <alignment vertical="top"/>
    </xf>
    <xf numFmtId="0" fontId="0" fillId="0" borderId="23" xfId="0" applyBorder="1" applyAlignment="1">
      <alignment vertical="top"/>
    </xf>
    <xf numFmtId="189" fontId="0" fillId="5" borderId="22" xfId="0" applyNumberFormat="1" applyFill="1" applyBorder="1"/>
    <xf numFmtId="44" fontId="0" fillId="0" borderId="0" xfId="1" applyFont="1" applyAlignment="1">
      <alignment vertical="top" wrapText="1"/>
    </xf>
    <xf numFmtId="167" fontId="0" fillId="5" borderId="22" xfId="0" applyNumberFormat="1" applyFill="1" applyBorder="1" applyAlignment="1">
      <alignment vertical="top"/>
    </xf>
    <xf numFmtId="189" fontId="0" fillId="5" borderId="22" xfId="0" applyNumberFormat="1" applyFill="1" applyBorder="1" applyAlignment="1">
      <alignment vertical="top"/>
    </xf>
    <xf numFmtId="0" fontId="6" fillId="5" borderId="16" xfId="0" applyFont="1" applyFill="1" applyBorder="1" applyAlignment="1">
      <alignment vertical="top"/>
    </xf>
    <xf numFmtId="171" fontId="0" fillId="0" borderId="22" xfId="0" applyNumberFormat="1" applyBorder="1"/>
    <xf numFmtId="165" fontId="0" fillId="5" borderId="0" xfId="0" applyNumberFormat="1" applyFill="1"/>
    <xf numFmtId="168" fontId="0" fillId="5" borderId="22" xfId="0" applyNumberFormat="1" applyFill="1" applyBorder="1"/>
    <xf numFmtId="171" fontId="0" fillId="0" borderId="0" xfId="0" applyNumberFormat="1"/>
    <xf numFmtId="0" fontId="23" fillId="2" borderId="0" xfId="0" applyFont="1" applyFill="1" applyAlignment="1">
      <alignment horizontal="center"/>
    </xf>
    <xf numFmtId="170" fontId="0" fillId="5" borderId="0" xfId="0" applyNumberFormat="1" applyFill="1"/>
    <xf numFmtId="0" fontId="7" fillId="0" borderId="0" xfId="0" applyFont="1"/>
    <xf numFmtId="166" fontId="0" fillId="0" borderId="0" xfId="0" applyNumberFormat="1" applyAlignment="1">
      <alignment horizontal="right"/>
    </xf>
    <xf numFmtId="190" fontId="0" fillId="0" borderId="0" xfId="0" applyNumberFormat="1"/>
    <xf numFmtId="189" fontId="0" fillId="0" borderId="0" xfId="0" applyNumberFormat="1"/>
    <xf numFmtId="0" fontId="0" fillId="5" borderId="36" xfId="0" applyFill="1" applyBorder="1"/>
    <xf numFmtId="0" fontId="0" fillId="0" borderId="37" xfId="0" applyBorder="1"/>
    <xf numFmtId="0" fontId="0" fillId="5" borderId="30" xfId="0" applyFill="1" applyBorder="1" applyAlignment="1">
      <alignment vertical="top"/>
    </xf>
    <xf numFmtId="0" fontId="0" fillId="0" borderId="30" xfId="0" applyBorder="1" applyAlignment="1">
      <alignment vertical="top"/>
    </xf>
    <xf numFmtId="0" fontId="0" fillId="0" borderId="17" xfId="0" applyBorder="1"/>
    <xf numFmtId="0" fontId="0" fillId="0" borderId="19" xfId="0" applyBorder="1"/>
    <xf numFmtId="0" fontId="0" fillId="5" borderId="17" xfId="0" applyFill="1" applyBorder="1"/>
    <xf numFmtId="0" fontId="0" fillId="5" borderId="18" xfId="0" applyFill="1" applyBorder="1"/>
    <xf numFmtId="0" fontId="0" fillId="5" borderId="19" xfId="0" applyFill="1" applyBorder="1"/>
    <xf numFmtId="167" fontId="0" fillId="0" borderId="30" xfId="0" applyNumberFormat="1" applyBorder="1"/>
    <xf numFmtId="2" fontId="0" fillId="0" borderId="30" xfId="0" applyNumberFormat="1" applyBorder="1"/>
    <xf numFmtId="173" fontId="0" fillId="0" borderId="30" xfId="0" applyNumberFormat="1" applyBorder="1"/>
    <xf numFmtId="170" fontId="0" fillId="5" borderId="30" xfId="0" applyNumberFormat="1" applyFill="1" applyBorder="1"/>
    <xf numFmtId="1" fontId="0" fillId="5" borderId="19" xfId="0" applyNumberFormat="1" applyFill="1" applyBorder="1"/>
    <xf numFmtId="1" fontId="0" fillId="5" borderId="30" xfId="0" applyNumberFormat="1" applyFill="1" applyBorder="1"/>
    <xf numFmtId="167" fontId="0" fillId="5" borderId="30" xfId="0" applyNumberFormat="1" applyFill="1" applyBorder="1"/>
    <xf numFmtId="169" fontId="0" fillId="5" borderId="30" xfId="0" applyNumberFormat="1" applyFill="1" applyBorder="1"/>
    <xf numFmtId="187" fontId="0" fillId="0" borderId="30" xfId="0" applyNumberFormat="1" applyBorder="1"/>
    <xf numFmtId="169" fontId="0" fillId="5" borderId="30" xfId="0" applyNumberFormat="1" applyFill="1" applyBorder="1" applyAlignment="1">
      <alignment vertical="top"/>
    </xf>
    <xf numFmtId="1" fontId="0" fillId="5" borderId="0" xfId="0" applyNumberFormat="1" applyFill="1" applyAlignment="1">
      <alignment vertical="top"/>
    </xf>
    <xf numFmtId="1" fontId="0" fillId="5" borderId="30" xfId="0" applyNumberFormat="1" applyFill="1" applyBorder="1" applyAlignment="1">
      <alignment vertical="top"/>
    </xf>
    <xf numFmtId="1" fontId="0" fillId="0" borderId="30" xfId="0" applyNumberFormat="1" applyBorder="1"/>
    <xf numFmtId="1" fontId="0" fillId="5" borderId="17" xfId="0" applyNumberFormat="1" applyFill="1" applyBorder="1"/>
    <xf numFmtId="1" fontId="0" fillId="5" borderId="0" xfId="0" applyNumberFormat="1" applyFill="1"/>
    <xf numFmtId="0" fontId="14" fillId="0" borderId="30" xfId="0" applyFont="1" applyBorder="1"/>
    <xf numFmtId="178" fontId="0" fillId="5" borderId="17" xfId="0" applyNumberFormat="1" applyFill="1" applyBorder="1" applyAlignment="1">
      <alignment vertical="top"/>
    </xf>
    <xf numFmtId="1" fontId="0" fillId="5" borderId="18" xfId="0" applyNumberFormat="1" applyFill="1" applyBorder="1"/>
    <xf numFmtId="3" fontId="0" fillId="5" borderId="30" xfId="0" applyNumberFormat="1" applyFill="1" applyBorder="1"/>
    <xf numFmtId="0" fontId="14" fillId="5" borderId="30" xfId="0" applyFont="1" applyFill="1" applyBorder="1"/>
    <xf numFmtId="191" fontId="0" fillId="5" borderId="0" xfId="0" applyNumberFormat="1" applyFill="1"/>
    <xf numFmtId="182" fontId="0" fillId="5" borderId="0" xfId="0" applyNumberFormat="1" applyFill="1"/>
    <xf numFmtId="166" fontId="0" fillId="5" borderId="0" xfId="0" applyNumberFormat="1" applyFill="1"/>
    <xf numFmtId="174" fontId="0" fillId="5" borderId="0" xfId="0" applyNumberFormat="1" applyFill="1"/>
    <xf numFmtId="173" fontId="0" fillId="5" borderId="0" xfId="0" applyNumberFormat="1" applyFill="1"/>
    <xf numFmtId="167" fontId="0" fillId="0" borderId="27" xfId="0" applyNumberFormat="1" applyBorder="1"/>
    <xf numFmtId="175" fontId="0" fillId="0" borderId="27" xfId="0" applyNumberFormat="1" applyBorder="1"/>
    <xf numFmtId="170" fontId="0" fillId="0" borderId="22" xfId="0" applyNumberFormat="1" applyBorder="1"/>
    <xf numFmtId="177" fontId="0" fillId="5" borderId="22" xfId="0" applyNumberFormat="1" applyFill="1" applyBorder="1"/>
    <xf numFmtId="184" fontId="0" fillId="0" borderId="0" xfId="0" applyNumberFormat="1"/>
    <xf numFmtId="0" fontId="0" fillId="5" borderId="39" xfId="0" applyFill="1" applyBorder="1"/>
    <xf numFmtId="0" fontId="0" fillId="5" borderId="0" xfId="0" applyFill="1" applyAlignment="1">
      <alignment horizontal="left" vertical="top" wrapText="1"/>
    </xf>
    <xf numFmtId="0" fontId="4" fillId="5" borderId="0" xfId="0" applyFont="1" applyFill="1" applyAlignment="1">
      <alignment horizontal="left" vertical="top" wrapText="1"/>
    </xf>
    <xf numFmtId="166" fontId="0" fillId="5" borderId="0" xfId="0" applyNumberFormat="1" applyFill="1" applyAlignment="1">
      <alignment horizontal="left" vertical="top" wrapText="1"/>
    </xf>
    <xf numFmtId="0" fontId="6" fillId="5" borderId="0" xfId="0" applyFont="1" applyFill="1" applyAlignment="1">
      <alignment horizontal="right"/>
    </xf>
    <xf numFmtId="0" fontId="13" fillId="5" borderId="0" xfId="0" applyFont="1" applyFill="1" applyAlignment="1">
      <alignment horizontal="left" vertical="top" wrapText="1"/>
    </xf>
    <xf numFmtId="0" fontId="5" fillId="5" borderId="0" xfId="0" applyFont="1" applyFill="1" applyAlignment="1">
      <alignment horizontal="left" vertical="top" wrapText="1"/>
    </xf>
    <xf numFmtId="0" fontId="7" fillId="5" borderId="0" xfId="0" applyFont="1" applyFill="1" applyAlignment="1">
      <alignment horizontal="left" vertical="top" wrapText="1"/>
    </xf>
    <xf numFmtId="167" fontId="0" fillId="5" borderId="0" xfId="0" applyNumberFormat="1" applyFill="1" applyAlignment="1">
      <alignment vertical="top"/>
    </xf>
    <xf numFmtId="0" fontId="6" fillId="0" borderId="0" xfId="0" applyFont="1" applyAlignment="1">
      <alignment horizontal="left" vertical="top" wrapText="1"/>
    </xf>
    <xf numFmtId="0" fontId="27" fillId="0" borderId="0" xfId="0" applyFont="1" applyAlignment="1">
      <alignment horizontal="left" vertical="top" wrapText="1"/>
    </xf>
    <xf numFmtId="168" fontId="0" fillId="0" borderId="0" xfId="0" applyNumberFormat="1" applyAlignment="1">
      <alignment horizontal="right" vertical="top" wrapText="1"/>
    </xf>
    <xf numFmtId="166" fontId="0" fillId="0" borderId="0" xfId="0" applyNumberFormat="1" applyAlignment="1">
      <alignment horizontal="right" vertical="top" wrapText="1"/>
    </xf>
    <xf numFmtId="166" fontId="6" fillId="0" borderId="0" xfId="0" applyNumberFormat="1" applyFont="1"/>
    <xf numFmtId="166" fontId="6" fillId="0" borderId="0" xfId="0" applyNumberFormat="1" applyFont="1" applyAlignment="1">
      <alignment horizontal="right" vertical="top" wrapText="1"/>
    </xf>
    <xf numFmtId="169" fontId="0" fillId="0" borderId="0" xfId="0" applyNumberFormat="1" applyAlignment="1">
      <alignment horizontal="right" vertical="top" wrapText="1"/>
    </xf>
    <xf numFmtId="166" fontId="0" fillId="0" borderId="0" xfId="0" applyNumberFormat="1" applyAlignment="1">
      <alignment horizontal="right" vertical="top"/>
    </xf>
    <xf numFmtId="0" fontId="28" fillId="0" borderId="0" xfId="0" applyFont="1" applyAlignment="1">
      <alignment horizontal="left" vertical="top"/>
    </xf>
    <xf numFmtId="0" fontId="28" fillId="0" borderId="0" xfId="0" applyFont="1" applyAlignment="1">
      <alignment horizontal="left" vertical="top" wrapText="1"/>
    </xf>
    <xf numFmtId="166" fontId="0" fillId="5" borderId="0" xfId="0" applyNumberFormat="1" applyFill="1" applyAlignment="1">
      <alignment horizontal="left" vertical="top"/>
    </xf>
    <xf numFmtId="0" fontId="14" fillId="0" borderId="0" xfId="0" applyFont="1" applyAlignment="1">
      <alignment horizontal="left" vertical="top"/>
    </xf>
    <xf numFmtId="0" fontId="22" fillId="0" borderId="40" xfId="0" applyFont="1" applyBorder="1"/>
    <xf numFmtId="49" fontId="0" fillId="0" borderId="41" xfId="0" applyNumberFormat="1" applyBorder="1" applyAlignment="1">
      <alignment horizontal="right"/>
    </xf>
    <xf numFmtId="0" fontId="22" fillId="0" borderId="1" xfId="0" applyFont="1" applyBorder="1"/>
    <xf numFmtId="49" fontId="0" fillId="0" borderId="5" xfId="0" applyNumberFormat="1" applyBorder="1" applyAlignment="1">
      <alignment horizontal="right"/>
    </xf>
    <xf numFmtId="0" fontId="0" fillId="0" borderId="5" xfId="0" applyBorder="1"/>
    <xf numFmtId="0" fontId="0" fillId="0" borderId="3" xfId="0" applyBorder="1"/>
    <xf numFmtId="0" fontId="0" fillId="0" borderId="4" xfId="0" applyBorder="1"/>
    <xf numFmtId="0" fontId="1" fillId="2" borderId="0" xfId="0" applyFont="1" applyFill="1" applyAlignment="1">
      <alignment horizontal="center"/>
    </xf>
    <xf numFmtId="173" fontId="0" fillId="5" borderId="22" xfId="0" applyNumberFormat="1" applyFill="1" applyBorder="1" applyAlignment="1">
      <alignment vertical="top"/>
    </xf>
    <xf numFmtId="0" fontId="31" fillId="2" borderId="0" xfId="0" applyFont="1" applyFill="1" applyAlignment="1">
      <alignment horizontal="center"/>
    </xf>
    <xf numFmtId="0" fontId="0" fillId="0" borderId="0" xfId="0" applyAlignment="1">
      <alignment horizontal="left" vertical="top" wrapText="1"/>
    </xf>
    <xf numFmtId="0" fontId="0" fillId="0" borderId="5" xfId="0" applyBorder="1" applyAlignment="1">
      <alignment horizontal="right" vertical="top"/>
    </xf>
    <xf numFmtId="0" fontId="0" fillId="0" borderId="22" xfId="0" applyBorder="1" applyAlignment="1">
      <alignment vertical="top"/>
    </xf>
    <xf numFmtId="1" fontId="0" fillId="0" borderId="22" xfId="0" applyNumberFormat="1" applyBorder="1" applyAlignment="1">
      <alignment vertical="top"/>
    </xf>
    <xf numFmtId="1" fontId="0" fillId="0" borderId="0" xfId="0" applyNumberFormat="1" applyAlignment="1">
      <alignment vertical="top"/>
    </xf>
    <xf numFmtId="0" fontId="0" fillId="0" borderId="0" xfId="0" applyAlignment="1">
      <alignment vertical="top"/>
    </xf>
    <xf numFmtId="0" fontId="0" fillId="0" borderId="35" xfId="0" applyBorder="1" applyAlignment="1">
      <alignment vertical="top"/>
    </xf>
    <xf numFmtId="0" fontId="0" fillId="5" borderId="1" xfId="0" applyFill="1" applyBorder="1" applyAlignment="1">
      <alignment vertical="top"/>
    </xf>
    <xf numFmtId="0" fontId="0" fillId="5" borderId="22" xfId="0" applyFill="1" applyBorder="1" applyAlignment="1">
      <alignment vertical="top"/>
    </xf>
    <xf numFmtId="0" fontId="0" fillId="5" borderId="5" xfId="0" applyFill="1" applyBorder="1" applyAlignment="1">
      <alignment horizontal="right" vertical="top"/>
    </xf>
    <xf numFmtId="0" fontId="0" fillId="5" borderId="23" xfId="0" applyFill="1" applyBorder="1" applyAlignment="1">
      <alignment horizontal="right" vertical="top"/>
    </xf>
    <xf numFmtId="0" fontId="0" fillId="0" borderId="23" xfId="0" applyBorder="1" applyAlignment="1">
      <alignment horizontal="right" vertical="top"/>
    </xf>
    <xf numFmtId="0" fontId="0" fillId="0" borderId="1" xfId="0" applyBorder="1" applyAlignment="1">
      <alignment vertical="top"/>
    </xf>
    <xf numFmtId="0" fontId="0" fillId="0" borderId="16" xfId="0" applyBorder="1" applyAlignment="1">
      <alignment vertical="top"/>
    </xf>
    <xf numFmtId="0" fontId="0" fillId="0" borderId="30" xfId="0" applyBorder="1" applyAlignment="1">
      <alignment vertical="top"/>
    </xf>
    <xf numFmtId="0" fontId="0" fillId="0" borderId="21" xfId="0" applyBorder="1" applyAlignment="1">
      <alignment horizontal="right" vertical="top"/>
    </xf>
    <xf numFmtId="174" fontId="0" fillId="0" borderId="22" xfId="0" applyNumberFormat="1" applyBorder="1" applyAlignment="1">
      <alignment vertical="top"/>
    </xf>
    <xf numFmtId="0" fontId="0" fillId="5" borderId="16" xfId="0" applyFill="1" applyBorder="1" applyAlignment="1">
      <alignment vertical="top"/>
    </xf>
    <xf numFmtId="173" fontId="0" fillId="5" borderId="22" xfId="0" applyNumberFormat="1" applyFill="1" applyBorder="1" applyAlignment="1">
      <alignment vertical="top"/>
    </xf>
    <xf numFmtId="178" fontId="0" fillId="0" borderId="0" xfId="0" applyNumberFormat="1" applyAlignment="1">
      <alignment vertical="top"/>
    </xf>
    <xf numFmtId="0" fontId="0" fillId="0" borderId="5" xfId="0" applyBorder="1" applyAlignment="1">
      <alignment vertical="top"/>
    </xf>
    <xf numFmtId="172" fontId="0" fillId="5" borderId="22" xfId="0" applyNumberFormat="1" applyFill="1" applyBorder="1" applyAlignment="1">
      <alignment vertical="top"/>
    </xf>
    <xf numFmtId="170" fontId="0" fillId="0" borderId="22" xfId="0" applyNumberFormat="1" applyBorder="1" applyAlignment="1">
      <alignment vertical="top"/>
    </xf>
    <xf numFmtId="0" fontId="0" fillId="0" borderId="24" xfId="0" applyBorder="1" applyAlignment="1">
      <alignment vertical="top"/>
    </xf>
    <xf numFmtId="0" fontId="0" fillId="0" borderId="23" xfId="0" applyBorder="1" applyAlignment="1">
      <alignment vertical="top"/>
    </xf>
    <xf numFmtId="0" fontId="0" fillId="5" borderId="0" xfId="0" applyFill="1" applyAlignment="1">
      <alignment vertical="top"/>
    </xf>
    <xf numFmtId="0" fontId="0" fillId="5" borderId="38" xfId="0" applyFill="1" applyBorder="1" applyAlignment="1">
      <alignment vertical="top"/>
    </xf>
    <xf numFmtId="0" fontId="0" fillId="0" borderId="38" xfId="0" applyBorder="1" applyAlignment="1">
      <alignment vertical="top"/>
    </xf>
    <xf numFmtId="0" fontId="0" fillId="5" borderId="24" xfId="0" applyFill="1" applyBorder="1" applyAlignment="1">
      <alignment vertical="top"/>
    </xf>
    <xf numFmtId="0" fontId="0" fillId="5" borderId="23" xfId="0" applyFill="1" applyBorder="1" applyAlignment="1">
      <alignment vertical="top"/>
    </xf>
    <xf numFmtId="0" fontId="0" fillId="0" borderId="29" xfId="0" applyBorder="1" applyAlignment="1">
      <alignment vertical="top"/>
    </xf>
    <xf numFmtId="0" fontId="0" fillId="0" borderId="11" xfId="0" applyBorder="1" applyAlignment="1">
      <alignment horizontal="right" vertical="top"/>
    </xf>
    <xf numFmtId="0" fontId="0" fillId="0" borderId="15" xfId="0" applyBorder="1" applyAlignment="1">
      <alignment vertical="top"/>
    </xf>
    <xf numFmtId="0" fontId="0" fillId="0" borderId="12" xfId="0" applyBorder="1" applyAlignment="1">
      <alignment vertical="top"/>
    </xf>
    <xf numFmtId="178" fontId="0" fillId="5" borderId="22" xfId="0" applyNumberFormat="1" applyFill="1" applyBorder="1" applyAlignment="1">
      <alignment vertical="top"/>
    </xf>
    <xf numFmtId="178" fontId="0" fillId="0" borderId="13" xfId="0" applyNumberFormat="1" applyBorder="1" applyAlignment="1">
      <alignment vertical="top"/>
    </xf>
    <xf numFmtId="0" fontId="0" fillId="5" borderId="14" xfId="0" applyFill="1" applyBorder="1" applyAlignment="1">
      <alignment horizontal="right" vertical="top"/>
    </xf>
    <xf numFmtId="0" fontId="0" fillId="0" borderId="10" xfId="0" applyBorder="1" applyAlignment="1">
      <alignment vertical="top"/>
    </xf>
    <xf numFmtId="175" fontId="0" fillId="5" borderId="22" xfId="0" applyNumberFormat="1" applyFill="1" applyBorder="1" applyAlignment="1">
      <alignment vertical="top"/>
    </xf>
    <xf numFmtId="167" fontId="0" fillId="0" borderId="0" xfId="0" applyNumberFormat="1" applyAlignment="1">
      <alignment vertical="top"/>
    </xf>
    <xf numFmtId="169" fontId="0" fillId="5" borderId="22" xfId="0" applyNumberFormat="1" applyFill="1" applyBorder="1" applyAlignment="1">
      <alignment vertical="top"/>
    </xf>
    <xf numFmtId="169" fontId="0" fillId="0" borderId="22" xfId="0" applyNumberFormat="1" applyBorder="1" applyAlignment="1">
      <alignment vertical="top"/>
    </xf>
    <xf numFmtId="172" fontId="0" fillId="0" borderId="0" xfId="0" applyNumberFormat="1" applyAlignment="1">
      <alignment vertical="top"/>
    </xf>
    <xf numFmtId="174" fontId="0" fillId="5" borderId="22" xfId="0" applyNumberFormat="1" applyFill="1" applyBorder="1" applyAlignment="1">
      <alignment vertical="top"/>
    </xf>
    <xf numFmtId="167" fontId="0" fillId="5" borderId="22" xfId="0" applyNumberFormat="1" applyFill="1" applyBorder="1" applyAlignment="1">
      <alignment vertical="top"/>
    </xf>
    <xf numFmtId="0" fontId="1" fillId="2" borderId="1" xfId="0" applyFont="1" applyFill="1" applyBorder="1" applyAlignment="1">
      <alignment horizontal="center"/>
    </xf>
    <xf numFmtId="0" fontId="1" fillId="2" borderId="0" xfId="0" applyFont="1" applyFill="1" applyAlignment="1">
      <alignment horizontal="center"/>
    </xf>
    <xf numFmtId="0" fontId="1" fillId="2" borderId="5" xfId="0" applyFont="1" applyFill="1" applyBorder="1" applyAlignment="1">
      <alignment horizontal="center"/>
    </xf>
    <xf numFmtId="0" fontId="23" fillId="2" borderId="0" xfId="0" applyFont="1" applyFill="1" applyAlignment="1">
      <alignment horizontal="center"/>
    </xf>
    <xf numFmtId="0" fontId="23" fillId="2" borderId="2" xfId="0" applyFont="1" applyFill="1" applyBorder="1"/>
    <xf numFmtId="0" fontId="0" fillId="5" borderId="5" xfId="0" applyFill="1" applyBorder="1" applyAlignment="1">
      <alignment vertical="top"/>
    </xf>
    <xf numFmtId="0" fontId="0" fillId="5" borderId="11" xfId="0" applyFill="1" applyBorder="1" applyAlignment="1">
      <alignment vertical="top"/>
    </xf>
    <xf numFmtId="0" fontId="0" fillId="5" borderId="15" xfId="0" applyFill="1" applyBorder="1" applyAlignment="1">
      <alignment vertical="top"/>
    </xf>
    <xf numFmtId="0" fontId="14" fillId="0" borderId="24" xfId="0" applyFont="1" applyBorder="1" applyAlignment="1">
      <alignment vertical="top"/>
    </xf>
    <xf numFmtId="0" fontId="14" fillId="0" borderId="23" xfId="0" applyFont="1" applyBorder="1" applyAlignment="1">
      <alignment vertical="top"/>
    </xf>
    <xf numFmtId="0" fontId="0" fillId="0" borderId="1" xfId="0" applyFill="1" applyBorder="1"/>
    <xf numFmtId="176" fontId="0" fillId="0" borderId="0" xfId="0" applyNumberFormat="1"/>
    <xf numFmtId="187" fontId="0" fillId="0" borderId="0" xfId="0" applyNumberFormat="1"/>
    <xf numFmtId="0" fontId="0" fillId="0" borderId="0" xfId="0" applyFill="1" applyAlignment="1">
      <alignment horizontal="left" vertical="top" wrapText="1"/>
    </xf>
    <xf numFmtId="166" fontId="0" fillId="0" borderId="0" xfId="0" applyNumberFormat="1" applyFill="1" applyAlignment="1">
      <alignment horizontal="left" vertical="top" wrapText="1"/>
    </xf>
    <xf numFmtId="167" fontId="0" fillId="5" borderId="0" xfId="0" applyNumberFormat="1" applyFill="1"/>
    <xf numFmtId="0" fontId="0" fillId="5" borderId="0" xfId="0" applyFill="1" applyBorder="1"/>
    <xf numFmtId="176" fontId="0" fillId="5" borderId="0" xfId="0" applyNumberFormat="1" applyFill="1"/>
    <xf numFmtId="0" fontId="0" fillId="5" borderId="5" xfId="0" applyFill="1" applyBorder="1"/>
    <xf numFmtId="0" fontId="0" fillId="0" borderId="0" xfId="0" applyFill="1"/>
    <xf numFmtId="0" fontId="0" fillId="0" borderId="0" xfId="0" applyFill="1" applyBorder="1"/>
    <xf numFmtId="175" fontId="0" fillId="0" borderId="0" xfId="0" applyNumberFormat="1"/>
    <xf numFmtId="175" fontId="0" fillId="5" borderId="0" xfId="0" applyNumberFormat="1" applyFill="1"/>
    <xf numFmtId="187" fontId="0" fillId="5" borderId="0" xfId="0" applyNumberFormat="1" applyFill="1"/>
    <xf numFmtId="184" fontId="0" fillId="5" borderId="0" xfId="0" applyNumberFormat="1" applyFill="1"/>
    <xf numFmtId="0" fontId="0" fillId="0" borderId="5" xfId="0" applyFill="1" applyBorder="1" applyAlignment="1">
      <alignment horizontal="right" vertical="top"/>
    </xf>
    <xf numFmtId="172" fontId="0" fillId="0" borderId="0" xfId="0" applyNumberFormat="1"/>
    <xf numFmtId="0" fontId="0" fillId="0" borderId="0" xfId="0" applyFill="1" applyAlignment="1">
      <alignment horizontal="right"/>
    </xf>
    <xf numFmtId="166" fontId="0" fillId="0" borderId="0" xfId="0" applyNumberFormat="1" applyFill="1"/>
    <xf numFmtId="0" fontId="0" fillId="0" borderId="23" xfId="0" applyFill="1" applyBorder="1" applyAlignment="1">
      <alignment horizontal="right"/>
    </xf>
    <xf numFmtId="0" fontId="0" fillId="0" borderId="0" xfId="0" applyFill="1" applyAlignment="1">
      <alignment vertical="top"/>
    </xf>
    <xf numFmtId="0" fontId="0" fillId="0" borderId="5" xfId="0" applyFill="1" applyBorder="1" applyAlignment="1">
      <alignment vertical="top"/>
    </xf>
    <xf numFmtId="0" fontId="0" fillId="0" borderId="1" xfId="0" applyFill="1" applyBorder="1" applyAlignment="1">
      <alignment vertical="top"/>
    </xf>
    <xf numFmtId="0" fontId="0" fillId="0" borderId="0" xfId="0" applyFill="1" applyAlignment="1">
      <alignment vertical="top"/>
    </xf>
    <xf numFmtId="1" fontId="0" fillId="0" borderId="0" xfId="0" applyNumberFormat="1" applyFill="1" applyAlignment="1">
      <alignment vertical="top"/>
    </xf>
    <xf numFmtId="171" fontId="0" fillId="0" borderId="0" xfId="0" applyNumberFormat="1" applyFill="1"/>
    <xf numFmtId="0" fontId="0" fillId="0" borderId="5" xfId="0" applyFill="1" applyBorder="1" applyAlignment="1">
      <alignment horizontal="right"/>
    </xf>
    <xf numFmtId="172" fontId="0" fillId="0" borderId="0" xfId="0" applyNumberFormat="1" applyFill="1" applyAlignment="1">
      <alignment vertical="top"/>
    </xf>
    <xf numFmtId="0" fontId="0" fillId="0" borderId="0" xfId="0" applyFill="1" applyAlignment="1">
      <alignment horizontal="right" vertical="top"/>
    </xf>
    <xf numFmtId="177" fontId="0" fillId="0" borderId="0" xfId="0" applyNumberFormat="1" applyFill="1"/>
    <xf numFmtId="1" fontId="0" fillId="0" borderId="0" xfId="0" applyNumberFormat="1" applyFill="1"/>
    <xf numFmtId="172" fontId="0" fillId="0" borderId="0" xfId="0" applyNumberFormat="1" applyFill="1"/>
    <xf numFmtId="175" fontId="0" fillId="0" borderId="0" xfId="0" applyNumberFormat="1" applyFill="1" applyAlignment="1">
      <alignment vertical="top"/>
    </xf>
    <xf numFmtId="0" fontId="0" fillId="0" borderId="40" xfId="0" applyFill="1" applyBorder="1" applyAlignment="1">
      <alignment vertical="top"/>
    </xf>
    <xf numFmtId="1" fontId="0" fillId="0" borderId="25" xfId="0" applyNumberFormat="1" applyFill="1" applyBorder="1" applyAlignment="1">
      <alignment vertical="top"/>
    </xf>
    <xf numFmtId="0" fontId="0" fillId="0" borderId="41" xfId="0" applyFill="1" applyBorder="1" applyAlignment="1">
      <alignment horizontal="right" vertical="top"/>
    </xf>
    <xf numFmtId="170" fontId="0" fillId="0" borderId="27" xfId="0" applyNumberFormat="1" applyFill="1" applyBorder="1" applyAlignment="1">
      <alignment vertical="top"/>
    </xf>
    <xf numFmtId="0" fontId="0" fillId="0" borderId="25" xfId="0" applyFill="1" applyBorder="1" applyAlignment="1">
      <alignment vertical="top"/>
    </xf>
    <xf numFmtId="0" fontId="0" fillId="0" borderId="25" xfId="0" applyFill="1" applyBorder="1"/>
    <xf numFmtId="0" fontId="0" fillId="0" borderId="25" xfId="0" applyFill="1" applyBorder="1" applyAlignment="1">
      <alignment horizontal="right"/>
    </xf>
    <xf numFmtId="0" fontId="0" fillId="0" borderId="40" xfId="0" applyFill="1" applyBorder="1"/>
    <xf numFmtId="174" fontId="0" fillId="0" borderId="27" xfId="0" applyNumberFormat="1" applyFill="1" applyBorder="1"/>
    <xf numFmtId="1" fontId="0" fillId="0" borderId="37" xfId="0" applyNumberFormat="1" applyFill="1" applyBorder="1"/>
    <xf numFmtId="0" fontId="0" fillId="0" borderId="28" xfId="0" applyFill="1" applyBorder="1" applyAlignment="1">
      <alignment horizontal="right"/>
    </xf>
    <xf numFmtId="171" fontId="0" fillId="0" borderId="27" xfId="0" applyNumberFormat="1" applyFill="1" applyBorder="1"/>
    <xf numFmtId="1" fontId="0" fillId="0" borderId="25" xfId="0" applyNumberFormat="1" applyFill="1" applyBorder="1"/>
    <xf numFmtId="0" fontId="0" fillId="0" borderId="26" xfId="0" applyFill="1" applyBorder="1"/>
    <xf numFmtId="168" fontId="0" fillId="0" borderId="27" xfId="0" applyNumberFormat="1" applyFill="1" applyBorder="1" applyAlignment="1">
      <alignment vertical="top"/>
    </xf>
    <xf numFmtId="0" fontId="0" fillId="0" borderId="0" xfId="0" applyAlignment="1"/>
    <xf numFmtId="0" fontId="0" fillId="0" borderId="5" xfId="0" applyBorder="1" applyAlignment="1"/>
    <xf numFmtId="0" fontId="0" fillId="5" borderId="0" xfId="0" applyFill="1" applyBorder="1" applyAlignment="1">
      <alignment vertical="top"/>
    </xf>
    <xf numFmtId="0" fontId="0" fillId="5" borderId="2" xfId="0" applyFill="1" applyBorder="1" applyAlignment="1">
      <alignment vertical="top"/>
    </xf>
    <xf numFmtId="0" fontId="0" fillId="5" borderId="4" xfId="0" applyFill="1" applyBorder="1" applyAlignment="1">
      <alignment vertical="top"/>
    </xf>
    <xf numFmtId="180" fontId="0" fillId="0" borderId="0" xfId="0" applyNumberFormat="1" applyFill="1"/>
    <xf numFmtId="186" fontId="0" fillId="0" borderId="0" xfId="0" applyNumberFormat="1" applyFill="1"/>
    <xf numFmtId="168" fontId="0" fillId="5" borderId="0" xfId="0" applyNumberFormat="1" applyFill="1"/>
    <xf numFmtId="173" fontId="0" fillId="0" borderId="0" xfId="0" applyNumberFormat="1" applyFill="1"/>
    <xf numFmtId="0" fontId="7" fillId="0" borderId="0" xfId="0" applyFont="1" applyFill="1" applyAlignment="1">
      <alignment horizontal="left" vertical="top" wrapText="1"/>
    </xf>
    <xf numFmtId="0" fontId="22" fillId="0" borderId="0" xfId="0" applyFont="1"/>
    <xf numFmtId="0" fontId="22" fillId="0" borderId="40" xfId="0" applyFont="1" applyBorder="1" applyAlignment="1">
      <alignment horizontal="center"/>
    </xf>
    <xf numFmtId="0" fontId="22" fillId="0" borderId="41" xfId="0" applyFont="1" applyBorder="1" applyAlignment="1">
      <alignment horizontal="center"/>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30480</xdr:colOff>
          <xdr:row>6</xdr:row>
          <xdr:rowOff>171450</xdr:rowOff>
        </xdr:from>
        <xdr:to>
          <xdr:col>7</xdr:col>
          <xdr:colOff>11430</xdr:colOff>
          <xdr:row>8</xdr:row>
          <xdr:rowOff>11430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0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11</xdr:row>
          <xdr:rowOff>171450</xdr:rowOff>
        </xdr:from>
        <xdr:to>
          <xdr:col>7</xdr:col>
          <xdr:colOff>11430</xdr:colOff>
          <xdr:row>13</xdr:row>
          <xdr:rowOff>11430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0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8</xdr:col>
      <xdr:colOff>0</xdr:colOff>
      <xdr:row>79</xdr:row>
      <xdr:rowOff>123209</xdr:rowOff>
    </xdr:from>
    <xdr:ext cx="29845" cy="6985"/>
    <xdr:sp macro="" textlink="">
      <xdr:nvSpPr>
        <xdr:cNvPr id="2" name="Shape 607">
          <a:extLst>
            <a:ext uri="{FF2B5EF4-FFF2-40B4-BE49-F238E27FC236}">
              <a16:creationId xmlns:a16="http://schemas.microsoft.com/office/drawing/2014/main" id="{00000000-0008-0000-0100-000002000000}"/>
            </a:ext>
          </a:extLst>
        </xdr:cNvPr>
        <xdr:cNvSpPr/>
      </xdr:nvSpPr>
      <xdr:spPr>
        <a:xfrm>
          <a:off x="19402476" y="663998564"/>
          <a:ext cx="29845" cy="6985"/>
        </a:xfrm>
        <a:custGeom>
          <a:avLst/>
          <a:gdLst/>
          <a:ahLst/>
          <a:cxnLst/>
          <a:rect l="0" t="0" r="0" b="0"/>
          <a:pathLst>
            <a:path w="24130" h="8890">
              <a:moveTo>
                <a:pt x="24078" y="4787"/>
              </a:moveTo>
              <a:lnTo>
                <a:pt x="24078" y="4013"/>
              </a:lnTo>
              <a:lnTo>
                <a:pt x="19207" y="0"/>
              </a:lnTo>
              <a:lnTo>
                <a:pt x="8662" y="0"/>
              </a:lnTo>
              <a:lnTo>
                <a:pt x="5358" y="1727"/>
              </a:lnTo>
              <a:lnTo>
                <a:pt x="3195" y="4147"/>
              </a:lnTo>
              <a:lnTo>
                <a:pt x="0" y="8521"/>
              </a:lnTo>
              <a:lnTo>
                <a:pt x="3237" y="8458"/>
              </a:lnTo>
              <a:lnTo>
                <a:pt x="6158" y="4787"/>
              </a:lnTo>
              <a:lnTo>
                <a:pt x="24078" y="4787"/>
              </a:lnTo>
              <a:close/>
            </a:path>
            <a:path w="24130" h="8890">
              <a:moveTo>
                <a:pt x="24078" y="8521"/>
              </a:moveTo>
              <a:lnTo>
                <a:pt x="24078" y="4787"/>
              </a:lnTo>
              <a:lnTo>
                <a:pt x="15467" y="4787"/>
              </a:lnTo>
              <a:lnTo>
                <a:pt x="18249" y="8204"/>
              </a:lnTo>
              <a:lnTo>
                <a:pt x="18249" y="8521"/>
              </a:lnTo>
              <a:lnTo>
                <a:pt x="24078" y="8521"/>
              </a:lnTo>
              <a:close/>
            </a:path>
          </a:pathLst>
        </a:custGeom>
        <a:solidFill>
          <a:srgbClr val="131413"/>
        </a:solidFill>
      </xdr:spPr>
    </xdr:sp>
    <xdr:clientData/>
  </xdr:oneCellAnchor>
  <xdr:oneCellAnchor>
    <xdr:from>
      <xdr:col>8</xdr:col>
      <xdr:colOff>0</xdr:colOff>
      <xdr:row>80</xdr:row>
      <xdr:rowOff>134473</xdr:rowOff>
    </xdr:from>
    <xdr:ext cx="27940" cy="0"/>
    <xdr:sp macro="" textlink="">
      <xdr:nvSpPr>
        <xdr:cNvPr id="3" name="Shape 608">
          <a:extLst>
            <a:ext uri="{FF2B5EF4-FFF2-40B4-BE49-F238E27FC236}">
              <a16:creationId xmlns:a16="http://schemas.microsoft.com/office/drawing/2014/main" id="{00000000-0008-0000-0100-000003000000}"/>
            </a:ext>
          </a:extLst>
        </xdr:cNvPr>
        <xdr:cNvSpPr/>
      </xdr:nvSpPr>
      <xdr:spPr>
        <a:xfrm>
          <a:off x="18936705" y="664188898"/>
          <a:ext cx="27940" cy="0"/>
        </a:xfrm>
        <a:custGeom>
          <a:avLst/>
          <a:gdLst/>
          <a:ahLst/>
          <a:cxnLst/>
          <a:rect l="0" t="0" r="0" b="0"/>
          <a:pathLst>
            <a:path w="20320" h="3810">
              <a:moveTo>
                <a:pt x="20101" y="3670"/>
              </a:moveTo>
              <a:lnTo>
                <a:pt x="20101" y="2402"/>
              </a:lnTo>
              <a:lnTo>
                <a:pt x="16824" y="0"/>
              </a:lnTo>
              <a:lnTo>
                <a:pt x="5623" y="0"/>
              </a:lnTo>
              <a:lnTo>
                <a:pt x="2029" y="1663"/>
              </a:lnTo>
              <a:lnTo>
                <a:pt x="0" y="3670"/>
              </a:lnTo>
              <a:lnTo>
                <a:pt x="20101" y="3670"/>
              </a:lnTo>
              <a:close/>
            </a:path>
          </a:pathLst>
        </a:custGeom>
        <a:solidFill>
          <a:srgbClr val="131413"/>
        </a:solidFill>
      </xdr:spPr>
    </xdr:sp>
    <xdr:clientData/>
  </xdr:oneCellAnchor>
  <xdr:oneCellAnchor>
    <xdr:from>
      <xdr:col>8</xdr:col>
      <xdr:colOff>0</xdr:colOff>
      <xdr:row>80</xdr:row>
      <xdr:rowOff>123386</xdr:rowOff>
    </xdr:from>
    <xdr:ext cx="30480" cy="7620"/>
    <xdr:sp macro="" textlink="">
      <xdr:nvSpPr>
        <xdr:cNvPr id="4" name="Shape 609">
          <a:extLst>
            <a:ext uri="{FF2B5EF4-FFF2-40B4-BE49-F238E27FC236}">
              <a16:creationId xmlns:a16="http://schemas.microsoft.com/office/drawing/2014/main" id="{00000000-0008-0000-0100-000004000000}"/>
            </a:ext>
          </a:extLst>
        </xdr:cNvPr>
        <xdr:cNvSpPr/>
      </xdr:nvSpPr>
      <xdr:spPr>
        <a:xfrm>
          <a:off x="19402105" y="664179716"/>
          <a:ext cx="30480" cy="7620"/>
        </a:xfrm>
        <a:custGeom>
          <a:avLst/>
          <a:gdLst/>
          <a:ahLst/>
          <a:cxnLst/>
          <a:rect l="0" t="0" r="0" b="0"/>
          <a:pathLst>
            <a:path w="24765" h="9525">
              <a:moveTo>
                <a:pt x="24449" y="4813"/>
              </a:moveTo>
              <a:lnTo>
                <a:pt x="24449" y="4026"/>
              </a:lnTo>
              <a:lnTo>
                <a:pt x="19547" y="0"/>
              </a:lnTo>
              <a:lnTo>
                <a:pt x="9082" y="0"/>
              </a:lnTo>
              <a:lnTo>
                <a:pt x="5729" y="1739"/>
              </a:lnTo>
              <a:lnTo>
                <a:pt x="3608" y="4102"/>
              </a:lnTo>
              <a:lnTo>
                <a:pt x="0" y="9042"/>
              </a:lnTo>
              <a:lnTo>
                <a:pt x="3229" y="9042"/>
              </a:lnTo>
              <a:lnTo>
                <a:pt x="3685" y="8356"/>
              </a:lnTo>
              <a:lnTo>
                <a:pt x="6529" y="4813"/>
              </a:lnTo>
              <a:lnTo>
                <a:pt x="24449" y="4813"/>
              </a:lnTo>
              <a:close/>
            </a:path>
            <a:path w="24765" h="9525">
              <a:moveTo>
                <a:pt x="24449" y="9042"/>
              </a:moveTo>
              <a:lnTo>
                <a:pt x="24449" y="4813"/>
              </a:lnTo>
              <a:lnTo>
                <a:pt x="15838" y="4813"/>
              </a:lnTo>
              <a:lnTo>
                <a:pt x="18620" y="8229"/>
              </a:lnTo>
              <a:lnTo>
                <a:pt x="18620" y="9042"/>
              </a:lnTo>
              <a:lnTo>
                <a:pt x="24449" y="9042"/>
              </a:lnTo>
              <a:close/>
            </a:path>
          </a:pathLst>
        </a:custGeom>
        <a:solidFill>
          <a:srgbClr val="131413"/>
        </a:solidFill>
      </xdr:spPr>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1543050</xdr:colOff>
      <xdr:row>203</xdr:row>
      <xdr:rowOff>347662</xdr:rowOff>
    </xdr:from>
    <xdr:ext cx="65" cy="172227"/>
    <xdr:sp macro="" textlink="">
      <xdr:nvSpPr>
        <xdr:cNvPr id="22" name="TextBox 21">
          <a:extLst>
            <a:ext uri="{FF2B5EF4-FFF2-40B4-BE49-F238E27FC236}">
              <a16:creationId xmlns:a16="http://schemas.microsoft.com/office/drawing/2014/main" id="{00000000-0008-0000-0500-000016000000}"/>
            </a:ext>
          </a:extLst>
        </xdr:cNvPr>
        <xdr:cNvSpPr txBox="1"/>
      </xdr:nvSpPr>
      <xdr:spPr>
        <a:xfrm>
          <a:off x="9372600" y="128963832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xdr:col>
      <xdr:colOff>1543050</xdr:colOff>
      <xdr:row>232</xdr:row>
      <xdr:rowOff>347662</xdr:rowOff>
    </xdr:from>
    <xdr:ext cx="65" cy="172227"/>
    <xdr:sp macro="" textlink="">
      <xdr:nvSpPr>
        <xdr:cNvPr id="23" name="TextBox 22">
          <a:extLst>
            <a:ext uri="{FF2B5EF4-FFF2-40B4-BE49-F238E27FC236}">
              <a16:creationId xmlns:a16="http://schemas.microsoft.com/office/drawing/2014/main" id="{00000000-0008-0000-0500-000017000000}"/>
            </a:ext>
          </a:extLst>
        </xdr:cNvPr>
        <xdr:cNvSpPr txBox="1"/>
      </xdr:nvSpPr>
      <xdr:spPr>
        <a:xfrm>
          <a:off x="9372600" y="12898193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3</xdr:col>
      <xdr:colOff>0</xdr:colOff>
      <xdr:row>51</xdr:row>
      <xdr:rowOff>347662</xdr:rowOff>
    </xdr:from>
    <xdr:ext cx="65" cy="172227"/>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6867525" y="11360562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xdr:col>
      <xdr:colOff>1543050</xdr:colOff>
      <xdr:row>57</xdr:row>
      <xdr:rowOff>347662</xdr:rowOff>
    </xdr:from>
    <xdr:ext cx="65" cy="172227"/>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8410575" y="11432952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xdr:col>
      <xdr:colOff>1543050</xdr:colOff>
      <xdr:row>54</xdr:row>
      <xdr:rowOff>347662</xdr:rowOff>
    </xdr:from>
    <xdr:ext cx="65" cy="172227"/>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8410575" y="11414855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xdr:col>
      <xdr:colOff>1543050</xdr:colOff>
      <xdr:row>57</xdr:row>
      <xdr:rowOff>347662</xdr:rowOff>
    </xdr:from>
    <xdr:ext cx="65" cy="172227"/>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8410575" y="11432952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xdr:col>
      <xdr:colOff>1543050</xdr:colOff>
      <xdr:row>61</xdr:row>
      <xdr:rowOff>347662</xdr:rowOff>
    </xdr:from>
    <xdr:ext cx="65" cy="172227"/>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8410575" y="1145105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xdr:col>
      <xdr:colOff>1543050</xdr:colOff>
      <xdr:row>64</xdr:row>
      <xdr:rowOff>347662</xdr:rowOff>
    </xdr:from>
    <xdr:ext cx="65" cy="172227"/>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8410575" y="11469147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xdr:col>
      <xdr:colOff>0</xdr:colOff>
      <xdr:row>88</xdr:row>
      <xdr:rowOff>0</xdr:rowOff>
    </xdr:from>
    <xdr:ext cx="65" cy="172227"/>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6867525" y="18761487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xdr:col>
      <xdr:colOff>0</xdr:colOff>
      <xdr:row>94</xdr:row>
      <xdr:rowOff>347662</xdr:rowOff>
    </xdr:from>
    <xdr:ext cx="65" cy="172227"/>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6867525" y="18590037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8</xdr:col>
      <xdr:colOff>0</xdr:colOff>
      <xdr:row>132</xdr:row>
      <xdr:rowOff>342576</xdr:rowOff>
    </xdr:from>
    <xdr:ext cx="57785" cy="8890"/>
    <xdr:sp macro="" textlink="">
      <xdr:nvSpPr>
        <xdr:cNvPr id="10" name="Shape 235">
          <a:extLst>
            <a:ext uri="{FF2B5EF4-FFF2-40B4-BE49-F238E27FC236}">
              <a16:creationId xmlns:a16="http://schemas.microsoft.com/office/drawing/2014/main" id="{00000000-0008-0000-0600-00000A000000}"/>
            </a:ext>
          </a:extLst>
        </xdr:cNvPr>
        <xdr:cNvSpPr/>
      </xdr:nvSpPr>
      <xdr:spPr>
        <a:xfrm>
          <a:off x="20201217" y="126253551"/>
          <a:ext cx="57785" cy="8890"/>
        </a:xfrm>
        <a:custGeom>
          <a:avLst/>
          <a:gdLst/>
          <a:ahLst/>
          <a:cxnLst/>
          <a:rect l="0" t="0" r="0" b="0"/>
          <a:pathLst>
            <a:path w="55880" h="5080">
              <a:moveTo>
                <a:pt x="6362" y="139"/>
              </a:moveTo>
              <a:lnTo>
                <a:pt x="6184" y="0"/>
              </a:lnTo>
              <a:lnTo>
                <a:pt x="5054" y="0"/>
              </a:lnTo>
              <a:lnTo>
                <a:pt x="0" y="3759"/>
              </a:lnTo>
              <a:lnTo>
                <a:pt x="0" y="4749"/>
              </a:lnTo>
              <a:lnTo>
                <a:pt x="3352" y="4749"/>
              </a:lnTo>
              <a:lnTo>
                <a:pt x="5562" y="1879"/>
              </a:lnTo>
              <a:lnTo>
                <a:pt x="6362" y="1168"/>
              </a:lnTo>
              <a:lnTo>
                <a:pt x="6362" y="139"/>
              </a:lnTo>
            </a:path>
            <a:path w="55880" h="5080">
              <a:moveTo>
                <a:pt x="55270" y="3911"/>
              </a:moveTo>
              <a:lnTo>
                <a:pt x="49987" y="0"/>
              </a:lnTo>
              <a:lnTo>
                <a:pt x="48856" y="0"/>
              </a:lnTo>
              <a:lnTo>
                <a:pt x="48577" y="279"/>
              </a:lnTo>
              <a:lnTo>
                <a:pt x="48577" y="1054"/>
              </a:lnTo>
              <a:lnTo>
                <a:pt x="49923" y="2311"/>
              </a:lnTo>
              <a:lnTo>
                <a:pt x="51828" y="4749"/>
              </a:lnTo>
              <a:lnTo>
                <a:pt x="55270" y="4749"/>
              </a:lnTo>
              <a:lnTo>
                <a:pt x="55270" y="3911"/>
              </a:lnTo>
            </a:path>
          </a:pathLst>
        </a:custGeom>
        <a:solidFill>
          <a:srgbClr val="131413"/>
        </a:solidFill>
      </xdr:spPr>
    </xdr:sp>
    <xdr:clientData/>
  </xdr:oneCellAnchor>
  <xdr:oneCellAnchor>
    <xdr:from>
      <xdr:col>3</xdr:col>
      <xdr:colOff>1543050</xdr:colOff>
      <xdr:row>131</xdr:row>
      <xdr:rowOff>347662</xdr:rowOff>
    </xdr:from>
    <xdr:ext cx="65" cy="172227"/>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8410575" y="12607385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xdr:col>
      <xdr:colOff>1543050</xdr:colOff>
      <xdr:row>132</xdr:row>
      <xdr:rowOff>347662</xdr:rowOff>
    </xdr:from>
    <xdr:ext cx="65" cy="172227"/>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8410575" y="12625482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4</xdr:col>
      <xdr:colOff>704850</xdr:colOff>
      <xdr:row>2895</xdr:row>
      <xdr:rowOff>0</xdr:rowOff>
    </xdr:from>
    <xdr:to>
      <xdr:col>4</xdr:col>
      <xdr:colOff>1487719</xdr:colOff>
      <xdr:row>2895</xdr:row>
      <xdr:rowOff>0</xdr:rowOff>
    </xdr:to>
    <mc:AlternateContent xmlns:mc="http://schemas.openxmlformats.org/markup-compatibility/2006" xmlns:a14="http://schemas.microsoft.com/office/drawing/2010/main">
      <mc:Choice Requires="a14">
        <xdr:sp macro="" textlink="">
          <xdr:nvSpPr>
            <xdr:cNvPr id="119" name="TextBox 118">
              <a:extLst>
                <a:ext uri="{FF2B5EF4-FFF2-40B4-BE49-F238E27FC236}">
                  <a16:creationId xmlns:a16="http://schemas.microsoft.com/office/drawing/2014/main" id="{00000000-0008-0000-0700-000077000000}"/>
                </a:ext>
              </a:extLst>
            </xdr:cNvPr>
            <xdr:cNvSpPr txBox="1"/>
          </xdr:nvSpPr>
          <xdr:spPr>
            <a:xfrm>
              <a:off x="8286750" y="327050400"/>
              <a:ext cx="782869" cy="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n-US" sz="1100" b="0"/>
                <a:t>- </a:t>
              </a:r>
              <a14:m>
                <m:oMath xmlns:m="http://schemas.openxmlformats.org/officeDocument/2006/math">
                  <m:r>
                    <a:rPr lang="en-US" sz="1100" b="0" i="1">
                      <a:latin typeface="Cambria Math" panose="02040503050406030204" pitchFamily="18" charset="0"/>
                    </a:rPr>
                    <m:t>144/</m:t>
                  </m:r>
                  <m:sSubSup>
                    <m:sSubSupPr>
                      <m:ctrlPr>
                        <a:rPr lang="en-US" sz="1100" b="0" i="1">
                          <a:latin typeface="Cambria Math" panose="02040503050406030204" pitchFamily="18" charset="0"/>
                        </a:rPr>
                      </m:ctrlPr>
                    </m:sSubSupPr>
                    <m:e>
                      <m:r>
                        <a:rPr lang="en-US" sz="1100" b="0" i="1">
                          <a:latin typeface="Cambria Math" panose="02040503050406030204" pitchFamily="18" charset="0"/>
                        </a:rPr>
                        <m:t>𝑑</m:t>
                      </m:r>
                    </m:e>
                    <m:sub>
                      <m:sSup>
                        <m:sSupPr>
                          <m:ctrlPr>
                            <a:rPr lang="en-US" sz="1100" b="0" i="1">
                              <a:latin typeface="Cambria Math" panose="02040503050406030204" pitchFamily="18" charset="0"/>
                            </a:rPr>
                          </m:ctrlPr>
                        </m:sSupPr>
                        <m:e>
                          <m:r>
                            <a:rPr lang="en-US" sz="1100" b="0" i="1">
                              <a:latin typeface="Cambria Math" panose="02040503050406030204" pitchFamily="18" charset="0"/>
                            </a:rPr>
                            <m:t>60</m:t>
                          </m:r>
                        </m:e>
                        <m:sup>
                          <m:r>
                            <a:rPr lang="en-US" sz="1100" b="0" i="1">
                              <a:latin typeface="Cambria Math" panose="02040503050406030204" pitchFamily="18" charset="0"/>
                            </a:rPr>
                            <m:t>0</m:t>
                          </m:r>
                        </m:sup>
                      </m:sSup>
                      <m:r>
                        <a:rPr lang="en-US" sz="1100" b="0" i="1">
                          <a:latin typeface="Cambria Math" panose="02040503050406030204" pitchFamily="18" charset="0"/>
                        </a:rPr>
                        <m:t>𝐹</m:t>
                      </m:r>
                    </m:sub>
                    <m:sup>
                      <m:sSup>
                        <m:sSupPr>
                          <m:ctrlPr>
                            <a:rPr lang="en-US" sz="1100" b="0" i="1">
                              <a:latin typeface="Cambria Math" panose="02040503050406030204" pitchFamily="18" charset="0"/>
                            </a:rPr>
                          </m:ctrlPr>
                        </m:sSupPr>
                        <m:e>
                          <m:r>
                            <a:rPr lang="en-US" sz="1100" b="0" i="1">
                              <a:latin typeface="Cambria Math" panose="02040503050406030204" pitchFamily="18" charset="0"/>
                            </a:rPr>
                            <m:t>60</m:t>
                          </m:r>
                        </m:e>
                        <m:sup>
                          <m:r>
                            <a:rPr lang="en-US" sz="1100" b="0" i="1">
                              <a:latin typeface="Cambria Math" panose="02040503050406030204" pitchFamily="18" charset="0"/>
                            </a:rPr>
                            <m:t>𝑜</m:t>
                          </m:r>
                        </m:sup>
                      </m:sSup>
                      <m:r>
                        <a:rPr lang="en-US" sz="1100" b="0" i="1">
                          <a:latin typeface="Cambria Math" panose="02040503050406030204" pitchFamily="18" charset="0"/>
                        </a:rPr>
                        <m:t>𝐹</m:t>
                      </m:r>
                    </m:sup>
                  </m:sSubSup>
                </m:oMath>
              </a14:m>
              <a:endParaRPr lang="en-US" sz="1100"/>
            </a:p>
          </xdr:txBody>
        </xdr:sp>
      </mc:Choice>
      <mc:Fallback xmlns="">
        <xdr:sp macro="" textlink="">
          <xdr:nvSpPr>
            <xdr:cNvPr id="119" name="TextBox 118">
              <a:extLst>
                <a:ext uri="{FF2B5EF4-FFF2-40B4-BE49-F238E27FC236}">
                  <a16:creationId xmlns:a16="http://schemas.microsoft.com/office/drawing/2014/main" id="{38B177FB-0633-4299-A4CE-226DA343E7D6}"/>
                </a:ext>
              </a:extLst>
            </xdr:cNvPr>
            <xdr:cNvSpPr txBox="1"/>
          </xdr:nvSpPr>
          <xdr:spPr>
            <a:xfrm>
              <a:off x="7496175" y="97088325"/>
              <a:ext cx="779059" cy="35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n-US" sz="1100" b="0"/>
                <a:t>- </a:t>
              </a:r>
              <a:r>
                <a:rPr lang="en-US" sz="1100" b="0" i="0">
                  <a:latin typeface="Cambria Math" panose="02040503050406030204" pitchFamily="18" charset="0"/>
                </a:rPr>
                <a:t>144/𝑑_(60^0 𝐹)^(60^𝑜 𝐹)</a:t>
              </a:r>
              <a:endParaRPr lang="en-US" sz="1100"/>
            </a:p>
          </xdr:txBody>
        </xdr:sp>
      </mc:Fallback>
    </mc:AlternateContent>
    <xdr:clientData/>
  </xdr:twoCellAnchor>
  <xdr:twoCellAnchor>
    <xdr:from>
      <xdr:col>4</xdr:col>
      <xdr:colOff>704850</xdr:colOff>
      <xdr:row>2895</xdr:row>
      <xdr:rowOff>0</xdr:rowOff>
    </xdr:from>
    <xdr:to>
      <xdr:col>4</xdr:col>
      <xdr:colOff>1487719</xdr:colOff>
      <xdr:row>2895</xdr:row>
      <xdr:rowOff>0</xdr:rowOff>
    </xdr:to>
    <mc:AlternateContent xmlns:mc="http://schemas.openxmlformats.org/markup-compatibility/2006" xmlns:a14="http://schemas.microsoft.com/office/drawing/2010/main">
      <mc:Choice Requires="a14">
        <xdr:sp macro="" textlink="">
          <xdr:nvSpPr>
            <xdr:cNvPr id="120" name="TextBox 119">
              <a:extLst>
                <a:ext uri="{FF2B5EF4-FFF2-40B4-BE49-F238E27FC236}">
                  <a16:creationId xmlns:a16="http://schemas.microsoft.com/office/drawing/2014/main" id="{00000000-0008-0000-0700-000078000000}"/>
                </a:ext>
              </a:extLst>
            </xdr:cNvPr>
            <xdr:cNvSpPr txBox="1"/>
          </xdr:nvSpPr>
          <xdr:spPr>
            <a:xfrm>
              <a:off x="8286750" y="327050400"/>
              <a:ext cx="782869" cy="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n-US" sz="1100" b="0"/>
                <a:t>- </a:t>
              </a:r>
              <a14:m>
                <m:oMath xmlns:m="http://schemas.openxmlformats.org/officeDocument/2006/math">
                  <m:r>
                    <a:rPr lang="en-US" sz="1100" b="0" i="1">
                      <a:latin typeface="Cambria Math" panose="02040503050406030204" pitchFamily="18" charset="0"/>
                    </a:rPr>
                    <m:t>144/</m:t>
                  </m:r>
                  <m:sSubSup>
                    <m:sSubSupPr>
                      <m:ctrlPr>
                        <a:rPr lang="en-US" sz="1100" b="0" i="1">
                          <a:latin typeface="Cambria Math" panose="02040503050406030204" pitchFamily="18" charset="0"/>
                        </a:rPr>
                      </m:ctrlPr>
                    </m:sSubSupPr>
                    <m:e>
                      <m:r>
                        <a:rPr lang="en-US" sz="1100" b="0" i="1">
                          <a:latin typeface="Cambria Math" panose="02040503050406030204" pitchFamily="18" charset="0"/>
                        </a:rPr>
                        <m:t>𝑑</m:t>
                      </m:r>
                    </m:e>
                    <m:sub>
                      <m:sSup>
                        <m:sSupPr>
                          <m:ctrlPr>
                            <a:rPr lang="en-US" sz="1100" b="0" i="1">
                              <a:latin typeface="Cambria Math" panose="02040503050406030204" pitchFamily="18" charset="0"/>
                            </a:rPr>
                          </m:ctrlPr>
                        </m:sSupPr>
                        <m:e>
                          <m:r>
                            <a:rPr lang="en-US" sz="1100" b="0" i="1">
                              <a:latin typeface="Cambria Math" panose="02040503050406030204" pitchFamily="18" charset="0"/>
                            </a:rPr>
                            <m:t>60</m:t>
                          </m:r>
                        </m:e>
                        <m:sup>
                          <m:r>
                            <a:rPr lang="en-US" sz="1100" b="0" i="1">
                              <a:latin typeface="Cambria Math" panose="02040503050406030204" pitchFamily="18" charset="0"/>
                            </a:rPr>
                            <m:t>0</m:t>
                          </m:r>
                        </m:sup>
                      </m:sSup>
                      <m:r>
                        <a:rPr lang="en-US" sz="1100" b="0" i="1">
                          <a:latin typeface="Cambria Math" panose="02040503050406030204" pitchFamily="18" charset="0"/>
                        </a:rPr>
                        <m:t>𝐹</m:t>
                      </m:r>
                    </m:sub>
                    <m:sup>
                      <m:sSup>
                        <m:sSupPr>
                          <m:ctrlPr>
                            <a:rPr lang="en-US" sz="1100" b="0" i="1">
                              <a:latin typeface="Cambria Math" panose="02040503050406030204" pitchFamily="18" charset="0"/>
                            </a:rPr>
                          </m:ctrlPr>
                        </m:sSupPr>
                        <m:e>
                          <m:r>
                            <a:rPr lang="en-US" sz="1100" b="0" i="1">
                              <a:latin typeface="Cambria Math" panose="02040503050406030204" pitchFamily="18" charset="0"/>
                            </a:rPr>
                            <m:t>60</m:t>
                          </m:r>
                        </m:e>
                        <m:sup>
                          <m:r>
                            <a:rPr lang="en-US" sz="1100" b="0" i="1">
                              <a:latin typeface="Cambria Math" panose="02040503050406030204" pitchFamily="18" charset="0"/>
                            </a:rPr>
                            <m:t>𝑜</m:t>
                          </m:r>
                        </m:sup>
                      </m:sSup>
                      <m:r>
                        <a:rPr lang="en-US" sz="1100" b="0" i="1">
                          <a:latin typeface="Cambria Math" panose="02040503050406030204" pitchFamily="18" charset="0"/>
                        </a:rPr>
                        <m:t>𝐹</m:t>
                      </m:r>
                    </m:sup>
                  </m:sSubSup>
                </m:oMath>
              </a14:m>
              <a:endParaRPr lang="en-US" sz="1100"/>
            </a:p>
          </xdr:txBody>
        </xdr:sp>
      </mc:Choice>
      <mc:Fallback xmlns="">
        <xdr:sp macro="" textlink="">
          <xdr:nvSpPr>
            <xdr:cNvPr id="120" name="TextBox 119">
              <a:extLst>
                <a:ext uri="{FF2B5EF4-FFF2-40B4-BE49-F238E27FC236}">
                  <a16:creationId xmlns:a16="http://schemas.microsoft.com/office/drawing/2014/main" id="{A9F2B56B-7949-4584-B490-B3FEEDA66DF7}"/>
                </a:ext>
              </a:extLst>
            </xdr:cNvPr>
            <xdr:cNvSpPr txBox="1"/>
          </xdr:nvSpPr>
          <xdr:spPr>
            <a:xfrm>
              <a:off x="7496175" y="97088325"/>
              <a:ext cx="779059" cy="35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n-US" sz="1100" b="0"/>
                <a:t>- </a:t>
              </a:r>
              <a:r>
                <a:rPr lang="en-US" sz="1100" b="0" i="0">
                  <a:latin typeface="Cambria Math" panose="02040503050406030204" pitchFamily="18" charset="0"/>
                </a:rPr>
                <a:t>144/𝑑_(60^0 𝐹)^(60^𝑜 𝐹)</a:t>
              </a:r>
              <a:endParaRPr lang="en-US" sz="1100"/>
            </a:p>
          </xdr:txBody>
        </xdr:sp>
      </mc:Fallback>
    </mc:AlternateContent>
    <xdr:clientData/>
  </xdr:twoCellAnchor>
  <xdr:twoCellAnchor editAs="oneCell">
    <xdr:from>
      <xdr:col>8</xdr:col>
      <xdr:colOff>0</xdr:colOff>
      <xdr:row>571</xdr:row>
      <xdr:rowOff>146068</xdr:rowOff>
    </xdr:from>
    <xdr:to>
      <xdr:col>8</xdr:col>
      <xdr:colOff>19050</xdr:colOff>
      <xdr:row>571</xdr:row>
      <xdr:rowOff>163213</xdr:rowOff>
    </xdr:to>
    <xdr:sp macro="" textlink="">
      <xdr:nvSpPr>
        <xdr:cNvPr id="128" name="Shape 55">
          <a:extLst>
            <a:ext uri="{FF2B5EF4-FFF2-40B4-BE49-F238E27FC236}">
              <a16:creationId xmlns:a16="http://schemas.microsoft.com/office/drawing/2014/main" id="{00000000-0008-0000-0700-000080000000}"/>
            </a:ext>
          </a:extLst>
        </xdr:cNvPr>
        <xdr:cNvSpPr/>
      </xdr:nvSpPr>
      <xdr:spPr>
        <a:xfrm>
          <a:off x="5869381" y="2479693"/>
          <a:ext cx="19050" cy="17145"/>
        </a:xfrm>
        <a:custGeom>
          <a:avLst/>
          <a:gdLst/>
          <a:ahLst/>
          <a:cxnLst/>
          <a:rect l="0" t="0" r="0" b="0"/>
          <a:pathLst>
            <a:path w="19050" h="17145">
              <a:moveTo>
                <a:pt x="18541" y="3267"/>
              </a:moveTo>
              <a:lnTo>
                <a:pt x="18541" y="903"/>
              </a:lnTo>
              <a:lnTo>
                <a:pt x="17170" y="84"/>
              </a:lnTo>
              <a:lnTo>
                <a:pt x="10447" y="0"/>
              </a:lnTo>
              <a:lnTo>
                <a:pt x="0" y="14439"/>
              </a:lnTo>
              <a:lnTo>
                <a:pt x="2504" y="16522"/>
              </a:lnTo>
              <a:lnTo>
                <a:pt x="2777" y="16522"/>
              </a:lnTo>
              <a:lnTo>
                <a:pt x="17170" y="4381"/>
              </a:lnTo>
              <a:lnTo>
                <a:pt x="18541" y="3267"/>
              </a:lnTo>
              <a:close/>
            </a:path>
          </a:pathLst>
        </a:custGeom>
        <a:solidFill>
          <a:srgbClr val="131413">
            <a:alpha val="50000"/>
          </a:srgbClr>
        </a:solidFill>
      </xdr:spPr>
    </xdr:sp>
    <xdr:clientData/>
  </xdr:twoCellAnchor>
  <xdr:twoCellAnchor editAs="oneCell">
    <xdr:from>
      <xdr:col>8</xdr:col>
      <xdr:colOff>0</xdr:colOff>
      <xdr:row>3560</xdr:row>
      <xdr:rowOff>151150</xdr:rowOff>
    </xdr:from>
    <xdr:to>
      <xdr:col>8</xdr:col>
      <xdr:colOff>19685</xdr:colOff>
      <xdr:row>3561</xdr:row>
      <xdr:rowOff>105430</xdr:rowOff>
    </xdr:to>
    <xdr:sp macro="" textlink="">
      <xdr:nvSpPr>
        <xdr:cNvPr id="144" name="Shape 72">
          <a:extLst>
            <a:ext uri="{FF2B5EF4-FFF2-40B4-BE49-F238E27FC236}">
              <a16:creationId xmlns:a16="http://schemas.microsoft.com/office/drawing/2014/main" id="{00000000-0008-0000-0700-000090000000}"/>
            </a:ext>
          </a:extLst>
        </xdr:cNvPr>
        <xdr:cNvSpPr/>
      </xdr:nvSpPr>
      <xdr:spPr>
        <a:xfrm>
          <a:off x="6120491" y="3538835"/>
          <a:ext cx="19685" cy="3810"/>
        </a:xfrm>
        <a:custGeom>
          <a:avLst/>
          <a:gdLst/>
          <a:ahLst/>
          <a:cxnLst/>
          <a:rect l="0" t="0" r="0" b="0"/>
          <a:pathLst>
            <a:path w="19685" h="3810">
              <a:moveTo>
                <a:pt x="19310" y="3530"/>
              </a:moveTo>
              <a:lnTo>
                <a:pt x="19310" y="1912"/>
              </a:lnTo>
              <a:lnTo>
                <a:pt x="16694" y="0"/>
              </a:lnTo>
              <a:lnTo>
                <a:pt x="5492" y="0"/>
              </a:lnTo>
              <a:lnTo>
                <a:pt x="1898" y="1663"/>
              </a:lnTo>
              <a:lnTo>
                <a:pt x="0" y="3530"/>
              </a:lnTo>
              <a:lnTo>
                <a:pt x="19310" y="3530"/>
              </a:lnTo>
              <a:close/>
            </a:path>
          </a:pathLst>
        </a:custGeom>
        <a:solidFill>
          <a:srgbClr val="131413"/>
        </a:solidFill>
      </xdr:spPr>
    </xdr:sp>
    <xdr:clientData/>
  </xdr:twoCellAnchor>
  <xdr:twoCellAnchor editAs="oneCell">
    <xdr:from>
      <xdr:col>8</xdr:col>
      <xdr:colOff>0</xdr:colOff>
      <xdr:row>4459</xdr:row>
      <xdr:rowOff>458969</xdr:rowOff>
    </xdr:from>
    <xdr:to>
      <xdr:col>8</xdr:col>
      <xdr:colOff>1270</xdr:colOff>
      <xdr:row>4462</xdr:row>
      <xdr:rowOff>77334</xdr:rowOff>
    </xdr:to>
    <xdr:sp macro="" textlink="">
      <xdr:nvSpPr>
        <xdr:cNvPr id="146" name="Shape 74">
          <a:extLst>
            <a:ext uri="{FF2B5EF4-FFF2-40B4-BE49-F238E27FC236}">
              <a16:creationId xmlns:a16="http://schemas.microsoft.com/office/drawing/2014/main" id="{00000000-0008-0000-0700-000092000000}"/>
            </a:ext>
          </a:extLst>
        </xdr:cNvPr>
        <xdr:cNvSpPr/>
      </xdr:nvSpPr>
      <xdr:spPr>
        <a:xfrm>
          <a:off x="6102387" y="1992494"/>
          <a:ext cx="5080" cy="1270"/>
        </a:xfrm>
        <a:custGeom>
          <a:avLst/>
          <a:gdLst/>
          <a:ahLst/>
          <a:cxnLst/>
          <a:rect l="0" t="0" r="0" b="0"/>
          <a:pathLst>
            <a:path w="5080" h="1270">
              <a:moveTo>
                <a:pt x="5079" y="1107"/>
              </a:moveTo>
              <a:lnTo>
                <a:pt x="5079" y="0"/>
              </a:lnTo>
              <a:lnTo>
                <a:pt x="2362" y="739"/>
              </a:lnTo>
              <a:lnTo>
                <a:pt x="0" y="1107"/>
              </a:lnTo>
              <a:lnTo>
                <a:pt x="5079" y="1107"/>
              </a:lnTo>
              <a:close/>
            </a:path>
          </a:pathLst>
        </a:custGeom>
        <a:solidFill>
          <a:srgbClr val="131413"/>
        </a:solidFill>
      </xdr:spPr>
    </xdr:sp>
    <xdr:clientData/>
  </xdr:twoCellAnchor>
  <xdr:twoCellAnchor editAs="oneCell">
    <xdr:from>
      <xdr:col>8</xdr:col>
      <xdr:colOff>0</xdr:colOff>
      <xdr:row>4731</xdr:row>
      <xdr:rowOff>459556</xdr:rowOff>
    </xdr:from>
    <xdr:to>
      <xdr:col>8</xdr:col>
      <xdr:colOff>1270</xdr:colOff>
      <xdr:row>4734</xdr:row>
      <xdr:rowOff>96336</xdr:rowOff>
    </xdr:to>
    <xdr:sp macro="" textlink="">
      <xdr:nvSpPr>
        <xdr:cNvPr id="147" name="Shape 77">
          <a:extLst>
            <a:ext uri="{FF2B5EF4-FFF2-40B4-BE49-F238E27FC236}">
              <a16:creationId xmlns:a16="http://schemas.microsoft.com/office/drawing/2014/main" id="{00000000-0008-0000-0700-000093000000}"/>
            </a:ext>
          </a:extLst>
        </xdr:cNvPr>
        <xdr:cNvSpPr/>
      </xdr:nvSpPr>
      <xdr:spPr>
        <a:xfrm>
          <a:off x="6125453" y="2697931"/>
          <a:ext cx="2540" cy="635"/>
        </a:xfrm>
        <a:custGeom>
          <a:avLst/>
          <a:gdLst/>
          <a:ahLst/>
          <a:cxnLst/>
          <a:rect l="0" t="0" r="0" b="0"/>
          <a:pathLst>
            <a:path w="2540" h="635">
              <a:moveTo>
                <a:pt x="0" y="513"/>
              </a:moveTo>
              <a:lnTo>
                <a:pt x="2538" y="513"/>
              </a:lnTo>
              <a:lnTo>
                <a:pt x="2538" y="0"/>
              </a:lnTo>
              <a:lnTo>
                <a:pt x="1547" y="272"/>
              </a:lnTo>
              <a:lnTo>
                <a:pt x="0" y="513"/>
              </a:lnTo>
              <a:close/>
            </a:path>
          </a:pathLst>
        </a:custGeom>
        <a:solidFill>
          <a:srgbClr val="131413"/>
        </a:solidFill>
      </xdr:spPr>
    </xdr:sp>
    <xdr:clientData/>
  </xdr:twoCellAnchor>
  <xdr:twoCellAnchor editAs="oneCell">
    <xdr:from>
      <xdr:col>8</xdr:col>
      <xdr:colOff>0</xdr:colOff>
      <xdr:row>4903</xdr:row>
      <xdr:rowOff>130670</xdr:rowOff>
    </xdr:from>
    <xdr:to>
      <xdr:col>8</xdr:col>
      <xdr:colOff>8255</xdr:colOff>
      <xdr:row>4903</xdr:row>
      <xdr:rowOff>137020</xdr:rowOff>
    </xdr:to>
    <xdr:sp macro="" textlink="">
      <xdr:nvSpPr>
        <xdr:cNvPr id="148" name="Shape 79">
          <a:extLst>
            <a:ext uri="{FF2B5EF4-FFF2-40B4-BE49-F238E27FC236}">
              <a16:creationId xmlns:a16="http://schemas.microsoft.com/office/drawing/2014/main" id="{00000000-0008-0000-0700-000094000000}"/>
            </a:ext>
          </a:extLst>
        </xdr:cNvPr>
        <xdr:cNvSpPr/>
      </xdr:nvSpPr>
      <xdr:spPr>
        <a:xfrm>
          <a:off x="6302651" y="3073895"/>
          <a:ext cx="8255" cy="2540"/>
        </a:xfrm>
        <a:custGeom>
          <a:avLst/>
          <a:gdLst/>
          <a:ahLst/>
          <a:cxnLst/>
          <a:rect l="0" t="0" r="0" b="0"/>
          <a:pathLst>
            <a:path w="8255" h="2540">
              <a:moveTo>
                <a:pt x="7927" y="2476"/>
              </a:moveTo>
              <a:lnTo>
                <a:pt x="7927" y="0"/>
              </a:lnTo>
              <a:lnTo>
                <a:pt x="3418" y="1524"/>
              </a:lnTo>
              <a:lnTo>
                <a:pt x="0" y="2476"/>
              </a:lnTo>
              <a:lnTo>
                <a:pt x="7927" y="2476"/>
              </a:lnTo>
              <a:close/>
            </a:path>
          </a:pathLst>
        </a:custGeom>
        <a:solidFill>
          <a:srgbClr val="131413"/>
        </a:solidFill>
      </xdr:spPr>
    </xdr:sp>
    <xdr:clientData/>
  </xdr:twoCellAnchor>
  <xdr:twoCellAnchor editAs="oneCell">
    <xdr:from>
      <xdr:col>8</xdr:col>
      <xdr:colOff>0</xdr:colOff>
      <xdr:row>2243</xdr:row>
      <xdr:rowOff>133</xdr:rowOff>
    </xdr:from>
    <xdr:to>
      <xdr:col>8</xdr:col>
      <xdr:colOff>93345</xdr:colOff>
      <xdr:row>2243</xdr:row>
      <xdr:rowOff>66173</xdr:rowOff>
    </xdr:to>
    <xdr:grpSp>
      <xdr:nvGrpSpPr>
        <xdr:cNvPr id="153" name="Group 146">
          <a:extLst>
            <a:ext uri="{FF2B5EF4-FFF2-40B4-BE49-F238E27FC236}">
              <a16:creationId xmlns:a16="http://schemas.microsoft.com/office/drawing/2014/main" id="{00000000-0008-0000-0700-000099000000}"/>
            </a:ext>
          </a:extLst>
        </xdr:cNvPr>
        <xdr:cNvGrpSpPr/>
      </xdr:nvGrpSpPr>
      <xdr:grpSpPr>
        <a:xfrm>
          <a:off x="14982825" y="431958883"/>
          <a:ext cx="93345" cy="67945"/>
          <a:chOff x="0" y="0"/>
          <a:chExt cx="97155" cy="66040"/>
        </a:xfrm>
      </xdr:grpSpPr>
      <xdr:sp macro="" textlink="">
        <xdr:nvSpPr>
          <xdr:cNvPr id="154" name="Shape 147">
            <a:extLst>
              <a:ext uri="{FF2B5EF4-FFF2-40B4-BE49-F238E27FC236}">
                <a16:creationId xmlns:a16="http://schemas.microsoft.com/office/drawing/2014/main" id="{00000000-0008-0000-0700-00009A000000}"/>
              </a:ext>
            </a:extLst>
          </xdr:cNvPr>
          <xdr:cNvSpPr/>
        </xdr:nvSpPr>
        <xdr:spPr>
          <a:xfrm>
            <a:off x="0" y="0"/>
            <a:ext cx="97155" cy="66040"/>
          </a:xfrm>
          <a:custGeom>
            <a:avLst/>
            <a:gdLst/>
            <a:ahLst/>
            <a:cxnLst/>
            <a:rect l="0" t="0" r="0" b="0"/>
            <a:pathLst>
              <a:path w="97155" h="66040">
                <a:moveTo>
                  <a:pt x="97053" y="65455"/>
                </a:moveTo>
                <a:lnTo>
                  <a:pt x="97053" y="9448"/>
                </a:lnTo>
                <a:lnTo>
                  <a:pt x="71450" y="9448"/>
                </a:lnTo>
                <a:lnTo>
                  <a:pt x="71450" y="0"/>
                </a:lnTo>
                <a:lnTo>
                  <a:pt x="0" y="0"/>
                </a:lnTo>
                <a:lnTo>
                  <a:pt x="0" y="65455"/>
                </a:lnTo>
                <a:lnTo>
                  <a:pt x="97053" y="65455"/>
                </a:lnTo>
                <a:close/>
              </a:path>
              <a:path w="97155" h="66040">
                <a:moveTo>
                  <a:pt x="97053" y="9448"/>
                </a:moveTo>
                <a:lnTo>
                  <a:pt x="97053" y="0"/>
                </a:lnTo>
                <a:lnTo>
                  <a:pt x="90068" y="0"/>
                </a:lnTo>
                <a:lnTo>
                  <a:pt x="90068" y="9448"/>
                </a:lnTo>
                <a:lnTo>
                  <a:pt x="97053" y="9448"/>
                </a:lnTo>
                <a:close/>
              </a:path>
            </a:pathLst>
          </a:custGeom>
          <a:solidFill>
            <a:srgbClr val="D9D9D9">
              <a:alpha val="50000"/>
            </a:srgbClr>
          </a:solidFill>
        </xdr:spPr>
      </xdr:sp>
      <xdr:sp macro="" textlink="">
        <xdr:nvSpPr>
          <xdr:cNvPr id="155" name="Shape 148">
            <a:extLst>
              <a:ext uri="{FF2B5EF4-FFF2-40B4-BE49-F238E27FC236}">
                <a16:creationId xmlns:a16="http://schemas.microsoft.com/office/drawing/2014/main" id="{00000000-0008-0000-0700-00009B000000}"/>
              </a:ext>
            </a:extLst>
          </xdr:cNvPr>
          <xdr:cNvSpPr/>
        </xdr:nvSpPr>
        <xdr:spPr>
          <a:xfrm>
            <a:off x="71475" y="0"/>
            <a:ext cx="13970" cy="9525"/>
          </a:xfrm>
          <a:custGeom>
            <a:avLst/>
            <a:gdLst/>
            <a:ahLst/>
            <a:cxnLst/>
            <a:rect l="0" t="0" r="0" b="0"/>
            <a:pathLst>
              <a:path w="13970" h="9525">
                <a:moveTo>
                  <a:pt x="13737" y="0"/>
                </a:moveTo>
                <a:lnTo>
                  <a:pt x="5186" y="0"/>
                </a:lnTo>
                <a:lnTo>
                  <a:pt x="0" y="7162"/>
                </a:lnTo>
                <a:lnTo>
                  <a:pt x="2641" y="9359"/>
                </a:lnTo>
                <a:lnTo>
                  <a:pt x="13737" y="0"/>
                </a:lnTo>
                <a:close/>
              </a:path>
            </a:pathLst>
          </a:custGeom>
          <a:solidFill>
            <a:srgbClr val="131413">
              <a:alpha val="50000"/>
            </a:srgbClr>
          </a:solidFill>
        </xdr:spPr>
      </xdr:sp>
    </xdr:grpSp>
    <xdr:clientData/>
  </xdr:twoCellAnchor>
  <xdr:twoCellAnchor editAs="oneCell">
    <xdr:from>
      <xdr:col>8</xdr:col>
      <xdr:colOff>0</xdr:colOff>
      <xdr:row>3574</xdr:row>
      <xdr:rowOff>799503</xdr:rowOff>
    </xdr:from>
    <xdr:to>
      <xdr:col>8</xdr:col>
      <xdr:colOff>27305</xdr:colOff>
      <xdr:row>3575</xdr:row>
      <xdr:rowOff>45758</xdr:rowOff>
    </xdr:to>
    <xdr:grpSp>
      <xdr:nvGrpSpPr>
        <xdr:cNvPr id="80" name="Group 206">
          <a:extLst>
            <a:ext uri="{FF2B5EF4-FFF2-40B4-BE49-F238E27FC236}">
              <a16:creationId xmlns:a16="http://schemas.microsoft.com/office/drawing/2014/main" id="{00000000-0008-0000-0700-000050000000}"/>
            </a:ext>
          </a:extLst>
        </xdr:cNvPr>
        <xdr:cNvGrpSpPr/>
      </xdr:nvGrpSpPr>
      <xdr:grpSpPr>
        <a:xfrm>
          <a:off x="14982825" y="690933378"/>
          <a:ext cx="29210" cy="48260"/>
          <a:chOff x="0" y="0"/>
          <a:chExt cx="31115" cy="42545"/>
        </a:xfrm>
      </xdr:grpSpPr>
      <xdr:sp macro="" textlink="">
        <xdr:nvSpPr>
          <xdr:cNvPr id="83" name="Shape 207">
            <a:extLst>
              <a:ext uri="{FF2B5EF4-FFF2-40B4-BE49-F238E27FC236}">
                <a16:creationId xmlns:a16="http://schemas.microsoft.com/office/drawing/2014/main" id="{00000000-0008-0000-0700-000053000000}"/>
              </a:ext>
            </a:extLst>
          </xdr:cNvPr>
          <xdr:cNvSpPr/>
        </xdr:nvSpPr>
        <xdr:spPr>
          <a:xfrm>
            <a:off x="0" y="0"/>
            <a:ext cx="31115" cy="42545"/>
          </a:xfrm>
          <a:custGeom>
            <a:avLst/>
            <a:gdLst/>
            <a:ahLst/>
            <a:cxnLst/>
            <a:rect l="0" t="0" r="0" b="0"/>
            <a:pathLst>
              <a:path w="31115" h="42545">
                <a:moveTo>
                  <a:pt x="30721" y="42163"/>
                </a:moveTo>
                <a:lnTo>
                  <a:pt x="30721" y="0"/>
                </a:lnTo>
                <a:lnTo>
                  <a:pt x="6248" y="0"/>
                </a:lnTo>
                <a:lnTo>
                  <a:pt x="6248" y="26771"/>
                </a:lnTo>
                <a:lnTo>
                  <a:pt x="0" y="26771"/>
                </a:lnTo>
                <a:lnTo>
                  <a:pt x="0" y="42163"/>
                </a:lnTo>
                <a:lnTo>
                  <a:pt x="30721" y="42163"/>
                </a:lnTo>
                <a:close/>
              </a:path>
            </a:pathLst>
          </a:custGeom>
          <a:solidFill>
            <a:srgbClr val="D9D9D9">
              <a:alpha val="50000"/>
            </a:srgbClr>
          </a:solidFill>
        </xdr:spPr>
      </xdr:sp>
      <xdr:sp macro="" textlink="">
        <xdr:nvSpPr>
          <xdr:cNvPr id="92" name="Shape 208">
            <a:extLst>
              <a:ext uri="{FF2B5EF4-FFF2-40B4-BE49-F238E27FC236}">
                <a16:creationId xmlns:a16="http://schemas.microsoft.com/office/drawing/2014/main" id="{00000000-0008-0000-0700-00005C000000}"/>
              </a:ext>
            </a:extLst>
          </xdr:cNvPr>
          <xdr:cNvSpPr/>
        </xdr:nvSpPr>
        <xdr:spPr>
          <a:xfrm>
            <a:off x="889" y="2711"/>
            <a:ext cx="5715" cy="8255"/>
          </a:xfrm>
          <a:custGeom>
            <a:avLst/>
            <a:gdLst/>
            <a:ahLst/>
            <a:cxnLst/>
            <a:rect l="0" t="0" r="0" b="0"/>
            <a:pathLst>
              <a:path w="5715" h="8255">
                <a:moveTo>
                  <a:pt x="5359" y="3980"/>
                </a:moveTo>
                <a:lnTo>
                  <a:pt x="5359" y="0"/>
                </a:lnTo>
                <a:lnTo>
                  <a:pt x="4190" y="1148"/>
                </a:lnTo>
                <a:lnTo>
                  <a:pt x="0" y="6267"/>
                </a:lnTo>
                <a:lnTo>
                  <a:pt x="2286" y="7854"/>
                </a:lnTo>
                <a:lnTo>
                  <a:pt x="4254" y="5200"/>
                </a:lnTo>
                <a:lnTo>
                  <a:pt x="5359" y="3980"/>
                </a:lnTo>
                <a:close/>
              </a:path>
            </a:pathLst>
          </a:custGeom>
          <a:solidFill>
            <a:srgbClr val="131413">
              <a:alpha val="50000"/>
            </a:srgbClr>
          </a:solidFill>
        </xdr:spPr>
      </xdr:sp>
    </xdr:grpSp>
    <xdr:clientData/>
  </xdr:twoCellAnchor>
  <xdr:twoCellAnchor editAs="oneCell">
    <xdr:from>
      <xdr:col>8</xdr:col>
      <xdr:colOff>0</xdr:colOff>
      <xdr:row>748</xdr:row>
      <xdr:rowOff>238048</xdr:rowOff>
    </xdr:from>
    <xdr:to>
      <xdr:col>8</xdr:col>
      <xdr:colOff>19050</xdr:colOff>
      <xdr:row>749</xdr:row>
      <xdr:rowOff>10718</xdr:rowOff>
    </xdr:to>
    <xdr:sp macro="" textlink="">
      <xdr:nvSpPr>
        <xdr:cNvPr id="133" name="Shape 218">
          <a:extLst>
            <a:ext uri="{FF2B5EF4-FFF2-40B4-BE49-F238E27FC236}">
              <a16:creationId xmlns:a16="http://schemas.microsoft.com/office/drawing/2014/main" id="{00000000-0008-0000-0700-000085000000}"/>
            </a:ext>
          </a:extLst>
        </xdr:cNvPr>
        <xdr:cNvSpPr/>
      </xdr:nvSpPr>
      <xdr:spPr>
        <a:xfrm>
          <a:off x="16134348" y="364845523"/>
          <a:ext cx="19050" cy="8890"/>
        </a:xfrm>
        <a:custGeom>
          <a:avLst/>
          <a:gdLst/>
          <a:ahLst/>
          <a:cxnLst/>
          <a:rect l="0" t="0" r="0" b="0"/>
          <a:pathLst>
            <a:path w="19050" h="3175">
              <a:moveTo>
                <a:pt x="18717" y="2946"/>
              </a:moveTo>
              <a:lnTo>
                <a:pt x="18717" y="1762"/>
              </a:lnTo>
              <a:lnTo>
                <a:pt x="16311" y="0"/>
              </a:lnTo>
              <a:lnTo>
                <a:pt x="4784" y="0"/>
              </a:lnTo>
              <a:lnTo>
                <a:pt x="1394" y="1574"/>
              </a:lnTo>
              <a:lnTo>
                <a:pt x="0" y="2946"/>
              </a:lnTo>
              <a:lnTo>
                <a:pt x="18717" y="2946"/>
              </a:lnTo>
              <a:close/>
            </a:path>
          </a:pathLst>
        </a:custGeom>
        <a:solidFill>
          <a:srgbClr val="131413"/>
        </a:solidFill>
      </xdr:spPr>
    </xdr:sp>
    <xdr:clientData/>
  </xdr:twoCellAnchor>
  <xdr:twoCellAnchor editAs="oneCell">
    <xdr:from>
      <xdr:col>8</xdr:col>
      <xdr:colOff>0</xdr:colOff>
      <xdr:row>2068</xdr:row>
      <xdr:rowOff>144176</xdr:rowOff>
    </xdr:from>
    <xdr:to>
      <xdr:col>8</xdr:col>
      <xdr:colOff>20320</xdr:colOff>
      <xdr:row>2068</xdr:row>
      <xdr:rowOff>161321</xdr:rowOff>
    </xdr:to>
    <xdr:sp macro="" textlink="">
      <xdr:nvSpPr>
        <xdr:cNvPr id="135" name="Shape 223">
          <a:extLst>
            <a:ext uri="{FF2B5EF4-FFF2-40B4-BE49-F238E27FC236}">
              <a16:creationId xmlns:a16="http://schemas.microsoft.com/office/drawing/2014/main" id="{00000000-0008-0000-0700-000087000000}"/>
            </a:ext>
          </a:extLst>
        </xdr:cNvPr>
        <xdr:cNvSpPr/>
      </xdr:nvSpPr>
      <xdr:spPr>
        <a:xfrm>
          <a:off x="15763824" y="398117726"/>
          <a:ext cx="18415" cy="19050"/>
        </a:xfrm>
        <a:custGeom>
          <a:avLst/>
          <a:gdLst/>
          <a:ahLst/>
          <a:cxnLst/>
          <a:rect l="0" t="0" r="0" b="0"/>
          <a:pathLst>
            <a:path w="24130" h="17145">
              <a:moveTo>
                <a:pt x="18253" y="6172"/>
              </a:moveTo>
              <a:lnTo>
                <a:pt x="16560" y="3479"/>
              </a:lnTo>
              <a:lnTo>
                <a:pt x="14687" y="0"/>
              </a:lnTo>
              <a:lnTo>
                <a:pt x="9175" y="0"/>
              </a:lnTo>
              <a:lnTo>
                <a:pt x="7302" y="3479"/>
              </a:lnTo>
              <a:lnTo>
                <a:pt x="3746" y="8953"/>
              </a:lnTo>
              <a:lnTo>
                <a:pt x="0" y="14178"/>
              </a:lnTo>
              <a:lnTo>
                <a:pt x="0" y="14414"/>
              </a:lnTo>
              <a:lnTo>
                <a:pt x="3321" y="16624"/>
              </a:lnTo>
              <a:lnTo>
                <a:pt x="6388" y="13042"/>
              </a:lnTo>
              <a:lnTo>
                <a:pt x="9448" y="9563"/>
              </a:lnTo>
              <a:lnTo>
                <a:pt x="11874" y="6172"/>
              </a:lnTo>
              <a:lnTo>
                <a:pt x="18253" y="6172"/>
              </a:lnTo>
              <a:close/>
            </a:path>
            <a:path w="24130" h="17145">
              <a:moveTo>
                <a:pt x="23875" y="14338"/>
              </a:moveTo>
              <a:lnTo>
                <a:pt x="20002" y="8953"/>
              </a:lnTo>
              <a:lnTo>
                <a:pt x="18253" y="6172"/>
              </a:lnTo>
              <a:lnTo>
                <a:pt x="11874" y="6172"/>
              </a:lnTo>
              <a:lnTo>
                <a:pt x="14414" y="9563"/>
              </a:lnTo>
              <a:lnTo>
                <a:pt x="20398" y="16624"/>
              </a:lnTo>
              <a:lnTo>
                <a:pt x="23875" y="14338"/>
              </a:lnTo>
              <a:close/>
            </a:path>
          </a:pathLst>
        </a:custGeom>
        <a:solidFill>
          <a:srgbClr val="131413">
            <a:alpha val="50000"/>
          </a:srgbClr>
        </a:solidFill>
      </xdr:spPr>
    </xdr:sp>
    <xdr:clientData/>
  </xdr:twoCellAnchor>
  <xdr:twoCellAnchor editAs="oneCell">
    <xdr:from>
      <xdr:col>8</xdr:col>
      <xdr:colOff>0</xdr:colOff>
      <xdr:row>2293</xdr:row>
      <xdr:rowOff>143808</xdr:rowOff>
    </xdr:from>
    <xdr:to>
      <xdr:col>8</xdr:col>
      <xdr:colOff>20320</xdr:colOff>
      <xdr:row>2293</xdr:row>
      <xdr:rowOff>160318</xdr:rowOff>
    </xdr:to>
    <xdr:sp macro="" textlink="">
      <xdr:nvSpPr>
        <xdr:cNvPr id="136" name="Shape 226">
          <a:extLst>
            <a:ext uri="{FF2B5EF4-FFF2-40B4-BE49-F238E27FC236}">
              <a16:creationId xmlns:a16="http://schemas.microsoft.com/office/drawing/2014/main" id="{00000000-0008-0000-0700-000088000000}"/>
            </a:ext>
          </a:extLst>
        </xdr:cNvPr>
        <xdr:cNvSpPr/>
      </xdr:nvSpPr>
      <xdr:spPr>
        <a:xfrm>
          <a:off x="15763824" y="398479308"/>
          <a:ext cx="18415" cy="18415"/>
        </a:xfrm>
        <a:custGeom>
          <a:avLst/>
          <a:gdLst/>
          <a:ahLst/>
          <a:cxnLst/>
          <a:rect l="0" t="0" r="0" b="0"/>
          <a:pathLst>
            <a:path w="24130" h="16510">
              <a:moveTo>
                <a:pt x="18253" y="6019"/>
              </a:moveTo>
              <a:lnTo>
                <a:pt x="16560" y="3327"/>
              </a:lnTo>
              <a:lnTo>
                <a:pt x="14773" y="0"/>
              </a:lnTo>
              <a:lnTo>
                <a:pt x="9089" y="0"/>
              </a:lnTo>
              <a:lnTo>
                <a:pt x="7302" y="3327"/>
              </a:lnTo>
              <a:lnTo>
                <a:pt x="3746" y="8801"/>
              </a:lnTo>
              <a:lnTo>
                <a:pt x="0" y="14026"/>
              </a:lnTo>
              <a:lnTo>
                <a:pt x="0" y="14261"/>
              </a:lnTo>
              <a:lnTo>
                <a:pt x="3340" y="16471"/>
              </a:lnTo>
              <a:lnTo>
                <a:pt x="6388" y="12890"/>
              </a:lnTo>
              <a:lnTo>
                <a:pt x="9448" y="9410"/>
              </a:lnTo>
              <a:lnTo>
                <a:pt x="11874" y="6019"/>
              </a:lnTo>
              <a:lnTo>
                <a:pt x="18253" y="6019"/>
              </a:lnTo>
              <a:close/>
            </a:path>
            <a:path w="24130" h="16510">
              <a:moveTo>
                <a:pt x="23876" y="14185"/>
              </a:moveTo>
              <a:lnTo>
                <a:pt x="20002" y="8801"/>
              </a:lnTo>
              <a:lnTo>
                <a:pt x="18253" y="6019"/>
              </a:lnTo>
              <a:lnTo>
                <a:pt x="11874" y="6019"/>
              </a:lnTo>
              <a:lnTo>
                <a:pt x="14414" y="9410"/>
              </a:lnTo>
              <a:lnTo>
                <a:pt x="20408" y="16471"/>
              </a:lnTo>
              <a:lnTo>
                <a:pt x="23876" y="14185"/>
              </a:lnTo>
              <a:close/>
            </a:path>
          </a:pathLst>
        </a:custGeom>
        <a:solidFill>
          <a:srgbClr val="131413">
            <a:alpha val="50000"/>
          </a:srgbClr>
        </a:solidFill>
      </xdr:spPr>
    </xdr:sp>
    <xdr:clientData/>
  </xdr:twoCellAnchor>
  <xdr:twoCellAnchor editAs="oneCell">
    <xdr:from>
      <xdr:col>8</xdr:col>
      <xdr:colOff>0</xdr:colOff>
      <xdr:row>772</xdr:row>
      <xdr:rowOff>131527</xdr:rowOff>
    </xdr:from>
    <xdr:to>
      <xdr:col>8</xdr:col>
      <xdr:colOff>18415</xdr:colOff>
      <xdr:row>772</xdr:row>
      <xdr:rowOff>134702</xdr:rowOff>
    </xdr:to>
    <xdr:sp macro="" textlink="">
      <xdr:nvSpPr>
        <xdr:cNvPr id="169" name="Shape 282">
          <a:extLst>
            <a:ext uri="{FF2B5EF4-FFF2-40B4-BE49-F238E27FC236}">
              <a16:creationId xmlns:a16="http://schemas.microsoft.com/office/drawing/2014/main" id="{00000000-0008-0000-0700-0000A9000000}"/>
            </a:ext>
          </a:extLst>
        </xdr:cNvPr>
        <xdr:cNvSpPr/>
      </xdr:nvSpPr>
      <xdr:spPr>
        <a:xfrm>
          <a:off x="16259665" y="631172302"/>
          <a:ext cx="20320" cy="3175"/>
        </a:xfrm>
        <a:custGeom>
          <a:avLst/>
          <a:gdLst/>
          <a:ahLst/>
          <a:cxnLst/>
          <a:rect l="0" t="0" r="0" b="0"/>
          <a:pathLst>
            <a:path w="22225" h="3175">
              <a:moveTo>
                <a:pt x="22216" y="584"/>
              </a:moveTo>
              <a:lnTo>
                <a:pt x="21594" y="0"/>
              </a:lnTo>
              <a:lnTo>
                <a:pt x="411" y="0"/>
              </a:lnTo>
              <a:lnTo>
                <a:pt x="0" y="2806"/>
              </a:lnTo>
              <a:lnTo>
                <a:pt x="21250" y="2806"/>
              </a:lnTo>
              <a:lnTo>
                <a:pt x="22216" y="584"/>
              </a:lnTo>
              <a:close/>
            </a:path>
          </a:pathLst>
        </a:custGeom>
        <a:solidFill>
          <a:srgbClr val="131413"/>
        </a:solidFill>
      </xdr:spPr>
    </xdr:sp>
    <xdr:clientData/>
  </xdr:twoCellAnchor>
  <xdr:twoCellAnchor editAs="oneCell">
    <xdr:from>
      <xdr:col>8</xdr:col>
      <xdr:colOff>0</xdr:colOff>
      <xdr:row>788</xdr:row>
      <xdr:rowOff>134537</xdr:rowOff>
    </xdr:from>
    <xdr:to>
      <xdr:col>8</xdr:col>
      <xdr:colOff>19685</xdr:colOff>
      <xdr:row>788</xdr:row>
      <xdr:rowOff>134537</xdr:rowOff>
    </xdr:to>
    <xdr:sp macro="" textlink="">
      <xdr:nvSpPr>
        <xdr:cNvPr id="170" name="Shape 283">
          <a:extLst>
            <a:ext uri="{FF2B5EF4-FFF2-40B4-BE49-F238E27FC236}">
              <a16:creationId xmlns:a16="http://schemas.microsoft.com/office/drawing/2014/main" id="{00000000-0008-0000-0700-0000AA000000}"/>
            </a:ext>
          </a:extLst>
        </xdr:cNvPr>
        <xdr:cNvSpPr/>
      </xdr:nvSpPr>
      <xdr:spPr>
        <a:xfrm>
          <a:off x="16372306" y="631175312"/>
          <a:ext cx="21590" cy="0"/>
        </a:xfrm>
        <a:custGeom>
          <a:avLst/>
          <a:gdLst/>
          <a:ahLst/>
          <a:cxnLst/>
          <a:rect l="0" t="0" r="0" b="0"/>
          <a:pathLst>
            <a:path w="19685" h="3810">
              <a:moveTo>
                <a:pt x="19659" y="3606"/>
              </a:moveTo>
              <a:lnTo>
                <a:pt x="19659" y="2126"/>
              </a:lnTo>
              <a:lnTo>
                <a:pt x="16751" y="0"/>
              </a:lnTo>
              <a:lnTo>
                <a:pt x="5549" y="0"/>
              </a:lnTo>
              <a:lnTo>
                <a:pt x="1968" y="1651"/>
              </a:lnTo>
              <a:lnTo>
                <a:pt x="0" y="3597"/>
              </a:lnTo>
              <a:lnTo>
                <a:pt x="19659" y="3606"/>
              </a:lnTo>
              <a:close/>
            </a:path>
          </a:pathLst>
        </a:custGeom>
        <a:solidFill>
          <a:srgbClr val="131413"/>
        </a:solidFill>
      </xdr:spPr>
    </xdr:sp>
    <xdr:clientData/>
  </xdr:twoCellAnchor>
  <xdr:twoCellAnchor editAs="oneCell">
    <xdr:from>
      <xdr:col>8</xdr:col>
      <xdr:colOff>0</xdr:colOff>
      <xdr:row>3408</xdr:row>
      <xdr:rowOff>134969</xdr:rowOff>
    </xdr:from>
    <xdr:to>
      <xdr:col>8</xdr:col>
      <xdr:colOff>48260</xdr:colOff>
      <xdr:row>3408</xdr:row>
      <xdr:rowOff>138144</xdr:rowOff>
    </xdr:to>
    <xdr:sp macro="" textlink="">
      <xdr:nvSpPr>
        <xdr:cNvPr id="171" name="Shape 284">
          <a:extLst>
            <a:ext uri="{FF2B5EF4-FFF2-40B4-BE49-F238E27FC236}">
              <a16:creationId xmlns:a16="http://schemas.microsoft.com/office/drawing/2014/main" id="{00000000-0008-0000-0700-0000AB000000}"/>
            </a:ext>
          </a:extLst>
        </xdr:cNvPr>
        <xdr:cNvSpPr/>
      </xdr:nvSpPr>
      <xdr:spPr>
        <a:xfrm>
          <a:off x="15965405" y="632737844"/>
          <a:ext cx="44450" cy="3175"/>
        </a:xfrm>
        <a:custGeom>
          <a:avLst/>
          <a:gdLst/>
          <a:ahLst/>
          <a:cxnLst/>
          <a:rect l="0" t="0" r="0" b="0"/>
          <a:pathLst>
            <a:path w="52069" h="3175">
              <a:moveTo>
                <a:pt x="9479" y="2806"/>
              </a:moveTo>
              <a:lnTo>
                <a:pt x="9479" y="0"/>
              </a:lnTo>
              <a:lnTo>
                <a:pt x="4971" y="1524"/>
              </a:lnTo>
              <a:lnTo>
                <a:pt x="640" y="2705"/>
              </a:lnTo>
              <a:lnTo>
                <a:pt x="0" y="2806"/>
              </a:lnTo>
              <a:lnTo>
                <a:pt x="9479" y="2806"/>
              </a:lnTo>
              <a:close/>
            </a:path>
            <a:path w="52069" h="3175">
              <a:moveTo>
                <a:pt x="51923" y="2781"/>
              </a:moveTo>
              <a:lnTo>
                <a:pt x="51923" y="1549"/>
              </a:lnTo>
              <a:lnTo>
                <a:pt x="50170" y="0"/>
              </a:lnTo>
              <a:lnTo>
                <a:pt x="34549" y="0"/>
              </a:lnTo>
              <a:lnTo>
                <a:pt x="31833" y="2806"/>
              </a:lnTo>
              <a:lnTo>
                <a:pt x="51923" y="2781"/>
              </a:lnTo>
              <a:close/>
            </a:path>
            <a:path w="52069" h="3175">
              <a:moveTo>
                <a:pt x="51923" y="2806"/>
              </a:moveTo>
              <a:lnTo>
                <a:pt x="45598" y="2781"/>
              </a:lnTo>
              <a:lnTo>
                <a:pt x="51923" y="2806"/>
              </a:lnTo>
              <a:close/>
            </a:path>
          </a:pathLst>
        </a:custGeom>
        <a:solidFill>
          <a:srgbClr val="131413"/>
        </a:solidFill>
      </xdr:spPr>
    </xdr:sp>
    <xdr:clientData/>
  </xdr:twoCellAnchor>
  <xdr:twoCellAnchor editAs="oneCell">
    <xdr:from>
      <xdr:col>8</xdr:col>
      <xdr:colOff>0</xdr:colOff>
      <xdr:row>2309</xdr:row>
      <xdr:rowOff>143808</xdr:rowOff>
    </xdr:from>
    <xdr:to>
      <xdr:col>8</xdr:col>
      <xdr:colOff>20320</xdr:colOff>
      <xdr:row>2309</xdr:row>
      <xdr:rowOff>160953</xdr:rowOff>
    </xdr:to>
    <xdr:sp macro="" textlink="">
      <xdr:nvSpPr>
        <xdr:cNvPr id="165" name="Shape 329">
          <a:extLst>
            <a:ext uri="{FF2B5EF4-FFF2-40B4-BE49-F238E27FC236}">
              <a16:creationId xmlns:a16="http://schemas.microsoft.com/office/drawing/2014/main" id="{00000000-0008-0000-0700-0000A5000000}"/>
            </a:ext>
          </a:extLst>
        </xdr:cNvPr>
        <xdr:cNvSpPr/>
      </xdr:nvSpPr>
      <xdr:spPr>
        <a:xfrm>
          <a:off x="16174428" y="797195808"/>
          <a:ext cx="16510" cy="19050"/>
        </a:xfrm>
        <a:custGeom>
          <a:avLst/>
          <a:gdLst/>
          <a:ahLst/>
          <a:cxnLst/>
          <a:rect l="0" t="0" r="0" b="0"/>
          <a:pathLst>
            <a:path w="24130" h="17145">
              <a:moveTo>
                <a:pt x="18323" y="6223"/>
              </a:moveTo>
              <a:lnTo>
                <a:pt x="16624" y="3530"/>
              </a:lnTo>
              <a:lnTo>
                <a:pt x="14736" y="0"/>
              </a:lnTo>
              <a:lnTo>
                <a:pt x="9274" y="0"/>
              </a:lnTo>
              <a:lnTo>
                <a:pt x="7378" y="3530"/>
              </a:lnTo>
              <a:lnTo>
                <a:pt x="3822" y="9004"/>
              </a:lnTo>
              <a:lnTo>
                <a:pt x="0" y="14335"/>
              </a:lnTo>
              <a:lnTo>
                <a:pt x="3346" y="16637"/>
              </a:lnTo>
              <a:lnTo>
                <a:pt x="6464" y="13093"/>
              </a:lnTo>
              <a:lnTo>
                <a:pt x="9512" y="9613"/>
              </a:lnTo>
              <a:lnTo>
                <a:pt x="11950" y="6223"/>
              </a:lnTo>
              <a:lnTo>
                <a:pt x="18323" y="6223"/>
              </a:lnTo>
              <a:close/>
            </a:path>
            <a:path w="24130" h="17145">
              <a:moveTo>
                <a:pt x="23952" y="14389"/>
              </a:moveTo>
              <a:lnTo>
                <a:pt x="20078" y="9004"/>
              </a:lnTo>
              <a:lnTo>
                <a:pt x="18323" y="6223"/>
              </a:lnTo>
              <a:lnTo>
                <a:pt x="11950" y="6223"/>
              </a:lnTo>
              <a:lnTo>
                <a:pt x="14490" y="9613"/>
              </a:lnTo>
              <a:lnTo>
                <a:pt x="20452" y="16637"/>
              </a:lnTo>
              <a:lnTo>
                <a:pt x="23952" y="14389"/>
              </a:lnTo>
              <a:close/>
            </a:path>
          </a:pathLst>
        </a:custGeom>
        <a:solidFill>
          <a:srgbClr val="131413">
            <a:alpha val="50000"/>
          </a:srgbClr>
        </a:solidFill>
      </xdr:spPr>
    </xdr:sp>
    <xdr:clientData/>
  </xdr:twoCellAnchor>
  <xdr:twoCellAnchor editAs="oneCell">
    <xdr:from>
      <xdr:col>8</xdr:col>
      <xdr:colOff>0</xdr:colOff>
      <xdr:row>2535</xdr:row>
      <xdr:rowOff>154247</xdr:rowOff>
    </xdr:from>
    <xdr:to>
      <xdr:col>8</xdr:col>
      <xdr:colOff>20320</xdr:colOff>
      <xdr:row>2535</xdr:row>
      <xdr:rowOff>163137</xdr:rowOff>
    </xdr:to>
    <xdr:sp macro="" textlink="">
      <xdr:nvSpPr>
        <xdr:cNvPr id="166" name="Shape 331">
          <a:extLst>
            <a:ext uri="{FF2B5EF4-FFF2-40B4-BE49-F238E27FC236}">
              <a16:creationId xmlns:a16="http://schemas.microsoft.com/office/drawing/2014/main" id="{00000000-0008-0000-0700-0000A6000000}"/>
            </a:ext>
          </a:extLst>
        </xdr:cNvPr>
        <xdr:cNvSpPr/>
      </xdr:nvSpPr>
      <xdr:spPr>
        <a:xfrm>
          <a:off x="15714535" y="797568197"/>
          <a:ext cx="20320" cy="8890"/>
        </a:xfrm>
        <a:custGeom>
          <a:avLst/>
          <a:gdLst/>
          <a:ahLst/>
          <a:cxnLst/>
          <a:rect l="0" t="0" r="0" b="0"/>
          <a:pathLst>
            <a:path w="24130" h="8890">
              <a:moveTo>
                <a:pt x="10338" y="0"/>
              </a:moveTo>
              <a:lnTo>
                <a:pt x="4151" y="0"/>
              </a:lnTo>
              <a:lnTo>
                <a:pt x="3695" y="698"/>
              </a:lnTo>
              <a:lnTo>
                <a:pt x="0" y="5853"/>
              </a:lnTo>
              <a:lnTo>
                <a:pt x="0" y="6192"/>
              </a:lnTo>
              <a:lnTo>
                <a:pt x="3289" y="8369"/>
              </a:lnTo>
              <a:lnTo>
                <a:pt x="6350" y="4787"/>
              </a:lnTo>
              <a:lnTo>
                <a:pt x="9397" y="1308"/>
              </a:lnTo>
              <a:lnTo>
                <a:pt x="10338" y="0"/>
              </a:lnTo>
              <a:close/>
            </a:path>
            <a:path w="24130" h="8890">
              <a:moveTo>
                <a:pt x="23825" y="6083"/>
              </a:moveTo>
              <a:lnTo>
                <a:pt x="19964" y="698"/>
              </a:lnTo>
              <a:lnTo>
                <a:pt x="19523" y="0"/>
              </a:lnTo>
              <a:lnTo>
                <a:pt x="13396" y="0"/>
              </a:lnTo>
              <a:lnTo>
                <a:pt x="14376" y="1308"/>
              </a:lnTo>
              <a:lnTo>
                <a:pt x="20370" y="8369"/>
              </a:lnTo>
              <a:lnTo>
                <a:pt x="23825" y="6083"/>
              </a:lnTo>
              <a:close/>
            </a:path>
          </a:pathLst>
        </a:custGeom>
        <a:solidFill>
          <a:srgbClr val="131413">
            <a:alpha val="50000"/>
          </a:srgbClr>
        </a:solidFill>
      </xdr:spPr>
    </xdr:sp>
    <xdr:clientData/>
  </xdr:twoCellAnchor>
  <xdr:twoCellAnchor editAs="oneCell">
    <xdr:from>
      <xdr:col>8</xdr:col>
      <xdr:colOff>0</xdr:colOff>
      <xdr:row>1995</xdr:row>
      <xdr:rowOff>134645</xdr:rowOff>
    </xdr:from>
    <xdr:to>
      <xdr:col>8</xdr:col>
      <xdr:colOff>7620</xdr:colOff>
      <xdr:row>1995</xdr:row>
      <xdr:rowOff>137185</xdr:rowOff>
    </xdr:to>
    <xdr:sp macro="" textlink="">
      <xdr:nvSpPr>
        <xdr:cNvPr id="178" name="Shape 347">
          <a:extLst>
            <a:ext uri="{FF2B5EF4-FFF2-40B4-BE49-F238E27FC236}">
              <a16:creationId xmlns:a16="http://schemas.microsoft.com/office/drawing/2014/main" id="{00000000-0008-0000-0700-0000B2000000}"/>
            </a:ext>
          </a:extLst>
        </xdr:cNvPr>
        <xdr:cNvSpPr/>
      </xdr:nvSpPr>
      <xdr:spPr>
        <a:xfrm>
          <a:off x="16420008" y="870462470"/>
          <a:ext cx="11430" cy="2540"/>
        </a:xfrm>
        <a:custGeom>
          <a:avLst/>
          <a:gdLst/>
          <a:ahLst/>
          <a:cxnLst/>
          <a:rect l="0" t="0" r="0" b="0"/>
          <a:pathLst>
            <a:path w="7620" h="2540">
              <a:moveTo>
                <a:pt x="7327" y="2298"/>
              </a:moveTo>
              <a:lnTo>
                <a:pt x="7327" y="0"/>
              </a:lnTo>
              <a:lnTo>
                <a:pt x="2818" y="1524"/>
              </a:lnTo>
              <a:lnTo>
                <a:pt x="0" y="2298"/>
              </a:lnTo>
              <a:lnTo>
                <a:pt x="7327" y="2298"/>
              </a:lnTo>
              <a:close/>
            </a:path>
          </a:pathLst>
        </a:custGeom>
        <a:solidFill>
          <a:srgbClr val="131413"/>
        </a:solidFill>
      </xdr:spPr>
    </xdr:sp>
    <xdr:clientData/>
  </xdr:twoCellAnchor>
  <xdr:twoCellAnchor editAs="oneCell">
    <xdr:from>
      <xdr:col>8</xdr:col>
      <xdr:colOff>0</xdr:colOff>
      <xdr:row>2387</xdr:row>
      <xdr:rowOff>152952</xdr:rowOff>
    </xdr:from>
    <xdr:to>
      <xdr:col>8</xdr:col>
      <xdr:colOff>27940</xdr:colOff>
      <xdr:row>2387</xdr:row>
      <xdr:rowOff>163112</xdr:rowOff>
    </xdr:to>
    <xdr:sp macro="" textlink="">
      <xdr:nvSpPr>
        <xdr:cNvPr id="179" name="Shape 351">
          <a:extLst>
            <a:ext uri="{FF2B5EF4-FFF2-40B4-BE49-F238E27FC236}">
              <a16:creationId xmlns:a16="http://schemas.microsoft.com/office/drawing/2014/main" id="{00000000-0008-0000-0700-0000B3000000}"/>
            </a:ext>
          </a:extLst>
        </xdr:cNvPr>
        <xdr:cNvSpPr/>
      </xdr:nvSpPr>
      <xdr:spPr>
        <a:xfrm>
          <a:off x="15687890" y="911895477"/>
          <a:ext cx="29845" cy="10160"/>
        </a:xfrm>
        <a:custGeom>
          <a:avLst/>
          <a:gdLst/>
          <a:ahLst/>
          <a:cxnLst/>
          <a:rect l="0" t="0" r="0" b="0"/>
          <a:pathLst>
            <a:path w="24130" h="13970">
              <a:moveTo>
                <a:pt x="18357" y="2984"/>
              </a:moveTo>
              <a:lnTo>
                <a:pt x="16662" y="292"/>
              </a:lnTo>
              <a:lnTo>
                <a:pt x="16505" y="0"/>
              </a:lnTo>
              <a:lnTo>
                <a:pt x="7574" y="0"/>
              </a:lnTo>
              <a:lnTo>
                <a:pt x="7416" y="292"/>
              </a:lnTo>
              <a:lnTo>
                <a:pt x="3848" y="5778"/>
              </a:lnTo>
              <a:lnTo>
                <a:pt x="0" y="11150"/>
              </a:lnTo>
              <a:lnTo>
                <a:pt x="3441" y="13449"/>
              </a:lnTo>
              <a:lnTo>
                <a:pt x="6502" y="9855"/>
              </a:lnTo>
              <a:lnTo>
                <a:pt x="9550" y="6375"/>
              </a:lnTo>
              <a:lnTo>
                <a:pt x="11988" y="2984"/>
              </a:lnTo>
              <a:lnTo>
                <a:pt x="18357" y="2984"/>
              </a:lnTo>
              <a:close/>
            </a:path>
            <a:path w="24130" h="13970">
              <a:moveTo>
                <a:pt x="23888" y="11217"/>
              </a:moveTo>
              <a:lnTo>
                <a:pt x="23888" y="11009"/>
              </a:lnTo>
              <a:lnTo>
                <a:pt x="20116" y="5778"/>
              </a:lnTo>
              <a:lnTo>
                <a:pt x="18357" y="2984"/>
              </a:lnTo>
              <a:lnTo>
                <a:pt x="11988" y="2984"/>
              </a:lnTo>
              <a:lnTo>
                <a:pt x="14528" y="6375"/>
              </a:lnTo>
              <a:lnTo>
                <a:pt x="20523" y="13449"/>
              </a:lnTo>
              <a:lnTo>
                <a:pt x="23888" y="11217"/>
              </a:lnTo>
              <a:close/>
            </a:path>
          </a:pathLst>
        </a:custGeom>
        <a:solidFill>
          <a:srgbClr val="131413">
            <a:alpha val="50000"/>
          </a:srgbClr>
        </a:solidFill>
      </xdr:spPr>
    </xdr:sp>
    <xdr:clientData/>
  </xdr:twoCellAnchor>
  <xdr:twoCellAnchor editAs="oneCell">
    <xdr:from>
      <xdr:col>8</xdr:col>
      <xdr:colOff>0</xdr:colOff>
      <xdr:row>2291</xdr:row>
      <xdr:rowOff>255809</xdr:rowOff>
    </xdr:from>
    <xdr:to>
      <xdr:col>8</xdr:col>
      <xdr:colOff>27940</xdr:colOff>
      <xdr:row>2292</xdr:row>
      <xdr:rowOff>144049</xdr:rowOff>
    </xdr:to>
    <xdr:sp macro="" textlink="">
      <xdr:nvSpPr>
        <xdr:cNvPr id="180" name="Shape 352">
          <a:extLst>
            <a:ext uri="{FF2B5EF4-FFF2-40B4-BE49-F238E27FC236}">
              <a16:creationId xmlns:a16="http://schemas.microsoft.com/office/drawing/2014/main" id="{00000000-0008-0000-0700-0000B4000000}"/>
            </a:ext>
          </a:extLst>
        </xdr:cNvPr>
        <xdr:cNvSpPr/>
      </xdr:nvSpPr>
      <xdr:spPr>
        <a:xfrm>
          <a:off x="15687890" y="911998334"/>
          <a:ext cx="29845" cy="143510"/>
        </a:xfrm>
        <a:custGeom>
          <a:avLst/>
          <a:gdLst/>
          <a:ahLst/>
          <a:cxnLst/>
          <a:rect l="0" t="0" r="0" b="0"/>
          <a:pathLst>
            <a:path w="24130" h="13970">
              <a:moveTo>
                <a:pt x="18361" y="3149"/>
              </a:moveTo>
              <a:lnTo>
                <a:pt x="16662" y="457"/>
              </a:lnTo>
              <a:lnTo>
                <a:pt x="16416" y="0"/>
              </a:lnTo>
              <a:lnTo>
                <a:pt x="7662" y="0"/>
              </a:lnTo>
              <a:lnTo>
                <a:pt x="7416" y="457"/>
              </a:lnTo>
              <a:lnTo>
                <a:pt x="3848" y="5930"/>
              </a:lnTo>
              <a:lnTo>
                <a:pt x="0" y="11315"/>
              </a:lnTo>
              <a:lnTo>
                <a:pt x="3384" y="13563"/>
              </a:lnTo>
              <a:lnTo>
                <a:pt x="6502" y="10020"/>
              </a:lnTo>
              <a:lnTo>
                <a:pt x="9550" y="6540"/>
              </a:lnTo>
              <a:lnTo>
                <a:pt x="11988" y="3149"/>
              </a:lnTo>
              <a:lnTo>
                <a:pt x="18361" y="3149"/>
              </a:lnTo>
              <a:close/>
            </a:path>
            <a:path w="24130" h="13970">
              <a:moveTo>
                <a:pt x="23888" y="11382"/>
              </a:moveTo>
              <a:lnTo>
                <a:pt x="23888" y="11174"/>
              </a:lnTo>
              <a:lnTo>
                <a:pt x="20116" y="5930"/>
              </a:lnTo>
              <a:lnTo>
                <a:pt x="18361" y="3149"/>
              </a:lnTo>
              <a:lnTo>
                <a:pt x="11988" y="3149"/>
              </a:lnTo>
              <a:lnTo>
                <a:pt x="14528" y="6540"/>
              </a:lnTo>
              <a:lnTo>
                <a:pt x="20490" y="13563"/>
              </a:lnTo>
              <a:lnTo>
                <a:pt x="23888" y="11382"/>
              </a:lnTo>
              <a:close/>
            </a:path>
          </a:pathLst>
        </a:custGeom>
        <a:solidFill>
          <a:srgbClr val="131413">
            <a:alpha val="50000"/>
          </a:srgbClr>
        </a:solidFill>
      </xdr:spPr>
    </xdr:sp>
    <xdr:clientData/>
  </xdr:twoCellAnchor>
  <xdr:twoCellAnchor editAs="oneCell">
    <xdr:from>
      <xdr:col>8</xdr:col>
      <xdr:colOff>0</xdr:colOff>
      <xdr:row>1956</xdr:row>
      <xdr:rowOff>731710</xdr:rowOff>
    </xdr:from>
    <xdr:to>
      <xdr:col>8</xdr:col>
      <xdr:colOff>38100</xdr:colOff>
      <xdr:row>1957</xdr:row>
      <xdr:rowOff>77025</xdr:rowOff>
    </xdr:to>
    <xdr:grpSp>
      <xdr:nvGrpSpPr>
        <xdr:cNvPr id="183" name="Group 359">
          <a:extLst>
            <a:ext uri="{FF2B5EF4-FFF2-40B4-BE49-F238E27FC236}">
              <a16:creationId xmlns:a16="http://schemas.microsoft.com/office/drawing/2014/main" id="{00000000-0008-0000-0700-0000B7000000}"/>
            </a:ext>
          </a:extLst>
        </xdr:cNvPr>
        <xdr:cNvGrpSpPr/>
      </xdr:nvGrpSpPr>
      <xdr:grpSpPr>
        <a:xfrm>
          <a:off x="14982825" y="377256865"/>
          <a:ext cx="38100" cy="76835"/>
          <a:chOff x="0" y="0"/>
          <a:chExt cx="38100" cy="71120"/>
        </a:xfrm>
      </xdr:grpSpPr>
      <xdr:sp macro="" textlink="">
        <xdr:nvSpPr>
          <xdr:cNvPr id="184" name="Shape 360">
            <a:extLst>
              <a:ext uri="{FF2B5EF4-FFF2-40B4-BE49-F238E27FC236}">
                <a16:creationId xmlns:a16="http://schemas.microsoft.com/office/drawing/2014/main" id="{00000000-0008-0000-0700-0000B8000000}"/>
              </a:ext>
            </a:extLst>
          </xdr:cNvPr>
          <xdr:cNvSpPr/>
        </xdr:nvSpPr>
        <xdr:spPr>
          <a:xfrm>
            <a:off x="0" y="0"/>
            <a:ext cx="38100" cy="71120"/>
          </a:xfrm>
          <a:custGeom>
            <a:avLst/>
            <a:gdLst/>
            <a:ahLst/>
            <a:cxnLst/>
            <a:rect l="0" t="0" r="0" b="0"/>
            <a:pathLst>
              <a:path w="38100" h="71120">
                <a:moveTo>
                  <a:pt x="37858" y="25006"/>
                </a:moveTo>
                <a:lnTo>
                  <a:pt x="37858" y="0"/>
                </a:lnTo>
                <a:lnTo>
                  <a:pt x="0" y="0"/>
                </a:lnTo>
                <a:lnTo>
                  <a:pt x="0" y="70942"/>
                </a:lnTo>
                <a:lnTo>
                  <a:pt x="33972" y="70942"/>
                </a:lnTo>
                <a:lnTo>
                  <a:pt x="33972" y="25006"/>
                </a:lnTo>
                <a:lnTo>
                  <a:pt x="37858" y="25006"/>
                </a:lnTo>
                <a:close/>
              </a:path>
            </a:pathLst>
          </a:custGeom>
          <a:solidFill>
            <a:srgbClr val="D9D9D9">
              <a:alpha val="50000"/>
            </a:srgbClr>
          </a:solidFill>
        </xdr:spPr>
      </xdr:sp>
      <xdr:sp macro="" textlink="">
        <xdr:nvSpPr>
          <xdr:cNvPr id="185" name="Shape 361">
            <a:extLst>
              <a:ext uri="{FF2B5EF4-FFF2-40B4-BE49-F238E27FC236}">
                <a16:creationId xmlns:a16="http://schemas.microsoft.com/office/drawing/2014/main" id="{00000000-0008-0000-0700-0000B9000000}"/>
              </a:ext>
            </a:extLst>
          </xdr:cNvPr>
          <xdr:cNvSpPr/>
        </xdr:nvSpPr>
        <xdr:spPr>
          <a:xfrm>
            <a:off x="34137" y="36658"/>
            <a:ext cx="3810" cy="25400"/>
          </a:xfrm>
          <a:custGeom>
            <a:avLst/>
            <a:gdLst/>
            <a:ahLst/>
            <a:cxnLst/>
            <a:rect l="0" t="0" r="0" b="0"/>
            <a:pathLst>
              <a:path w="3810" h="25400">
                <a:moveTo>
                  <a:pt x="3721" y="25021"/>
                </a:moveTo>
                <a:lnTo>
                  <a:pt x="3721" y="0"/>
                </a:lnTo>
                <a:lnTo>
                  <a:pt x="2108" y="2307"/>
                </a:lnTo>
                <a:lnTo>
                  <a:pt x="0" y="13354"/>
                </a:lnTo>
                <a:lnTo>
                  <a:pt x="1494" y="21395"/>
                </a:lnTo>
                <a:lnTo>
                  <a:pt x="3721" y="25021"/>
                </a:lnTo>
                <a:close/>
              </a:path>
            </a:pathLst>
          </a:custGeom>
          <a:solidFill>
            <a:srgbClr val="131413">
              <a:alpha val="50000"/>
            </a:srgbClr>
          </a:solidFill>
        </xdr:spPr>
      </xdr:sp>
    </xdr:grpSp>
    <xdr:clientData/>
  </xdr:twoCellAnchor>
  <xdr:twoCellAnchor editAs="oneCell">
    <xdr:from>
      <xdr:col>8</xdr:col>
      <xdr:colOff>0</xdr:colOff>
      <xdr:row>2409</xdr:row>
      <xdr:rowOff>144151</xdr:rowOff>
    </xdr:from>
    <xdr:to>
      <xdr:col>8</xdr:col>
      <xdr:colOff>20320</xdr:colOff>
      <xdr:row>2409</xdr:row>
      <xdr:rowOff>161296</xdr:rowOff>
    </xdr:to>
    <xdr:sp macro="" textlink="">
      <xdr:nvSpPr>
        <xdr:cNvPr id="186" name="Shape 365">
          <a:extLst>
            <a:ext uri="{FF2B5EF4-FFF2-40B4-BE49-F238E27FC236}">
              <a16:creationId xmlns:a16="http://schemas.microsoft.com/office/drawing/2014/main" id="{00000000-0008-0000-0700-0000BA000000}"/>
            </a:ext>
          </a:extLst>
        </xdr:cNvPr>
        <xdr:cNvSpPr/>
      </xdr:nvSpPr>
      <xdr:spPr>
        <a:xfrm>
          <a:off x="16249967" y="987991426"/>
          <a:ext cx="20320" cy="19050"/>
        </a:xfrm>
        <a:custGeom>
          <a:avLst/>
          <a:gdLst/>
          <a:ahLst/>
          <a:cxnLst/>
          <a:rect l="0" t="0" r="0" b="0"/>
          <a:pathLst>
            <a:path w="24130" h="17145">
              <a:moveTo>
                <a:pt x="18361" y="6375"/>
              </a:moveTo>
              <a:lnTo>
                <a:pt x="16662" y="3682"/>
              </a:lnTo>
              <a:lnTo>
                <a:pt x="14693" y="0"/>
              </a:lnTo>
              <a:lnTo>
                <a:pt x="9394" y="0"/>
              </a:lnTo>
              <a:lnTo>
                <a:pt x="7416" y="3682"/>
              </a:lnTo>
              <a:lnTo>
                <a:pt x="3860" y="9156"/>
              </a:lnTo>
              <a:lnTo>
                <a:pt x="0" y="14541"/>
              </a:lnTo>
              <a:lnTo>
                <a:pt x="3185" y="16649"/>
              </a:lnTo>
              <a:lnTo>
                <a:pt x="3605" y="16649"/>
              </a:lnTo>
              <a:lnTo>
                <a:pt x="6502" y="13246"/>
              </a:lnTo>
              <a:lnTo>
                <a:pt x="9563" y="9766"/>
              </a:lnTo>
              <a:lnTo>
                <a:pt x="11988" y="6375"/>
              </a:lnTo>
              <a:lnTo>
                <a:pt x="18361" y="6375"/>
              </a:lnTo>
              <a:close/>
            </a:path>
            <a:path w="24130" h="17145">
              <a:moveTo>
                <a:pt x="23850" y="14633"/>
              </a:moveTo>
              <a:lnTo>
                <a:pt x="23850" y="14347"/>
              </a:lnTo>
              <a:lnTo>
                <a:pt x="20116" y="9156"/>
              </a:lnTo>
              <a:lnTo>
                <a:pt x="18361" y="6375"/>
              </a:lnTo>
              <a:lnTo>
                <a:pt x="11988" y="6375"/>
              </a:lnTo>
              <a:lnTo>
                <a:pt x="14528" y="9766"/>
              </a:lnTo>
              <a:lnTo>
                <a:pt x="20372" y="16649"/>
              </a:lnTo>
              <a:lnTo>
                <a:pt x="20792" y="16649"/>
              </a:lnTo>
              <a:lnTo>
                <a:pt x="23850" y="14633"/>
              </a:lnTo>
              <a:close/>
            </a:path>
          </a:pathLst>
        </a:custGeom>
        <a:solidFill>
          <a:srgbClr val="131413">
            <a:alpha val="50000"/>
          </a:srgbClr>
        </a:solidFill>
      </xdr:spPr>
    </xdr:sp>
    <xdr:clientData/>
  </xdr:twoCellAnchor>
  <xdr:twoCellAnchor editAs="oneCell">
    <xdr:from>
      <xdr:col>8</xdr:col>
      <xdr:colOff>0</xdr:colOff>
      <xdr:row>4050</xdr:row>
      <xdr:rowOff>143814</xdr:rowOff>
    </xdr:from>
    <xdr:to>
      <xdr:col>8</xdr:col>
      <xdr:colOff>17145</xdr:colOff>
      <xdr:row>4050</xdr:row>
      <xdr:rowOff>160959</xdr:rowOff>
    </xdr:to>
    <xdr:sp macro="" textlink="">
      <xdr:nvSpPr>
        <xdr:cNvPr id="188" name="Shape 369">
          <a:extLst>
            <a:ext uri="{FF2B5EF4-FFF2-40B4-BE49-F238E27FC236}">
              <a16:creationId xmlns:a16="http://schemas.microsoft.com/office/drawing/2014/main" id="{00000000-0008-0000-0700-0000BC000000}"/>
            </a:ext>
          </a:extLst>
        </xdr:cNvPr>
        <xdr:cNvSpPr/>
      </xdr:nvSpPr>
      <xdr:spPr>
        <a:xfrm>
          <a:off x="16363645" y="991639164"/>
          <a:ext cx="20955" cy="19050"/>
        </a:xfrm>
        <a:custGeom>
          <a:avLst/>
          <a:gdLst/>
          <a:ahLst/>
          <a:cxnLst/>
          <a:rect l="0" t="0" r="0" b="0"/>
          <a:pathLst>
            <a:path w="20955" h="17145">
              <a:moveTo>
                <a:pt x="20815" y="1587"/>
              </a:moveTo>
              <a:lnTo>
                <a:pt x="20815" y="1371"/>
              </a:lnTo>
              <a:lnTo>
                <a:pt x="18830" y="0"/>
              </a:lnTo>
              <a:lnTo>
                <a:pt x="1920" y="0"/>
              </a:lnTo>
              <a:lnTo>
                <a:pt x="0" y="1353"/>
              </a:lnTo>
              <a:lnTo>
                <a:pt x="0" y="13455"/>
              </a:lnTo>
              <a:lnTo>
                <a:pt x="4896" y="17005"/>
              </a:lnTo>
              <a:lnTo>
                <a:pt x="5168" y="17005"/>
              </a:lnTo>
              <a:lnTo>
                <a:pt x="5168" y="4063"/>
              </a:lnTo>
              <a:lnTo>
                <a:pt x="7289" y="1587"/>
              </a:lnTo>
              <a:lnTo>
                <a:pt x="20815" y="1587"/>
              </a:lnTo>
              <a:close/>
            </a:path>
            <a:path w="20955" h="17145">
              <a:moveTo>
                <a:pt x="20815" y="13436"/>
              </a:moveTo>
              <a:lnTo>
                <a:pt x="7289" y="13347"/>
              </a:lnTo>
              <a:lnTo>
                <a:pt x="5168" y="10744"/>
              </a:lnTo>
              <a:lnTo>
                <a:pt x="5168" y="17005"/>
              </a:lnTo>
              <a:lnTo>
                <a:pt x="15794" y="17005"/>
              </a:lnTo>
              <a:lnTo>
                <a:pt x="20815" y="13436"/>
              </a:lnTo>
              <a:close/>
            </a:path>
            <a:path w="20955" h="17145">
              <a:moveTo>
                <a:pt x="20815" y="13347"/>
              </a:moveTo>
              <a:lnTo>
                <a:pt x="20815" y="1587"/>
              </a:lnTo>
              <a:lnTo>
                <a:pt x="13703" y="1587"/>
              </a:lnTo>
              <a:lnTo>
                <a:pt x="15735" y="4063"/>
              </a:lnTo>
              <a:lnTo>
                <a:pt x="15735" y="13347"/>
              </a:lnTo>
              <a:lnTo>
                <a:pt x="20815" y="13347"/>
              </a:lnTo>
              <a:close/>
            </a:path>
            <a:path w="20955" h="17145">
              <a:moveTo>
                <a:pt x="15735" y="13347"/>
              </a:moveTo>
              <a:lnTo>
                <a:pt x="15735" y="10744"/>
              </a:lnTo>
              <a:lnTo>
                <a:pt x="13703" y="13347"/>
              </a:lnTo>
              <a:lnTo>
                <a:pt x="15735" y="13347"/>
              </a:lnTo>
              <a:close/>
            </a:path>
          </a:pathLst>
        </a:custGeom>
        <a:solidFill>
          <a:srgbClr val="131413">
            <a:alpha val="50000"/>
          </a:srgbClr>
        </a:solidFill>
      </xdr:spPr>
    </xdr:sp>
    <xdr:clientData/>
  </xdr:twoCellAnchor>
  <xdr:twoCellAnchor editAs="oneCell">
    <xdr:from>
      <xdr:col>8</xdr:col>
      <xdr:colOff>0</xdr:colOff>
      <xdr:row>4005</xdr:row>
      <xdr:rowOff>144113</xdr:rowOff>
    </xdr:from>
    <xdr:to>
      <xdr:col>8</xdr:col>
      <xdr:colOff>28575</xdr:colOff>
      <xdr:row>4005</xdr:row>
      <xdr:rowOff>160623</xdr:rowOff>
    </xdr:to>
    <xdr:sp macro="" textlink="">
      <xdr:nvSpPr>
        <xdr:cNvPr id="191" name="Shape 373">
          <a:extLst>
            <a:ext uri="{FF2B5EF4-FFF2-40B4-BE49-F238E27FC236}">
              <a16:creationId xmlns:a16="http://schemas.microsoft.com/office/drawing/2014/main" id="{00000000-0008-0000-0700-0000BF000000}"/>
            </a:ext>
          </a:extLst>
        </xdr:cNvPr>
        <xdr:cNvSpPr/>
      </xdr:nvSpPr>
      <xdr:spPr>
        <a:xfrm>
          <a:off x="16792892" y="1046436788"/>
          <a:ext cx="26670" cy="18415"/>
        </a:xfrm>
        <a:custGeom>
          <a:avLst/>
          <a:gdLst/>
          <a:ahLst/>
          <a:cxnLst/>
          <a:rect l="0" t="0" r="0" b="0"/>
          <a:pathLst>
            <a:path w="20955" h="16510">
              <a:moveTo>
                <a:pt x="20739" y="596"/>
              </a:moveTo>
              <a:lnTo>
                <a:pt x="20739" y="393"/>
              </a:lnTo>
              <a:lnTo>
                <a:pt x="20169" y="0"/>
              </a:lnTo>
              <a:lnTo>
                <a:pt x="468" y="0"/>
              </a:lnTo>
              <a:lnTo>
                <a:pt x="0" y="330"/>
              </a:lnTo>
              <a:lnTo>
                <a:pt x="0" y="12523"/>
              </a:lnTo>
              <a:lnTo>
                <a:pt x="4978" y="16141"/>
              </a:lnTo>
              <a:lnTo>
                <a:pt x="5092" y="3086"/>
              </a:lnTo>
              <a:lnTo>
                <a:pt x="7213" y="596"/>
              </a:lnTo>
              <a:lnTo>
                <a:pt x="20739" y="596"/>
              </a:lnTo>
              <a:close/>
            </a:path>
            <a:path w="20955" h="16510">
              <a:moveTo>
                <a:pt x="20739" y="12458"/>
              </a:moveTo>
              <a:lnTo>
                <a:pt x="7213" y="12357"/>
              </a:lnTo>
              <a:lnTo>
                <a:pt x="5092" y="9766"/>
              </a:lnTo>
              <a:lnTo>
                <a:pt x="5092" y="16141"/>
              </a:lnTo>
              <a:lnTo>
                <a:pt x="15646" y="16078"/>
              </a:lnTo>
              <a:lnTo>
                <a:pt x="20739" y="12458"/>
              </a:lnTo>
              <a:close/>
            </a:path>
            <a:path w="20955" h="16510">
              <a:moveTo>
                <a:pt x="20739" y="12357"/>
              </a:moveTo>
              <a:lnTo>
                <a:pt x="20739" y="596"/>
              </a:lnTo>
              <a:lnTo>
                <a:pt x="13627" y="596"/>
              </a:lnTo>
              <a:lnTo>
                <a:pt x="15646" y="3086"/>
              </a:lnTo>
              <a:lnTo>
                <a:pt x="15646" y="12357"/>
              </a:lnTo>
              <a:lnTo>
                <a:pt x="20739" y="12357"/>
              </a:lnTo>
              <a:close/>
            </a:path>
            <a:path w="20955" h="16510">
              <a:moveTo>
                <a:pt x="15646" y="12357"/>
              </a:moveTo>
              <a:lnTo>
                <a:pt x="15646" y="9766"/>
              </a:lnTo>
              <a:lnTo>
                <a:pt x="13627" y="12357"/>
              </a:lnTo>
              <a:lnTo>
                <a:pt x="15646" y="12357"/>
              </a:lnTo>
              <a:close/>
            </a:path>
          </a:pathLst>
        </a:custGeom>
        <a:solidFill>
          <a:srgbClr val="131413">
            <a:alpha val="50000"/>
          </a:srgbClr>
        </a:solidFill>
      </xdr:spPr>
    </xdr:sp>
    <xdr:clientData/>
  </xdr:twoCellAnchor>
  <xdr:twoCellAnchor editAs="oneCell">
    <xdr:from>
      <xdr:col>8</xdr:col>
      <xdr:colOff>0</xdr:colOff>
      <xdr:row>748</xdr:row>
      <xdr:rowOff>134461</xdr:rowOff>
    </xdr:from>
    <xdr:to>
      <xdr:col>8</xdr:col>
      <xdr:colOff>17780</xdr:colOff>
      <xdr:row>748</xdr:row>
      <xdr:rowOff>134461</xdr:rowOff>
    </xdr:to>
    <xdr:sp macro="" textlink="">
      <xdr:nvSpPr>
        <xdr:cNvPr id="194" name="Shape 387">
          <a:extLst>
            <a:ext uri="{FF2B5EF4-FFF2-40B4-BE49-F238E27FC236}">
              <a16:creationId xmlns:a16="http://schemas.microsoft.com/office/drawing/2014/main" id="{00000000-0008-0000-0700-0000C2000000}"/>
            </a:ext>
          </a:extLst>
        </xdr:cNvPr>
        <xdr:cNvSpPr/>
      </xdr:nvSpPr>
      <xdr:spPr>
        <a:xfrm>
          <a:off x="16440035" y="1100681536"/>
          <a:ext cx="17780" cy="0"/>
        </a:xfrm>
        <a:custGeom>
          <a:avLst/>
          <a:gdLst/>
          <a:ahLst/>
          <a:cxnLst/>
          <a:rect l="0" t="0" r="0" b="0"/>
          <a:pathLst>
            <a:path w="13970" h="3810">
              <a:moveTo>
                <a:pt x="13538" y="3682"/>
              </a:moveTo>
              <a:lnTo>
                <a:pt x="13538" y="0"/>
              </a:lnTo>
              <a:lnTo>
                <a:pt x="9029" y="1523"/>
              </a:lnTo>
              <a:lnTo>
                <a:pt x="4686" y="2717"/>
              </a:lnTo>
              <a:lnTo>
                <a:pt x="0" y="3435"/>
              </a:lnTo>
              <a:lnTo>
                <a:pt x="0" y="3682"/>
              </a:lnTo>
              <a:lnTo>
                <a:pt x="13538" y="3682"/>
              </a:lnTo>
              <a:close/>
            </a:path>
          </a:pathLst>
        </a:custGeom>
        <a:solidFill>
          <a:srgbClr val="131413"/>
        </a:solidFill>
      </xdr:spPr>
    </xdr:sp>
    <xdr:clientData/>
  </xdr:twoCellAnchor>
  <xdr:twoCellAnchor editAs="oneCell">
    <xdr:from>
      <xdr:col>8</xdr:col>
      <xdr:colOff>0</xdr:colOff>
      <xdr:row>762</xdr:row>
      <xdr:rowOff>134461</xdr:rowOff>
    </xdr:from>
    <xdr:to>
      <xdr:col>8</xdr:col>
      <xdr:colOff>17780</xdr:colOff>
      <xdr:row>762</xdr:row>
      <xdr:rowOff>134461</xdr:rowOff>
    </xdr:to>
    <xdr:sp macro="" textlink="">
      <xdr:nvSpPr>
        <xdr:cNvPr id="195" name="Shape 388">
          <a:extLst>
            <a:ext uri="{FF2B5EF4-FFF2-40B4-BE49-F238E27FC236}">
              <a16:creationId xmlns:a16="http://schemas.microsoft.com/office/drawing/2014/main" id="{00000000-0008-0000-0700-0000C3000000}"/>
            </a:ext>
          </a:extLst>
        </xdr:cNvPr>
        <xdr:cNvSpPr/>
      </xdr:nvSpPr>
      <xdr:spPr>
        <a:xfrm>
          <a:off x="16641127" y="1100681536"/>
          <a:ext cx="19685" cy="0"/>
        </a:xfrm>
        <a:custGeom>
          <a:avLst/>
          <a:gdLst/>
          <a:ahLst/>
          <a:cxnLst/>
          <a:rect l="0" t="0" r="0" b="0"/>
          <a:pathLst>
            <a:path w="13970" h="3810">
              <a:moveTo>
                <a:pt x="13563" y="3682"/>
              </a:moveTo>
              <a:lnTo>
                <a:pt x="13563" y="0"/>
              </a:lnTo>
              <a:lnTo>
                <a:pt x="9055" y="1523"/>
              </a:lnTo>
              <a:lnTo>
                <a:pt x="4724" y="2717"/>
              </a:lnTo>
              <a:lnTo>
                <a:pt x="0" y="3441"/>
              </a:lnTo>
              <a:lnTo>
                <a:pt x="0" y="3682"/>
              </a:lnTo>
              <a:lnTo>
                <a:pt x="13563" y="3682"/>
              </a:lnTo>
              <a:close/>
            </a:path>
          </a:pathLst>
        </a:custGeom>
        <a:solidFill>
          <a:srgbClr val="131413"/>
        </a:solidFill>
      </xdr:spPr>
    </xdr:sp>
    <xdr:clientData/>
  </xdr:twoCellAnchor>
  <xdr:twoCellAnchor editAs="oneCell">
    <xdr:from>
      <xdr:col>8</xdr:col>
      <xdr:colOff>0</xdr:colOff>
      <xdr:row>1716</xdr:row>
      <xdr:rowOff>258946</xdr:rowOff>
    </xdr:from>
    <xdr:to>
      <xdr:col>8</xdr:col>
      <xdr:colOff>29845</xdr:colOff>
      <xdr:row>1717</xdr:row>
      <xdr:rowOff>11296</xdr:rowOff>
    </xdr:to>
    <xdr:sp macro="" textlink="">
      <xdr:nvSpPr>
        <xdr:cNvPr id="200" name="Shape 400">
          <a:extLst>
            <a:ext uri="{FF2B5EF4-FFF2-40B4-BE49-F238E27FC236}">
              <a16:creationId xmlns:a16="http://schemas.microsoft.com/office/drawing/2014/main" id="{00000000-0008-0000-0700-0000C8000000}"/>
            </a:ext>
          </a:extLst>
        </xdr:cNvPr>
        <xdr:cNvSpPr/>
      </xdr:nvSpPr>
      <xdr:spPr>
        <a:xfrm>
          <a:off x="15889503" y="1158013171"/>
          <a:ext cx="26035" cy="9525"/>
        </a:xfrm>
        <a:custGeom>
          <a:avLst/>
          <a:gdLst/>
          <a:ahLst/>
          <a:cxnLst/>
          <a:rect l="0" t="0" r="0" b="0"/>
          <a:pathLst>
            <a:path w="29845" h="11430">
              <a:moveTo>
                <a:pt x="29616" y="9023"/>
              </a:moveTo>
              <a:lnTo>
                <a:pt x="29616" y="2523"/>
              </a:lnTo>
              <a:lnTo>
                <a:pt x="27241" y="0"/>
              </a:lnTo>
              <a:lnTo>
                <a:pt x="20739" y="0"/>
              </a:lnTo>
              <a:lnTo>
                <a:pt x="18491" y="2590"/>
              </a:lnTo>
              <a:lnTo>
                <a:pt x="18491" y="8966"/>
              </a:lnTo>
              <a:lnTo>
                <a:pt x="20739" y="11150"/>
              </a:lnTo>
              <a:lnTo>
                <a:pt x="27241" y="11150"/>
              </a:lnTo>
              <a:lnTo>
                <a:pt x="29616" y="9023"/>
              </a:lnTo>
              <a:close/>
            </a:path>
            <a:path w="29845" h="11430">
              <a:moveTo>
                <a:pt x="11175" y="8966"/>
              </a:moveTo>
              <a:lnTo>
                <a:pt x="11175" y="2590"/>
              </a:lnTo>
              <a:lnTo>
                <a:pt x="8839" y="0"/>
              </a:lnTo>
              <a:lnTo>
                <a:pt x="2336" y="0"/>
              </a:lnTo>
              <a:lnTo>
                <a:pt x="0" y="2590"/>
              </a:lnTo>
              <a:lnTo>
                <a:pt x="0" y="8966"/>
              </a:lnTo>
              <a:lnTo>
                <a:pt x="2336" y="11150"/>
              </a:lnTo>
              <a:lnTo>
                <a:pt x="8839" y="11150"/>
              </a:lnTo>
              <a:lnTo>
                <a:pt x="11175" y="8966"/>
              </a:lnTo>
              <a:close/>
            </a:path>
          </a:pathLst>
        </a:custGeom>
        <a:solidFill>
          <a:srgbClr val="131413">
            <a:alpha val="50000"/>
          </a:srgbClr>
        </a:solidFill>
      </xdr:spPr>
    </xdr:sp>
    <xdr:clientData/>
  </xdr:twoCellAnchor>
  <xdr:twoCellAnchor editAs="oneCell">
    <xdr:from>
      <xdr:col>8</xdr:col>
      <xdr:colOff>0</xdr:colOff>
      <xdr:row>1157</xdr:row>
      <xdr:rowOff>266973</xdr:rowOff>
    </xdr:from>
    <xdr:to>
      <xdr:col>8</xdr:col>
      <xdr:colOff>8255</xdr:colOff>
      <xdr:row>1159</xdr:row>
      <xdr:rowOff>77108</xdr:rowOff>
    </xdr:to>
    <xdr:sp macro="" textlink="">
      <xdr:nvSpPr>
        <xdr:cNvPr id="202" name="Shape 411">
          <a:extLst>
            <a:ext uri="{FF2B5EF4-FFF2-40B4-BE49-F238E27FC236}">
              <a16:creationId xmlns:a16="http://schemas.microsoft.com/office/drawing/2014/main" id="{00000000-0008-0000-0700-0000CA000000}"/>
            </a:ext>
          </a:extLst>
        </xdr:cNvPr>
        <xdr:cNvSpPr/>
      </xdr:nvSpPr>
      <xdr:spPr>
        <a:xfrm>
          <a:off x="15745955" y="1163545698"/>
          <a:ext cx="10160" cy="286385"/>
        </a:xfrm>
        <a:custGeom>
          <a:avLst/>
          <a:gdLst/>
          <a:ahLst/>
          <a:cxnLst/>
          <a:rect l="0" t="0" r="0" b="0"/>
          <a:pathLst>
            <a:path w="12065" h="8255">
              <a:moveTo>
                <a:pt x="11720" y="0"/>
              </a:moveTo>
              <a:lnTo>
                <a:pt x="3954" y="0"/>
              </a:lnTo>
              <a:lnTo>
                <a:pt x="0" y="5460"/>
              </a:lnTo>
              <a:lnTo>
                <a:pt x="2641" y="7658"/>
              </a:lnTo>
              <a:lnTo>
                <a:pt x="11720" y="0"/>
              </a:lnTo>
              <a:close/>
            </a:path>
          </a:pathLst>
        </a:custGeom>
        <a:solidFill>
          <a:srgbClr val="131413">
            <a:alpha val="50000"/>
          </a:srgbClr>
        </a:solidFill>
      </xdr:spPr>
    </xdr:sp>
    <xdr:clientData/>
  </xdr:twoCellAnchor>
  <xdr:twoCellAnchor editAs="oneCell">
    <xdr:from>
      <xdr:col>8</xdr:col>
      <xdr:colOff>0</xdr:colOff>
      <xdr:row>1149</xdr:row>
      <xdr:rowOff>256165</xdr:rowOff>
    </xdr:from>
    <xdr:to>
      <xdr:col>8</xdr:col>
      <xdr:colOff>17780</xdr:colOff>
      <xdr:row>1151</xdr:row>
      <xdr:rowOff>105670</xdr:rowOff>
    </xdr:to>
    <xdr:sp macro="" textlink="">
      <xdr:nvSpPr>
        <xdr:cNvPr id="203" name="Shape 412">
          <a:extLst>
            <a:ext uri="{FF2B5EF4-FFF2-40B4-BE49-F238E27FC236}">
              <a16:creationId xmlns:a16="http://schemas.microsoft.com/office/drawing/2014/main" id="{00000000-0008-0000-0700-0000CB000000}"/>
            </a:ext>
          </a:extLst>
        </xdr:cNvPr>
        <xdr:cNvSpPr/>
      </xdr:nvSpPr>
      <xdr:spPr>
        <a:xfrm>
          <a:off x="15936633" y="1163534890"/>
          <a:ext cx="15875" cy="316230"/>
        </a:xfrm>
        <a:custGeom>
          <a:avLst/>
          <a:gdLst/>
          <a:ahLst/>
          <a:cxnLst/>
          <a:rect l="0" t="0" r="0" b="0"/>
          <a:pathLst>
            <a:path w="17780" h="13335">
              <a:moveTo>
                <a:pt x="17779" y="0"/>
              </a:moveTo>
              <a:lnTo>
                <a:pt x="7642" y="0"/>
              </a:lnTo>
              <a:lnTo>
                <a:pt x="0" y="10553"/>
              </a:lnTo>
              <a:lnTo>
                <a:pt x="2626" y="12738"/>
              </a:lnTo>
              <a:lnTo>
                <a:pt x="17170" y="495"/>
              </a:lnTo>
              <a:lnTo>
                <a:pt x="17779" y="0"/>
              </a:lnTo>
              <a:close/>
            </a:path>
          </a:pathLst>
        </a:custGeom>
        <a:solidFill>
          <a:srgbClr val="131413">
            <a:alpha val="50000"/>
          </a:srgbClr>
        </a:solidFill>
      </xdr:spPr>
    </xdr:sp>
    <xdr:clientData/>
  </xdr:twoCellAnchor>
  <xdr:twoCellAnchor editAs="oneCell">
    <xdr:from>
      <xdr:col>8</xdr:col>
      <xdr:colOff>0</xdr:colOff>
      <xdr:row>1147</xdr:row>
      <xdr:rowOff>144151</xdr:rowOff>
    </xdr:from>
    <xdr:to>
      <xdr:col>8</xdr:col>
      <xdr:colOff>19050</xdr:colOff>
      <xdr:row>1147</xdr:row>
      <xdr:rowOff>161296</xdr:rowOff>
    </xdr:to>
    <xdr:sp macro="" textlink="">
      <xdr:nvSpPr>
        <xdr:cNvPr id="204" name="Shape 424">
          <a:extLst>
            <a:ext uri="{FF2B5EF4-FFF2-40B4-BE49-F238E27FC236}">
              <a16:creationId xmlns:a16="http://schemas.microsoft.com/office/drawing/2014/main" id="{00000000-0008-0000-0700-0000CC000000}"/>
            </a:ext>
          </a:extLst>
        </xdr:cNvPr>
        <xdr:cNvSpPr/>
      </xdr:nvSpPr>
      <xdr:spPr>
        <a:xfrm>
          <a:off x="16364089" y="1218315451"/>
          <a:ext cx="19050" cy="19050"/>
        </a:xfrm>
        <a:custGeom>
          <a:avLst/>
          <a:gdLst/>
          <a:ahLst/>
          <a:cxnLst/>
          <a:rect l="0" t="0" r="0" b="0"/>
          <a:pathLst>
            <a:path w="19050" h="17145">
              <a:moveTo>
                <a:pt x="18643" y="14523"/>
              </a:moveTo>
              <a:lnTo>
                <a:pt x="18643" y="14329"/>
              </a:lnTo>
              <a:lnTo>
                <a:pt x="8266" y="0"/>
              </a:lnTo>
              <a:lnTo>
                <a:pt x="1460" y="105"/>
              </a:lnTo>
              <a:lnTo>
                <a:pt x="0" y="1014"/>
              </a:lnTo>
              <a:lnTo>
                <a:pt x="0" y="3137"/>
              </a:lnTo>
              <a:lnTo>
                <a:pt x="1460" y="4394"/>
              </a:lnTo>
              <a:lnTo>
                <a:pt x="15838" y="16522"/>
              </a:lnTo>
              <a:lnTo>
                <a:pt x="16147" y="16522"/>
              </a:lnTo>
              <a:lnTo>
                <a:pt x="18643" y="14523"/>
              </a:lnTo>
              <a:close/>
            </a:path>
          </a:pathLst>
        </a:custGeom>
        <a:solidFill>
          <a:srgbClr val="131413">
            <a:alpha val="50000"/>
          </a:srgbClr>
        </a:solidFill>
      </xdr:spPr>
    </xdr:sp>
    <xdr:clientData/>
  </xdr:twoCellAnchor>
  <xdr:twoCellAnchor editAs="oneCell">
    <xdr:from>
      <xdr:col>8</xdr:col>
      <xdr:colOff>0</xdr:colOff>
      <xdr:row>2202</xdr:row>
      <xdr:rowOff>154222</xdr:rowOff>
    </xdr:from>
    <xdr:to>
      <xdr:col>8</xdr:col>
      <xdr:colOff>27940</xdr:colOff>
      <xdr:row>2202</xdr:row>
      <xdr:rowOff>163112</xdr:rowOff>
    </xdr:to>
    <xdr:sp macro="" textlink="">
      <xdr:nvSpPr>
        <xdr:cNvPr id="215" name="Shape 449">
          <a:extLst>
            <a:ext uri="{FF2B5EF4-FFF2-40B4-BE49-F238E27FC236}">
              <a16:creationId xmlns:a16="http://schemas.microsoft.com/office/drawing/2014/main" id="{00000000-0008-0000-0700-0000D7000000}"/>
            </a:ext>
          </a:extLst>
        </xdr:cNvPr>
        <xdr:cNvSpPr/>
      </xdr:nvSpPr>
      <xdr:spPr>
        <a:xfrm>
          <a:off x="15743910" y="1261140397"/>
          <a:ext cx="29845" cy="8890"/>
        </a:xfrm>
        <a:custGeom>
          <a:avLst/>
          <a:gdLst/>
          <a:ahLst/>
          <a:cxnLst/>
          <a:rect l="0" t="0" r="0" b="0"/>
          <a:pathLst>
            <a:path w="24130" h="8890">
              <a:moveTo>
                <a:pt x="10472" y="0"/>
              </a:moveTo>
              <a:lnTo>
                <a:pt x="4286" y="0"/>
              </a:lnTo>
              <a:lnTo>
                <a:pt x="3848" y="673"/>
              </a:lnTo>
              <a:lnTo>
                <a:pt x="0" y="6057"/>
              </a:lnTo>
              <a:lnTo>
                <a:pt x="3441" y="8343"/>
              </a:lnTo>
              <a:lnTo>
                <a:pt x="6502" y="4762"/>
              </a:lnTo>
              <a:lnTo>
                <a:pt x="9550" y="1282"/>
              </a:lnTo>
              <a:lnTo>
                <a:pt x="10472" y="0"/>
              </a:lnTo>
              <a:close/>
            </a:path>
            <a:path w="24130" h="8890">
              <a:moveTo>
                <a:pt x="23952" y="6074"/>
              </a:moveTo>
              <a:lnTo>
                <a:pt x="20116" y="673"/>
              </a:lnTo>
              <a:lnTo>
                <a:pt x="19692" y="0"/>
              </a:lnTo>
              <a:lnTo>
                <a:pt x="13567" y="0"/>
              </a:lnTo>
              <a:lnTo>
                <a:pt x="14528" y="1282"/>
              </a:lnTo>
              <a:lnTo>
                <a:pt x="20523" y="8343"/>
              </a:lnTo>
              <a:lnTo>
                <a:pt x="23952" y="6074"/>
              </a:lnTo>
              <a:close/>
            </a:path>
          </a:pathLst>
        </a:custGeom>
        <a:solidFill>
          <a:srgbClr val="131413">
            <a:alpha val="50000"/>
          </a:srgbClr>
        </a:solidFill>
      </xdr:spPr>
    </xdr:sp>
    <xdr:clientData/>
  </xdr:twoCellAnchor>
  <xdr:twoCellAnchor editAs="oneCell">
    <xdr:from>
      <xdr:col>8</xdr:col>
      <xdr:colOff>0</xdr:colOff>
      <xdr:row>2186</xdr:row>
      <xdr:rowOff>266617</xdr:rowOff>
    </xdr:from>
    <xdr:to>
      <xdr:col>8</xdr:col>
      <xdr:colOff>27940</xdr:colOff>
      <xdr:row>2187</xdr:row>
      <xdr:rowOff>115487</xdr:rowOff>
    </xdr:to>
    <xdr:sp macro="" textlink="">
      <xdr:nvSpPr>
        <xdr:cNvPr id="216" name="Shape 450">
          <a:extLst>
            <a:ext uri="{FF2B5EF4-FFF2-40B4-BE49-F238E27FC236}">
              <a16:creationId xmlns:a16="http://schemas.microsoft.com/office/drawing/2014/main" id="{00000000-0008-0000-0700-0000D8000000}"/>
            </a:ext>
          </a:extLst>
        </xdr:cNvPr>
        <xdr:cNvSpPr/>
      </xdr:nvSpPr>
      <xdr:spPr>
        <a:xfrm>
          <a:off x="15743910" y="1261252792"/>
          <a:ext cx="29845" cy="115570"/>
        </a:xfrm>
        <a:custGeom>
          <a:avLst/>
          <a:gdLst/>
          <a:ahLst/>
          <a:cxnLst/>
          <a:rect l="0" t="0" r="0" b="0"/>
          <a:pathLst>
            <a:path w="24130" h="8890">
              <a:moveTo>
                <a:pt x="10578" y="0"/>
              </a:moveTo>
              <a:lnTo>
                <a:pt x="4385" y="0"/>
              </a:lnTo>
              <a:lnTo>
                <a:pt x="3848" y="825"/>
              </a:lnTo>
              <a:lnTo>
                <a:pt x="0" y="6210"/>
              </a:lnTo>
              <a:lnTo>
                <a:pt x="3403" y="8470"/>
              </a:lnTo>
              <a:lnTo>
                <a:pt x="6502" y="4902"/>
              </a:lnTo>
              <a:lnTo>
                <a:pt x="9550" y="1435"/>
              </a:lnTo>
              <a:lnTo>
                <a:pt x="10578" y="0"/>
              </a:lnTo>
              <a:close/>
            </a:path>
            <a:path w="24130" h="8890">
              <a:moveTo>
                <a:pt x="23952" y="6227"/>
              </a:moveTo>
              <a:lnTo>
                <a:pt x="20116" y="825"/>
              </a:lnTo>
              <a:lnTo>
                <a:pt x="19597" y="0"/>
              </a:lnTo>
              <a:lnTo>
                <a:pt x="13457" y="0"/>
              </a:lnTo>
              <a:lnTo>
                <a:pt x="14528" y="1435"/>
              </a:lnTo>
              <a:lnTo>
                <a:pt x="20501" y="8470"/>
              </a:lnTo>
              <a:lnTo>
                <a:pt x="23952" y="6227"/>
              </a:lnTo>
              <a:close/>
            </a:path>
          </a:pathLst>
        </a:custGeom>
        <a:solidFill>
          <a:srgbClr val="131413">
            <a:alpha val="50000"/>
          </a:srgbClr>
        </a:solidFill>
      </xdr:spPr>
    </xdr:sp>
    <xdr:clientData/>
  </xdr:twoCellAnchor>
  <xdr:twoCellAnchor editAs="oneCell">
    <xdr:from>
      <xdr:col>8</xdr:col>
      <xdr:colOff>0</xdr:colOff>
      <xdr:row>4015</xdr:row>
      <xdr:rowOff>151580</xdr:rowOff>
    </xdr:from>
    <xdr:to>
      <xdr:col>8</xdr:col>
      <xdr:colOff>29845</xdr:colOff>
      <xdr:row>4015</xdr:row>
      <xdr:rowOff>163010</xdr:rowOff>
    </xdr:to>
    <xdr:sp macro="" textlink="">
      <xdr:nvSpPr>
        <xdr:cNvPr id="223" name="Shape 462">
          <a:extLst>
            <a:ext uri="{FF2B5EF4-FFF2-40B4-BE49-F238E27FC236}">
              <a16:creationId xmlns:a16="http://schemas.microsoft.com/office/drawing/2014/main" id="{00000000-0008-0000-0700-0000DF000000}"/>
            </a:ext>
          </a:extLst>
        </xdr:cNvPr>
        <xdr:cNvSpPr/>
      </xdr:nvSpPr>
      <xdr:spPr>
        <a:xfrm>
          <a:off x="15791688" y="1325088605"/>
          <a:ext cx="29845" cy="11430"/>
        </a:xfrm>
        <a:custGeom>
          <a:avLst/>
          <a:gdLst/>
          <a:ahLst/>
          <a:cxnLst/>
          <a:rect l="0" t="0" r="0" b="0"/>
          <a:pathLst>
            <a:path w="29845" h="11430">
              <a:moveTo>
                <a:pt x="29654" y="8826"/>
              </a:moveTo>
              <a:lnTo>
                <a:pt x="29654" y="2451"/>
              </a:lnTo>
              <a:lnTo>
                <a:pt x="27336" y="0"/>
              </a:lnTo>
              <a:lnTo>
                <a:pt x="20603" y="0"/>
              </a:lnTo>
              <a:lnTo>
                <a:pt x="18478" y="2451"/>
              </a:lnTo>
              <a:lnTo>
                <a:pt x="18478" y="8826"/>
              </a:lnTo>
              <a:lnTo>
                <a:pt x="20603" y="10915"/>
              </a:lnTo>
              <a:lnTo>
                <a:pt x="27336" y="10915"/>
              </a:lnTo>
              <a:lnTo>
                <a:pt x="29654" y="8826"/>
              </a:lnTo>
              <a:close/>
            </a:path>
            <a:path w="29845" h="11430">
              <a:moveTo>
                <a:pt x="11150" y="8826"/>
              </a:moveTo>
              <a:lnTo>
                <a:pt x="11150" y="2451"/>
              </a:lnTo>
              <a:lnTo>
                <a:pt x="8928" y="0"/>
              </a:lnTo>
              <a:lnTo>
                <a:pt x="2196" y="0"/>
              </a:lnTo>
              <a:lnTo>
                <a:pt x="0" y="2423"/>
              </a:lnTo>
              <a:lnTo>
                <a:pt x="0" y="8850"/>
              </a:lnTo>
              <a:lnTo>
                <a:pt x="2196" y="10915"/>
              </a:lnTo>
              <a:lnTo>
                <a:pt x="8928" y="10915"/>
              </a:lnTo>
              <a:lnTo>
                <a:pt x="11150" y="8826"/>
              </a:lnTo>
              <a:close/>
            </a:path>
          </a:pathLst>
        </a:custGeom>
        <a:solidFill>
          <a:srgbClr val="131413">
            <a:alpha val="50000"/>
          </a:srgbClr>
        </a:solidFill>
      </xdr:spPr>
    </xdr:sp>
    <xdr:clientData/>
  </xdr:twoCellAnchor>
  <xdr:twoCellAnchor editAs="oneCell">
    <xdr:from>
      <xdr:col>8</xdr:col>
      <xdr:colOff>0</xdr:colOff>
      <xdr:row>4071</xdr:row>
      <xdr:rowOff>144151</xdr:rowOff>
    </xdr:from>
    <xdr:to>
      <xdr:col>8</xdr:col>
      <xdr:colOff>17145</xdr:colOff>
      <xdr:row>4071</xdr:row>
      <xdr:rowOff>160661</xdr:rowOff>
    </xdr:to>
    <xdr:sp macro="" textlink="">
      <xdr:nvSpPr>
        <xdr:cNvPr id="233" name="Shape 476">
          <a:extLst>
            <a:ext uri="{FF2B5EF4-FFF2-40B4-BE49-F238E27FC236}">
              <a16:creationId xmlns:a16="http://schemas.microsoft.com/office/drawing/2014/main" id="{00000000-0008-0000-0700-0000E9000000}"/>
            </a:ext>
          </a:extLst>
        </xdr:cNvPr>
        <xdr:cNvSpPr/>
      </xdr:nvSpPr>
      <xdr:spPr>
        <a:xfrm>
          <a:off x="16240150" y="1364095576"/>
          <a:ext cx="19050" cy="18415"/>
        </a:xfrm>
        <a:custGeom>
          <a:avLst/>
          <a:gdLst/>
          <a:ahLst/>
          <a:cxnLst/>
          <a:rect l="0" t="0" r="0" b="0"/>
          <a:pathLst>
            <a:path w="20955" h="16510">
              <a:moveTo>
                <a:pt x="20751" y="736"/>
              </a:moveTo>
              <a:lnTo>
                <a:pt x="20751" y="476"/>
              </a:lnTo>
              <a:lnTo>
                <a:pt x="20063" y="0"/>
              </a:lnTo>
              <a:lnTo>
                <a:pt x="736" y="0"/>
              </a:lnTo>
              <a:lnTo>
                <a:pt x="0" y="520"/>
              </a:lnTo>
              <a:lnTo>
                <a:pt x="0" y="12585"/>
              </a:lnTo>
              <a:lnTo>
                <a:pt x="5067" y="16268"/>
              </a:lnTo>
              <a:lnTo>
                <a:pt x="5181" y="3213"/>
              </a:lnTo>
              <a:lnTo>
                <a:pt x="7302" y="736"/>
              </a:lnTo>
              <a:lnTo>
                <a:pt x="20751" y="736"/>
              </a:lnTo>
              <a:close/>
            </a:path>
            <a:path w="20955" h="16510">
              <a:moveTo>
                <a:pt x="20751" y="12630"/>
              </a:moveTo>
              <a:lnTo>
                <a:pt x="20751" y="12484"/>
              </a:lnTo>
              <a:lnTo>
                <a:pt x="7302" y="12484"/>
              </a:lnTo>
              <a:lnTo>
                <a:pt x="5181" y="9893"/>
              </a:lnTo>
              <a:lnTo>
                <a:pt x="5181" y="16268"/>
              </a:lnTo>
              <a:lnTo>
                <a:pt x="15735" y="16205"/>
              </a:lnTo>
              <a:lnTo>
                <a:pt x="20751" y="12630"/>
              </a:lnTo>
              <a:close/>
            </a:path>
            <a:path w="20955" h="16510">
              <a:moveTo>
                <a:pt x="20751" y="12484"/>
              </a:moveTo>
              <a:lnTo>
                <a:pt x="20751" y="736"/>
              </a:lnTo>
              <a:lnTo>
                <a:pt x="13715" y="736"/>
              </a:lnTo>
              <a:lnTo>
                <a:pt x="15735" y="3213"/>
              </a:lnTo>
              <a:lnTo>
                <a:pt x="15735" y="12484"/>
              </a:lnTo>
              <a:lnTo>
                <a:pt x="20751" y="12484"/>
              </a:lnTo>
              <a:close/>
            </a:path>
            <a:path w="20955" h="16510">
              <a:moveTo>
                <a:pt x="15735" y="12484"/>
              </a:moveTo>
              <a:lnTo>
                <a:pt x="15735" y="9893"/>
              </a:lnTo>
              <a:lnTo>
                <a:pt x="13715" y="12484"/>
              </a:lnTo>
              <a:lnTo>
                <a:pt x="15735" y="12484"/>
              </a:lnTo>
              <a:close/>
            </a:path>
          </a:pathLst>
        </a:custGeom>
        <a:solidFill>
          <a:srgbClr val="131413">
            <a:alpha val="50000"/>
          </a:srgbClr>
        </a:solidFill>
      </xdr:spPr>
    </xdr:sp>
    <xdr:clientData/>
  </xdr:twoCellAnchor>
  <xdr:twoCellAnchor editAs="oneCell">
    <xdr:from>
      <xdr:col>8</xdr:col>
      <xdr:colOff>0</xdr:colOff>
      <xdr:row>3346</xdr:row>
      <xdr:rowOff>267144</xdr:rowOff>
    </xdr:from>
    <xdr:to>
      <xdr:col>8</xdr:col>
      <xdr:colOff>26670</xdr:colOff>
      <xdr:row>3347</xdr:row>
      <xdr:rowOff>93789</xdr:rowOff>
    </xdr:to>
    <xdr:sp macro="" textlink="">
      <xdr:nvSpPr>
        <xdr:cNvPr id="234" name="Shape 478">
          <a:extLst>
            <a:ext uri="{FF2B5EF4-FFF2-40B4-BE49-F238E27FC236}">
              <a16:creationId xmlns:a16="http://schemas.microsoft.com/office/drawing/2014/main" id="{00000000-0008-0000-0700-0000EA000000}"/>
            </a:ext>
          </a:extLst>
        </xdr:cNvPr>
        <xdr:cNvSpPr/>
      </xdr:nvSpPr>
      <xdr:spPr>
        <a:xfrm>
          <a:off x="15753994" y="1393669869"/>
          <a:ext cx="30480" cy="102870"/>
        </a:xfrm>
        <a:custGeom>
          <a:avLst/>
          <a:gdLst/>
          <a:ahLst/>
          <a:cxnLst/>
          <a:rect l="0" t="0" r="0" b="0"/>
          <a:pathLst>
            <a:path w="26670" h="11430">
              <a:moveTo>
                <a:pt x="26390" y="11087"/>
              </a:moveTo>
              <a:lnTo>
                <a:pt x="26390" y="0"/>
              </a:lnTo>
              <a:lnTo>
                <a:pt x="20661" y="89"/>
              </a:lnTo>
              <a:lnTo>
                <a:pt x="18503" y="2590"/>
              </a:lnTo>
              <a:lnTo>
                <a:pt x="18503" y="8966"/>
              </a:lnTo>
              <a:lnTo>
                <a:pt x="20661" y="11087"/>
              </a:lnTo>
              <a:lnTo>
                <a:pt x="26390" y="11087"/>
              </a:lnTo>
              <a:close/>
            </a:path>
            <a:path w="26670" h="11430">
              <a:moveTo>
                <a:pt x="11175" y="8966"/>
              </a:moveTo>
              <a:lnTo>
                <a:pt x="11175" y="2590"/>
              </a:lnTo>
              <a:lnTo>
                <a:pt x="8920" y="89"/>
              </a:lnTo>
              <a:lnTo>
                <a:pt x="2255" y="89"/>
              </a:lnTo>
              <a:lnTo>
                <a:pt x="0" y="2590"/>
              </a:lnTo>
              <a:lnTo>
                <a:pt x="0" y="8966"/>
              </a:lnTo>
              <a:lnTo>
                <a:pt x="2255" y="11087"/>
              </a:lnTo>
              <a:lnTo>
                <a:pt x="8920" y="11087"/>
              </a:lnTo>
              <a:lnTo>
                <a:pt x="11175" y="8966"/>
              </a:lnTo>
              <a:close/>
            </a:path>
          </a:pathLst>
        </a:custGeom>
        <a:solidFill>
          <a:srgbClr val="131413">
            <a:alpha val="50000"/>
          </a:srgbClr>
        </a:solidFill>
      </xdr:spPr>
    </xdr:sp>
    <xdr:clientData/>
  </xdr:twoCellAnchor>
  <xdr:twoCellAnchor editAs="oneCell">
    <xdr:from>
      <xdr:col>8</xdr:col>
      <xdr:colOff>0</xdr:colOff>
      <xdr:row>1337</xdr:row>
      <xdr:rowOff>256165</xdr:rowOff>
    </xdr:from>
    <xdr:to>
      <xdr:col>8</xdr:col>
      <xdr:colOff>17780</xdr:colOff>
      <xdr:row>1339</xdr:row>
      <xdr:rowOff>895</xdr:rowOff>
    </xdr:to>
    <xdr:sp macro="" textlink="">
      <xdr:nvSpPr>
        <xdr:cNvPr id="246" name="Shape 501">
          <a:extLst>
            <a:ext uri="{FF2B5EF4-FFF2-40B4-BE49-F238E27FC236}">
              <a16:creationId xmlns:a16="http://schemas.microsoft.com/office/drawing/2014/main" id="{00000000-0008-0000-0700-0000F6000000}"/>
            </a:ext>
          </a:extLst>
        </xdr:cNvPr>
        <xdr:cNvSpPr/>
      </xdr:nvSpPr>
      <xdr:spPr>
        <a:xfrm>
          <a:off x="15744376" y="1468506340"/>
          <a:ext cx="19685" cy="335280"/>
        </a:xfrm>
        <a:custGeom>
          <a:avLst/>
          <a:gdLst/>
          <a:ahLst/>
          <a:cxnLst/>
          <a:rect l="0" t="0" r="0" b="0"/>
          <a:pathLst>
            <a:path w="17780" h="13335">
              <a:moveTo>
                <a:pt x="17720" y="10665"/>
              </a:moveTo>
              <a:lnTo>
                <a:pt x="17720" y="10361"/>
              </a:lnTo>
              <a:lnTo>
                <a:pt x="10209" y="0"/>
              </a:lnTo>
              <a:lnTo>
                <a:pt x="0" y="0"/>
              </a:lnTo>
              <a:lnTo>
                <a:pt x="15089" y="12738"/>
              </a:lnTo>
              <a:lnTo>
                <a:pt x="17720" y="10665"/>
              </a:lnTo>
              <a:close/>
            </a:path>
          </a:pathLst>
        </a:custGeom>
        <a:solidFill>
          <a:srgbClr val="131413">
            <a:alpha val="50000"/>
          </a:srgbClr>
        </a:solidFill>
      </xdr:spPr>
    </xdr:sp>
    <xdr:clientData/>
  </xdr:twoCellAnchor>
  <xdr:twoCellAnchor editAs="oneCell">
    <xdr:from>
      <xdr:col>8</xdr:col>
      <xdr:colOff>0</xdr:colOff>
      <xdr:row>649</xdr:row>
      <xdr:rowOff>0</xdr:rowOff>
    </xdr:from>
    <xdr:to>
      <xdr:col>8</xdr:col>
      <xdr:colOff>19050</xdr:colOff>
      <xdr:row>649</xdr:row>
      <xdr:rowOff>20320</xdr:rowOff>
    </xdr:to>
    <xdr:sp macro="" textlink="">
      <xdr:nvSpPr>
        <xdr:cNvPr id="248" name="Shape 505">
          <a:extLst>
            <a:ext uri="{FF2B5EF4-FFF2-40B4-BE49-F238E27FC236}">
              <a16:creationId xmlns:a16="http://schemas.microsoft.com/office/drawing/2014/main" id="{00000000-0008-0000-0700-0000F8000000}"/>
            </a:ext>
          </a:extLst>
        </xdr:cNvPr>
        <xdr:cNvSpPr/>
      </xdr:nvSpPr>
      <xdr:spPr>
        <a:xfrm>
          <a:off x="16763695" y="1471747139"/>
          <a:ext cx="19050" cy="16510"/>
        </a:xfrm>
        <a:custGeom>
          <a:avLst/>
          <a:gdLst/>
          <a:ahLst/>
          <a:cxnLst/>
          <a:rect l="0" t="0" r="0" b="0"/>
          <a:pathLst>
            <a:path w="19050" h="16510">
              <a:moveTo>
                <a:pt x="18516" y="3313"/>
              </a:moveTo>
              <a:lnTo>
                <a:pt x="18516" y="913"/>
              </a:lnTo>
              <a:lnTo>
                <a:pt x="17170" y="108"/>
              </a:lnTo>
              <a:lnTo>
                <a:pt x="10474" y="0"/>
              </a:lnTo>
              <a:lnTo>
                <a:pt x="0" y="14465"/>
              </a:lnTo>
              <a:lnTo>
                <a:pt x="2458" y="16510"/>
              </a:lnTo>
              <a:lnTo>
                <a:pt x="2822" y="16510"/>
              </a:lnTo>
              <a:lnTo>
                <a:pt x="17170" y="4406"/>
              </a:lnTo>
              <a:lnTo>
                <a:pt x="18516" y="3313"/>
              </a:lnTo>
              <a:close/>
            </a:path>
          </a:pathLst>
        </a:custGeom>
        <a:solidFill>
          <a:srgbClr val="131413">
            <a:alpha val="50000"/>
          </a:srgbClr>
        </a:solidFill>
      </xdr:spPr>
    </xdr:sp>
    <xdr:clientData/>
  </xdr:twoCellAnchor>
  <xdr:twoCellAnchor editAs="oneCell">
    <xdr:from>
      <xdr:col>8</xdr:col>
      <xdr:colOff>0</xdr:colOff>
      <xdr:row>646</xdr:row>
      <xdr:rowOff>780815</xdr:rowOff>
    </xdr:from>
    <xdr:to>
      <xdr:col>8</xdr:col>
      <xdr:colOff>1270</xdr:colOff>
      <xdr:row>649</xdr:row>
      <xdr:rowOff>10560</xdr:rowOff>
    </xdr:to>
    <xdr:sp macro="" textlink="">
      <xdr:nvSpPr>
        <xdr:cNvPr id="250" name="Shape 507">
          <a:extLst>
            <a:ext uri="{FF2B5EF4-FFF2-40B4-BE49-F238E27FC236}">
              <a16:creationId xmlns:a16="http://schemas.microsoft.com/office/drawing/2014/main" id="{00000000-0008-0000-0700-0000FA000000}"/>
            </a:ext>
          </a:extLst>
        </xdr:cNvPr>
        <xdr:cNvSpPr/>
      </xdr:nvSpPr>
      <xdr:spPr>
        <a:xfrm>
          <a:off x="16213442" y="1472164715"/>
          <a:ext cx="1270" cy="372745"/>
        </a:xfrm>
        <a:custGeom>
          <a:avLst/>
          <a:gdLst/>
          <a:ahLst/>
          <a:cxnLst/>
          <a:rect l="0" t="0" r="0" b="0"/>
          <a:pathLst>
            <a:path w="1270" h="1270">
              <a:moveTo>
                <a:pt x="723" y="673"/>
              </a:moveTo>
              <a:lnTo>
                <a:pt x="723" y="0"/>
              </a:lnTo>
              <a:lnTo>
                <a:pt x="570" y="0"/>
              </a:lnTo>
              <a:lnTo>
                <a:pt x="0" y="567"/>
              </a:lnTo>
              <a:lnTo>
                <a:pt x="723" y="673"/>
              </a:lnTo>
              <a:close/>
            </a:path>
          </a:pathLst>
        </a:custGeom>
        <a:solidFill>
          <a:srgbClr val="131413"/>
        </a:solidFill>
      </xdr:spPr>
    </xdr:sp>
    <xdr:clientData/>
  </xdr:twoCellAnchor>
  <xdr:twoCellAnchor editAs="oneCell">
    <xdr:from>
      <xdr:col>8</xdr:col>
      <xdr:colOff>0</xdr:colOff>
      <xdr:row>4038</xdr:row>
      <xdr:rowOff>144163</xdr:rowOff>
    </xdr:from>
    <xdr:to>
      <xdr:col>8</xdr:col>
      <xdr:colOff>17145</xdr:colOff>
      <xdr:row>4038</xdr:row>
      <xdr:rowOff>160673</xdr:rowOff>
    </xdr:to>
    <xdr:sp macro="" textlink="">
      <xdr:nvSpPr>
        <xdr:cNvPr id="254" name="Shape 517">
          <a:extLst>
            <a:ext uri="{FF2B5EF4-FFF2-40B4-BE49-F238E27FC236}">
              <a16:creationId xmlns:a16="http://schemas.microsoft.com/office/drawing/2014/main" id="{00000000-0008-0000-0700-0000FE000000}"/>
            </a:ext>
          </a:extLst>
        </xdr:cNvPr>
        <xdr:cNvSpPr/>
      </xdr:nvSpPr>
      <xdr:spPr>
        <a:xfrm>
          <a:off x="16257574" y="1539936613"/>
          <a:ext cx="19050" cy="18415"/>
        </a:xfrm>
        <a:custGeom>
          <a:avLst/>
          <a:gdLst/>
          <a:ahLst/>
          <a:cxnLst/>
          <a:rect l="0" t="0" r="0" b="0"/>
          <a:pathLst>
            <a:path w="20955" h="16510">
              <a:moveTo>
                <a:pt x="20827" y="901"/>
              </a:moveTo>
              <a:lnTo>
                <a:pt x="20827" y="698"/>
              </a:lnTo>
              <a:lnTo>
                <a:pt x="19820" y="0"/>
              </a:lnTo>
              <a:lnTo>
                <a:pt x="987" y="0"/>
              </a:lnTo>
              <a:lnTo>
                <a:pt x="0" y="698"/>
              </a:lnTo>
              <a:lnTo>
                <a:pt x="0" y="12763"/>
              </a:lnTo>
              <a:lnTo>
                <a:pt x="4904" y="16319"/>
              </a:lnTo>
              <a:lnTo>
                <a:pt x="5194" y="16319"/>
              </a:lnTo>
              <a:lnTo>
                <a:pt x="5194" y="3390"/>
              </a:lnTo>
              <a:lnTo>
                <a:pt x="7315" y="901"/>
              </a:lnTo>
              <a:lnTo>
                <a:pt x="20827" y="901"/>
              </a:lnTo>
              <a:close/>
            </a:path>
            <a:path w="20955" h="16510">
              <a:moveTo>
                <a:pt x="20827" y="12763"/>
              </a:moveTo>
              <a:lnTo>
                <a:pt x="7315" y="12661"/>
              </a:lnTo>
              <a:lnTo>
                <a:pt x="5194" y="10071"/>
              </a:lnTo>
              <a:lnTo>
                <a:pt x="5194" y="16319"/>
              </a:lnTo>
              <a:lnTo>
                <a:pt x="15825" y="16319"/>
              </a:lnTo>
              <a:lnTo>
                <a:pt x="20827" y="12763"/>
              </a:lnTo>
              <a:close/>
            </a:path>
            <a:path w="20955" h="16510">
              <a:moveTo>
                <a:pt x="20827" y="12661"/>
              </a:moveTo>
              <a:lnTo>
                <a:pt x="20827" y="901"/>
              </a:lnTo>
              <a:lnTo>
                <a:pt x="13728" y="901"/>
              </a:lnTo>
              <a:lnTo>
                <a:pt x="15748" y="3390"/>
              </a:lnTo>
              <a:lnTo>
                <a:pt x="15748" y="12661"/>
              </a:lnTo>
              <a:lnTo>
                <a:pt x="20827" y="12661"/>
              </a:lnTo>
              <a:close/>
            </a:path>
            <a:path w="20955" h="16510">
              <a:moveTo>
                <a:pt x="15748" y="12661"/>
              </a:moveTo>
              <a:lnTo>
                <a:pt x="15748" y="10071"/>
              </a:lnTo>
              <a:lnTo>
                <a:pt x="13728" y="12661"/>
              </a:lnTo>
              <a:lnTo>
                <a:pt x="15748" y="12661"/>
              </a:lnTo>
              <a:close/>
            </a:path>
          </a:pathLst>
        </a:custGeom>
        <a:solidFill>
          <a:srgbClr val="131413">
            <a:alpha val="50000"/>
          </a:srgbClr>
        </a:solidFill>
      </xdr:spPr>
    </xdr:sp>
    <xdr:clientData/>
  </xdr:twoCellAnchor>
  <xdr:twoCellAnchor editAs="oneCell">
    <xdr:from>
      <xdr:col>8</xdr:col>
      <xdr:colOff>0</xdr:colOff>
      <xdr:row>3624</xdr:row>
      <xdr:rowOff>256870</xdr:rowOff>
    </xdr:from>
    <xdr:to>
      <xdr:col>8</xdr:col>
      <xdr:colOff>17145</xdr:colOff>
      <xdr:row>3625</xdr:row>
      <xdr:rowOff>124790</xdr:rowOff>
    </xdr:to>
    <xdr:sp macro="" textlink="">
      <xdr:nvSpPr>
        <xdr:cNvPr id="261" name="Shape 534">
          <a:extLst>
            <a:ext uri="{FF2B5EF4-FFF2-40B4-BE49-F238E27FC236}">
              <a16:creationId xmlns:a16="http://schemas.microsoft.com/office/drawing/2014/main" id="{00000000-0008-0000-0700-000005010000}"/>
            </a:ext>
          </a:extLst>
        </xdr:cNvPr>
        <xdr:cNvSpPr/>
      </xdr:nvSpPr>
      <xdr:spPr>
        <a:xfrm>
          <a:off x="16878630" y="1614706270"/>
          <a:ext cx="17145" cy="123190"/>
        </a:xfrm>
        <a:custGeom>
          <a:avLst/>
          <a:gdLst/>
          <a:ahLst/>
          <a:cxnLst/>
          <a:rect l="0" t="0" r="0" b="0"/>
          <a:pathLst>
            <a:path w="20955" h="16510">
              <a:moveTo>
                <a:pt x="20726" y="965"/>
              </a:moveTo>
              <a:lnTo>
                <a:pt x="20726" y="670"/>
              </a:lnTo>
              <a:lnTo>
                <a:pt x="19756" y="0"/>
              </a:lnTo>
              <a:lnTo>
                <a:pt x="1065" y="0"/>
              </a:lnTo>
              <a:lnTo>
                <a:pt x="0" y="749"/>
              </a:lnTo>
              <a:lnTo>
                <a:pt x="0" y="12814"/>
              </a:lnTo>
              <a:lnTo>
                <a:pt x="4864" y="16332"/>
              </a:lnTo>
              <a:lnTo>
                <a:pt x="5194" y="16332"/>
              </a:lnTo>
              <a:lnTo>
                <a:pt x="5194" y="3441"/>
              </a:lnTo>
              <a:lnTo>
                <a:pt x="7327" y="965"/>
              </a:lnTo>
              <a:lnTo>
                <a:pt x="20726" y="965"/>
              </a:lnTo>
              <a:close/>
            </a:path>
            <a:path w="20955" h="16510">
              <a:moveTo>
                <a:pt x="20726" y="12895"/>
              </a:moveTo>
              <a:lnTo>
                <a:pt x="20726" y="12712"/>
              </a:lnTo>
              <a:lnTo>
                <a:pt x="7327" y="12712"/>
              </a:lnTo>
              <a:lnTo>
                <a:pt x="5194" y="10121"/>
              </a:lnTo>
              <a:lnTo>
                <a:pt x="5194" y="16332"/>
              </a:lnTo>
              <a:lnTo>
                <a:pt x="15891" y="16332"/>
              </a:lnTo>
              <a:lnTo>
                <a:pt x="20726" y="12895"/>
              </a:lnTo>
              <a:close/>
            </a:path>
            <a:path w="20955" h="16510">
              <a:moveTo>
                <a:pt x="20726" y="12712"/>
              </a:moveTo>
              <a:lnTo>
                <a:pt x="20726" y="965"/>
              </a:lnTo>
              <a:lnTo>
                <a:pt x="13728" y="965"/>
              </a:lnTo>
              <a:lnTo>
                <a:pt x="15760" y="3441"/>
              </a:lnTo>
              <a:lnTo>
                <a:pt x="15760" y="12712"/>
              </a:lnTo>
              <a:lnTo>
                <a:pt x="20726" y="12712"/>
              </a:lnTo>
              <a:close/>
            </a:path>
            <a:path w="20955" h="16510">
              <a:moveTo>
                <a:pt x="15760" y="12712"/>
              </a:moveTo>
              <a:lnTo>
                <a:pt x="15760" y="10121"/>
              </a:lnTo>
              <a:lnTo>
                <a:pt x="13728" y="12712"/>
              </a:lnTo>
              <a:lnTo>
                <a:pt x="15760" y="12712"/>
              </a:lnTo>
              <a:close/>
            </a:path>
          </a:pathLst>
        </a:custGeom>
        <a:solidFill>
          <a:srgbClr val="131413">
            <a:alpha val="50000"/>
          </a:srgbClr>
        </a:solidFill>
      </xdr:spPr>
    </xdr:sp>
    <xdr:clientData/>
  </xdr:twoCellAnchor>
  <xdr:twoCellAnchor editAs="oneCell">
    <xdr:from>
      <xdr:col>8</xdr:col>
      <xdr:colOff>0</xdr:colOff>
      <xdr:row>139</xdr:row>
      <xdr:rowOff>1904</xdr:rowOff>
    </xdr:from>
    <xdr:to>
      <xdr:col>8</xdr:col>
      <xdr:colOff>102870</xdr:colOff>
      <xdr:row>139</xdr:row>
      <xdr:rowOff>67944</xdr:rowOff>
    </xdr:to>
    <xdr:grpSp>
      <xdr:nvGrpSpPr>
        <xdr:cNvPr id="262" name="Group 535">
          <a:extLst>
            <a:ext uri="{FF2B5EF4-FFF2-40B4-BE49-F238E27FC236}">
              <a16:creationId xmlns:a16="http://schemas.microsoft.com/office/drawing/2014/main" id="{00000000-0008-0000-0700-000006010000}"/>
            </a:ext>
          </a:extLst>
        </xdr:cNvPr>
        <xdr:cNvGrpSpPr/>
      </xdr:nvGrpSpPr>
      <xdr:grpSpPr>
        <a:xfrm>
          <a:off x="14982825" y="25995629"/>
          <a:ext cx="104775" cy="64135"/>
          <a:chOff x="0" y="0"/>
          <a:chExt cx="102870" cy="66040"/>
        </a:xfrm>
      </xdr:grpSpPr>
      <xdr:sp macro="" textlink="">
        <xdr:nvSpPr>
          <xdr:cNvPr id="263" name="Shape 536">
            <a:extLst>
              <a:ext uri="{FF2B5EF4-FFF2-40B4-BE49-F238E27FC236}">
                <a16:creationId xmlns:a16="http://schemas.microsoft.com/office/drawing/2014/main" id="{00000000-0008-0000-0700-000007010000}"/>
              </a:ext>
            </a:extLst>
          </xdr:cNvPr>
          <xdr:cNvSpPr/>
        </xdr:nvSpPr>
        <xdr:spPr>
          <a:xfrm>
            <a:off x="0" y="0"/>
            <a:ext cx="102870" cy="66040"/>
          </a:xfrm>
          <a:custGeom>
            <a:avLst/>
            <a:gdLst/>
            <a:ahLst/>
            <a:cxnLst/>
            <a:rect l="0" t="0" r="0" b="0"/>
            <a:pathLst>
              <a:path w="102870" h="66040">
                <a:moveTo>
                  <a:pt x="102336" y="65455"/>
                </a:moveTo>
                <a:lnTo>
                  <a:pt x="102336" y="9474"/>
                </a:lnTo>
                <a:lnTo>
                  <a:pt x="76339" y="9474"/>
                </a:lnTo>
                <a:lnTo>
                  <a:pt x="76339" y="0"/>
                </a:lnTo>
                <a:lnTo>
                  <a:pt x="0" y="0"/>
                </a:lnTo>
                <a:lnTo>
                  <a:pt x="0" y="65455"/>
                </a:lnTo>
                <a:lnTo>
                  <a:pt x="102336" y="65455"/>
                </a:lnTo>
                <a:close/>
              </a:path>
              <a:path w="102870" h="66040">
                <a:moveTo>
                  <a:pt x="102336" y="9474"/>
                </a:moveTo>
                <a:lnTo>
                  <a:pt x="102336" y="0"/>
                </a:lnTo>
                <a:lnTo>
                  <a:pt x="94970" y="0"/>
                </a:lnTo>
                <a:lnTo>
                  <a:pt x="94970" y="9474"/>
                </a:lnTo>
                <a:lnTo>
                  <a:pt x="102336" y="9474"/>
                </a:lnTo>
                <a:close/>
              </a:path>
            </a:pathLst>
          </a:custGeom>
          <a:solidFill>
            <a:srgbClr val="D9D9D9">
              <a:alpha val="50000"/>
            </a:srgbClr>
          </a:solidFill>
        </xdr:spPr>
      </xdr:sp>
      <xdr:sp macro="" textlink="">
        <xdr:nvSpPr>
          <xdr:cNvPr id="264" name="Shape 537">
            <a:extLst>
              <a:ext uri="{FF2B5EF4-FFF2-40B4-BE49-F238E27FC236}">
                <a16:creationId xmlns:a16="http://schemas.microsoft.com/office/drawing/2014/main" id="{00000000-0008-0000-0700-000008010000}"/>
              </a:ext>
            </a:extLst>
          </xdr:cNvPr>
          <xdr:cNvSpPr/>
        </xdr:nvSpPr>
        <xdr:spPr>
          <a:xfrm>
            <a:off x="76492" y="0"/>
            <a:ext cx="13970" cy="9525"/>
          </a:xfrm>
          <a:custGeom>
            <a:avLst/>
            <a:gdLst/>
            <a:ahLst/>
            <a:cxnLst/>
            <a:rect l="0" t="0" r="0" b="0"/>
            <a:pathLst>
              <a:path w="13970" h="9525">
                <a:moveTo>
                  <a:pt x="13933" y="0"/>
                </a:moveTo>
                <a:lnTo>
                  <a:pt x="5311" y="0"/>
                </a:lnTo>
                <a:lnTo>
                  <a:pt x="0" y="7340"/>
                </a:lnTo>
                <a:lnTo>
                  <a:pt x="2580" y="9474"/>
                </a:lnTo>
                <a:lnTo>
                  <a:pt x="13933" y="0"/>
                </a:lnTo>
                <a:close/>
              </a:path>
            </a:pathLst>
          </a:custGeom>
          <a:solidFill>
            <a:srgbClr val="131413">
              <a:alpha val="50000"/>
            </a:srgbClr>
          </a:solidFill>
        </xdr:spPr>
      </xdr:sp>
    </xdr:grpSp>
    <xdr:clientData/>
  </xdr:twoCellAnchor>
  <xdr:twoCellAnchor editAs="oneCell">
    <xdr:from>
      <xdr:col>8</xdr:col>
      <xdr:colOff>0</xdr:colOff>
      <xdr:row>2243</xdr:row>
      <xdr:rowOff>143814</xdr:rowOff>
    </xdr:from>
    <xdr:to>
      <xdr:col>8</xdr:col>
      <xdr:colOff>27940</xdr:colOff>
      <xdr:row>2243</xdr:row>
      <xdr:rowOff>160959</xdr:rowOff>
    </xdr:to>
    <xdr:sp macro="" textlink="">
      <xdr:nvSpPr>
        <xdr:cNvPr id="287" name="Shape 593">
          <a:extLst>
            <a:ext uri="{FF2B5EF4-FFF2-40B4-BE49-F238E27FC236}">
              <a16:creationId xmlns:a16="http://schemas.microsoft.com/office/drawing/2014/main" id="{00000000-0008-0000-0700-00001F010000}"/>
            </a:ext>
          </a:extLst>
        </xdr:cNvPr>
        <xdr:cNvSpPr/>
      </xdr:nvSpPr>
      <xdr:spPr>
        <a:xfrm>
          <a:off x="16363797" y="1745590539"/>
          <a:ext cx="27940" cy="19050"/>
        </a:xfrm>
        <a:custGeom>
          <a:avLst/>
          <a:gdLst/>
          <a:ahLst/>
          <a:cxnLst/>
          <a:rect l="0" t="0" r="0" b="0"/>
          <a:pathLst>
            <a:path w="24130" h="17145">
              <a:moveTo>
                <a:pt x="18323" y="6070"/>
              </a:moveTo>
              <a:lnTo>
                <a:pt x="16624" y="3378"/>
              </a:lnTo>
              <a:lnTo>
                <a:pt x="14810" y="0"/>
              </a:lnTo>
              <a:lnTo>
                <a:pt x="9192" y="0"/>
              </a:lnTo>
              <a:lnTo>
                <a:pt x="7378" y="3378"/>
              </a:lnTo>
              <a:lnTo>
                <a:pt x="3810" y="8851"/>
              </a:lnTo>
              <a:lnTo>
                <a:pt x="0" y="14183"/>
              </a:lnTo>
              <a:lnTo>
                <a:pt x="3403" y="16522"/>
              </a:lnTo>
              <a:lnTo>
                <a:pt x="6464" y="12941"/>
              </a:lnTo>
              <a:lnTo>
                <a:pt x="9512" y="9461"/>
              </a:lnTo>
              <a:lnTo>
                <a:pt x="11950" y="6070"/>
              </a:lnTo>
              <a:lnTo>
                <a:pt x="18323" y="6070"/>
              </a:lnTo>
              <a:close/>
            </a:path>
            <a:path w="24130" h="17145">
              <a:moveTo>
                <a:pt x="23952" y="14236"/>
              </a:moveTo>
              <a:lnTo>
                <a:pt x="20078" y="8851"/>
              </a:lnTo>
              <a:lnTo>
                <a:pt x="18323" y="6070"/>
              </a:lnTo>
              <a:lnTo>
                <a:pt x="11950" y="6070"/>
              </a:lnTo>
              <a:lnTo>
                <a:pt x="14490" y="9461"/>
              </a:lnTo>
              <a:lnTo>
                <a:pt x="20485" y="16522"/>
              </a:lnTo>
              <a:lnTo>
                <a:pt x="23952" y="14236"/>
              </a:lnTo>
              <a:close/>
            </a:path>
          </a:pathLst>
        </a:custGeom>
        <a:solidFill>
          <a:srgbClr val="131413">
            <a:alpha val="50000"/>
          </a:srgbClr>
        </a:solidFill>
      </xdr:spPr>
    </xdr:sp>
    <xdr:clientData/>
  </xdr:twoCellAnchor>
  <xdr:twoCellAnchor editAs="oneCell">
    <xdr:from>
      <xdr:col>8</xdr:col>
      <xdr:colOff>0</xdr:colOff>
      <xdr:row>2200</xdr:row>
      <xdr:rowOff>144151</xdr:rowOff>
    </xdr:from>
    <xdr:to>
      <xdr:col>8</xdr:col>
      <xdr:colOff>27940</xdr:colOff>
      <xdr:row>2200</xdr:row>
      <xdr:rowOff>161296</xdr:rowOff>
    </xdr:to>
    <xdr:sp macro="" textlink="">
      <xdr:nvSpPr>
        <xdr:cNvPr id="288" name="Shape 596">
          <a:extLst>
            <a:ext uri="{FF2B5EF4-FFF2-40B4-BE49-F238E27FC236}">
              <a16:creationId xmlns:a16="http://schemas.microsoft.com/office/drawing/2014/main" id="{00000000-0008-0000-0700-000020010000}"/>
            </a:ext>
          </a:extLst>
        </xdr:cNvPr>
        <xdr:cNvSpPr/>
      </xdr:nvSpPr>
      <xdr:spPr>
        <a:xfrm>
          <a:off x="15753880" y="1750191451"/>
          <a:ext cx="27940" cy="19050"/>
        </a:xfrm>
        <a:custGeom>
          <a:avLst/>
          <a:gdLst/>
          <a:ahLst/>
          <a:cxnLst/>
          <a:rect l="0" t="0" r="0" b="0"/>
          <a:pathLst>
            <a:path w="24130" h="17145">
              <a:moveTo>
                <a:pt x="18351" y="6159"/>
              </a:moveTo>
              <a:lnTo>
                <a:pt x="16662" y="3467"/>
              </a:lnTo>
              <a:lnTo>
                <a:pt x="14796" y="0"/>
              </a:lnTo>
              <a:lnTo>
                <a:pt x="9270" y="0"/>
              </a:lnTo>
              <a:lnTo>
                <a:pt x="7404" y="3467"/>
              </a:lnTo>
              <a:lnTo>
                <a:pt x="3848" y="8953"/>
              </a:lnTo>
              <a:lnTo>
                <a:pt x="0" y="14320"/>
              </a:lnTo>
              <a:lnTo>
                <a:pt x="3441" y="16624"/>
              </a:lnTo>
              <a:lnTo>
                <a:pt x="6489" y="13042"/>
              </a:lnTo>
              <a:lnTo>
                <a:pt x="9550" y="9563"/>
              </a:lnTo>
              <a:lnTo>
                <a:pt x="11988" y="6159"/>
              </a:lnTo>
              <a:lnTo>
                <a:pt x="18351" y="6159"/>
              </a:lnTo>
              <a:close/>
            </a:path>
            <a:path w="24130" h="17145">
              <a:moveTo>
                <a:pt x="23977" y="14338"/>
              </a:moveTo>
              <a:lnTo>
                <a:pt x="20104" y="8953"/>
              </a:lnTo>
              <a:lnTo>
                <a:pt x="18351" y="6159"/>
              </a:lnTo>
              <a:lnTo>
                <a:pt x="11988" y="6159"/>
              </a:lnTo>
              <a:lnTo>
                <a:pt x="14516" y="9563"/>
              </a:lnTo>
              <a:lnTo>
                <a:pt x="20523" y="16624"/>
              </a:lnTo>
              <a:lnTo>
                <a:pt x="23977" y="14338"/>
              </a:lnTo>
              <a:close/>
            </a:path>
          </a:pathLst>
        </a:custGeom>
        <a:solidFill>
          <a:srgbClr val="131413">
            <a:alpha val="50000"/>
          </a:srgbClr>
        </a:solidFill>
      </xdr:spPr>
    </xdr:sp>
    <xdr:clientData/>
  </xdr:twoCellAnchor>
  <xdr:twoCellAnchor editAs="oneCell">
    <xdr:from>
      <xdr:col>8</xdr:col>
      <xdr:colOff>0</xdr:colOff>
      <xdr:row>4376</xdr:row>
      <xdr:rowOff>144138</xdr:rowOff>
    </xdr:from>
    <xdr:to>
      <xdr:col>8</xdr:col>
      <xdr:colOff>17145</xdr:colOff>
      <xdr:row>4376</xdr:row>
      <xdr:rowOff>160648</xdr:rowOff>
    </xdr:to>
    <xdr:sp macro="" textlink="">
      <xdr:nvSpPr>
        <xdr:cNvPr id="289" name="Shape 599">
          <a:extLst>
            <a:ext uri="{FF2B5EF4-FFF2-40B4-BE49-F238E27FC236}">
              <a16:creationId xmlns:a16="http://schemas.microsoft.com/office/drawing/2014/main" id="{00000000-0008-0000-0700-000021010000}"/>
            </a:ext>
          </a:extLst>
        </xdr:cNvPr>
        <xdr:cNvSpPr/>
      </xdr:nvSpPr>
      <xdr:spPr>
        <a:xfrm>
          <a:off x="16257625" y="1771222638"/>
          <a:ext cx="19050" cy="18415"/>
        </a:xfrm>
        <a:custGeom>
          <a:avLst/>
          <a:gdLst/>
          <a:ahLst/>
          <a:cxnLst/>
          <a:rect l="0" t="0" r="0" b="0"/>
          <a:pathLst>
            <a:path w="20955" h="16510">
              <a:moveTo>
                <a:pt x="20777" y="685"/>
              </a:moveTo>
              <a:lnTo>
                <a:pt x="20777" y="482"/>
              </a:lnTo>
              <a:lnTo>
                <a:pt x="20081" y="0"/>
              </a:lnTo>
              <a:lnTo>
                <a:pt x="631" y="0"/>
              </a:lnTo>
              <a:lnTo>
                <a:pt x="0" y="446"/>
              </a:lnTo>
              <a:lnTo>
                <a:pt x="0" y="12571"/>
              </a:lnTo>
              <a:lnTo>
                <a:pt x="5029" y="16230"/>
              </a:lnTo>
              <a:lnTo>
                <a:pt x="5143" y="3175"/>
              </a:lnTo>
              <a:lnTo>
                <a:pt x="7264" y="685"/>
              </a:lnTo>
              <a:lnTo>
                <a:pt x="20777" y="685"/>
              </a:lnTo>
              <a:close/>
            </a:path>
            <a:path w="20955" h="16510">
              <a:moveTo>
                <a:pt x="20777" y="12534"/>
              </a:moveTo>
              <a:lnTo>
                <a:pt x="7264" y="12445"/>
              </a:lnTo>
              <a:lnTo>
                <a:pt x="5143" y="9855"/>
              </a:lnTo>
              <a:lnTo>
                <a:pt x="5143" y="16230"/>
              </a:lnTo>
              <a:lnTo>
                <a:pt x="15697" y="16158"/>
              </a:lnTo>
              <a:lnTo>
                <a:pt x="20777" y="12534"/>
              </a:lnTo>
              <a:close/>
            </a:path>
            <a:path w="20955" h="16510">
              <a:moveTo>
                <a:pt x="20777" y="12445"/>
              </a:moveTo>
              <a:lnTo>
                <a:pt x="20777" y="685"/>
              </a:lnTo>
              <a:lnTo>
                <a:pt x="13677" y="685"/>
              </a:lnTo>
              <a:lnTo>
                <a:pt x="15697" y="3175"/>
              </a:lnTo>
              <a:lnTo>
                <a:pt x="15697" y="12445"/>
              </a:lnTo>
              <a:lnTo>
                <a:pt x="20777" y="12445"/>
              </a:lnTo>
              <a:close/>
            </a:path>
            <a:path w="20955" h="16510">
              <a:moveTo>
                <a:pt x="15697" y="12445"/>
              </a:moveTo>
              <a:lnTo>
                <a:pt x="15697" y="9855"/>
              </a:lnTo>
              <a:lnTo>
                <a:pt x="13677" y="12445"/>
              </a:lnTo>
              <a:lnTo>
                <a:pt x="15697" y="12445"/>
              </a:lnTo>
              <a:close/>
            </a:path>
          </a:pathLst>
        </a:custGeom>
        <a:solidFill>
          <a:srgbClr val="131413">
            <a:alpha val="50000"/>
          </a:srgbClr>
        </a:solidFill>
      </xdr:spPr>
    </xdr:sp>
    <xdr:clientData/>
  </xdr:twoCellAnchor>
  <xdr:twoCellAnchor editAs="oneCell">
    <xdr:from>
      <xdr:col>8</xdr:col>
      <xdr:colOff>0</xdr:colOff>
      <xdr:row>4033</xdr:row>
      <xdr:rowOff>144164</xdr:rowOff>
    </xdr:from>
    <xdr:to>
      <xdr:col>8</xdr:col>
      <xdr:colOff>17145</xdr:colOff>
      <xdr:row>4033</xdr:row>
      <xdr:rowOff>161309</xdr:rowOff>
    </xdr:to>
    <xdr:sp macro="" textlink="">
      <xdr:nvSpPr>
        <xdr:cNvPr id="290" name="Shape 600">
          <a:extLst>
            <a:ext uri="{FF2B5EF4-FFF2-40B4-BE49-F238E27FC236}">
              <a16:creationId xmlns:a16="http://schemas.microsoft.com/office/drawing/2014/main" id="{00000000-0008-0000-0700-000022010000}"/>
            </a:ext>
          </a:extLst>
        </xdr:cNvPr>
        <xdr:cNvSpPr/>
      </xdr:nvSpPr>
      <xdr:spPr>
        <a:xfrm>
          <a:off x="16429228" y="1777061489"/>
          <a:ext cx="19050" cy="19050"/>
        </a:xfrm>
        <a:custGeom>
          <a:avLst/>
          <a:gdLst/>
          <a:ahLst/>
          <a:cxnLst/>
          <a:rect l="0" t="0" r="0" b="0"/>
          <a:pathLst>
            <a:path w="20955" h="17145">
              <a:moveTo>
                <a:pt x="20650" y="1562"/>
              </a:moveTo>
              <a:lnTo>
                <a:pt x="20650" y="1226"/>
              </a:lnTo>
              <a:lnTo>
                <a:pt x="18881" y="0"/>
              </a:lnTo>
              <a:lnTo>
                <a:pt x="1925" y="0"/>
              </a:lnTo>
              <a:lnTo>
                <a:pt x="0" y="1358"/>
              </a:lnTo>
              <a:lnTo>
                <a:pt x="0" y="13411"/>
              </a:lnTo>
              <a:lnTo>
                <a:pt x="4970" y="17017"/>
              </a:lnTo>
              <a:lnTo>
                <a:pt x="5194" y="17017"/>
              </a:lnTo>
              <a:lnTo>
                <a:pt x="5194" y="4051"/>
              </a:lnTo>
              <a:lnTo>
                <a:pt x="7327" y="1562"/>
              </a:lnTo>
              <a:lnTo>
                <a:pt x="20650" y="1562"/>
              </a:lnTo>
              <a:close/>
            </a:path>
            <a:path w="20955" h="17145">
              <a:moveTo>
                <a:pt x="20650" y="13547"/>
              </a:moveTo>
              <a:lnTo>
                <a:pt x="20650" y="13322"/>
              </a:lnTo>
              <a:lnTo>
                <a:pt x="7327" y="13322"/>
              </a:lnTo>
              <a:lnTo>
                <a:pt x="5194" y="10718"/>
              </a:lnTo>
              <a:lnTo>
                <a:pt x="5194" y="17017"/>
              </a:lnTo>
              <a:lnTo>
                <a:pt x="15783" y="17017"/>
              </a:lnTo>
              <a:lnTo>
                <a:pt x="20650" y="13547"/>
              </a:lnTo>
              <a:close/>
            </a:path>
            <a:path w="20955" h="17145">
              <a:moveTo>
                <a:pt x="20650" y="13322"/>
              </a:moveTo>
              <a:lnTo>
                <a:pt x="20650" y="1562"/>
              </a:lnTo>
              <a:lnTo>
                <a:pt x="13728" y="1562"/>
              </a:lnTo>
              <a:lnTo>
                <a:pt x="15760" y="4051"/>
              </a:lnTo>
              <a:lnTo>
                <a:pt x="15760" y="13322"/>
              </a:lnTo>
              <a:lnTo>
                <a:pt x="20650" y="13322"/>
              </a:lnTo>
              <a:close/>
            </a:path>
            <a:path w="20955" h="17145">
              <a:moveTo>
                <a:pt x="15760" y="13322"/>
              </a:moveTo>
              <a:lnTo>
                <a:pt x="15760" y="10718"/>
              </a:lnTo>
              <a:lnTo>
                <a:pt x="13728" y="13322"/>
              </a:lnTo>
              <a:lnTo>
                <a:pt x="15760" y="13322"/>
              </a:lnTo>
              <a:close/>
            </a:path>
          </a:pathLst>
        </a:custGeom>
        <a:solidFill>
          <a:srgbClr val="131413">
            <a:alpha val="50000"/>
          </a:srgbClr>
        </a:solidFill>
      </xdr:spPr>
    </xdr:sp>
    <xdr:clientData/>
  </xdr:twoCellAnchor>
  <xdr:twoCellAnchor editAs="oneCell">
    <xdr:from>
      <xdr:col>8</xdr:col>
      <xdr:colOff>0</xdr:colOff>
      <xdr:row>1752</xdr:row>
      <xdr:rowOff>134569</xdr:rowOff>
    </xdr:from>
    <xdr:to>
      <xdr:col>8</xdr:col>
      <xdr:colOff>19685</xdr:colOff>
      <xdr:row>1752</xdr:row>
      <xdr:rowOff>134569</xdr:rowOff>
    </xdr:to>
    <xdr:sp macro="" textlink="">
      <xdr:nvSpPr>
        <xdr:cNvPr id="303" name="Shape 620">
          <a:extLst>
            <a:ext uri="{FF2B5EF4-FFF2-40B4-BE49-F238E27FC236}">
              <a16:creationId xmlns:a16="http://schemas.microsoft.com/office/drawing/2014/main" id="{00000000-0008-0000-0700-00002F010000}"/>
            </a:ext>
          </a:extLst>
        </xdr:cNvPr>
        <xdr:cNvSpPr/>
      </xdr:nvSpPr>
      <xdr:spPr>
        <a:xfrm>
          <a:off x="15755590" y="1832106394"/>
          <a:ext cx="19685" cy="0"/>
        </a:xfrm>
        <a:custGeom>
          <a:avLst/>
          <a:gdLst/>
          <a:ahLst/>
          <a:cxnLst/>
          <a:rect l="0" t="0" r="0" b="0"/>
          <a:pathLst>
            <a:path w="19685" h="3810">
              <a:moveTo>
                <a:pt x="19626" y="3555"/>
              </a:moveTo>
              <a:lnTo>
                <a:pt x="19626" y="2126"/>
              </a:lnTo>
              <a:lnTo>
                <a:pt x="16717" y="0"/>
              </a:lnTo>
              <a:lnTo>
                <a:pt x="5516" y="0"/>
              </a:lnTo>
              <a:lnTo>
                <a:pt x="1935" y="1663"/>
              </a:lnTo>
              <a:lnTo>
                <a:pt x="0" y="3555"/>
              </a:lnTo>
              <a:lnTo>
                <a:pt x="19626" y="3555"/>
              </a:lnTo>
              <a:close/>
            </a:path>
          </a:pathLst>
        </a:custGeom>
        <a:solidFill>
          <a:srgbClr val="131413"/>
        </a:solidFill>
      </xdr:spPr>
    </xdr:sp>
    <xdr:clientData/>
  </xdr:twoCellAnchor>
  <xdr:twoCellAnchor editAs="oneCell">
    <xdr:from>
      <xdr:col>8</xdr:col>
      <xdr:colOff>0</xdr:colOff>
      <xdr:row>1752</xdr:row>
      <xdr:rowOff>134569</xdr:rowOff>
    </xdr:from>
    <xdr:to>
      <xdr:col>8</xdr:col>
      <xdr:colOff>19685</xdr:colOff>
      <xdr:row>1752</xdr:row>
      <xdr:rowOff>134569</xdr:rowOff>
    </xdr:to>
    <xdr:sp macro="" textlink="">
      <xdr:nvSpPr>
        <xdr:cNvPr id="304" name="Shape 621">
          <a:extLst>
            <a:ext uri="{FF2B5EF4-FFF2-40B4-BE49-F238E27FC236}">
              <a16:creationId xmlns:a16="http://schemas.microsoft.com/office/drawing/2014/main" id="{00000000-0008-0000-0700-000030010000}"/>
            </a:ext>
          </a:extLst>
        </xdr:cNvPr>
        <xdr:cNvSpPr/>
      </xdr:nvSpPr>
      <xdr:spPr>
        <a:xfrm>
          <a:off x="16039115" y="1832106394"/>
          <a:ext cx="19685" cy="0"/>
        </a:xfrm>
        <a:custGeom>
          <a:avLst/>
          <a:gdLst/>
          <a:ahLst/>
          <a:cxnLst/>
          <a:rect l="0" t="0" r="0" b="0"/>
          <a:pathLst>
            <a:path w="19685" h="3810">
              <a:moveTo>
                <a:pt x="19628" y="3555"/>
              </a:moveTo>
              <a:lnTo>
                <a:pt x="19628" y="2126"/>
              </a:lnTo>
              <a:lnTo>
                <a:pt x="16719" y="0"/>
              </a:lnTo>
              <a:lnTo>
                <a:pt x="5518" y="0"/>
              </a:lnTo>
              <a:lnTo>
                <a:pt x="1924" y="1663"/>
              </a:lnTo>
              <a:lnTo>
                <a:pt x="0" y="3555"/>
              </a:lnTo>
              <a:lnTo>
                <a:pt x="19628" y="3555"/>
              </a:lnTo>
              <a:close/>
            </a:path>
          </a:pathLst>
        </a:custGeom>
        <a:solidFill>
          <a:srgbClr val="131413"/>
        </a:solidFill>
      </xdr:spPr>
    </xdr:sp>
    <xdr:clientData/>
  </xdr:twoCellAnchor>
  <xdr:twoCellAnchor editAs="oneCell">
    <xdr:from>
      <xdr:col>8</xdr:col>
      <xdr:colOff>0</xdr:colOff>
      <xdr:row>4046</xdr:row>
      <xdr:rowOff>144138</xdr:rowOff>
    </xdr:from>
    <xdr:to>
      <xdr:col>8</xdr:col>
      <xdr:colOff>17145</xdr:colOff>
      <xdr:row>4046</xdr:row>
      <xdr:rowOff>161283</xdr:rowOff>
    </xdr:to>
    <xdr:sp macro="" textlink="">
      <xdr:nvSpPr>
        <xdr:cNvPr id="305" name="Shape 622">
          <a:extLst>
            <a:ext uri="{FF2B5EF4-FFF2-40B4-BE49-F238E27FC236}">
              <a16:creationId xmlns:a16="http://schemas.microsoft.com/office/drawing/2014/main" id="{00000000-0008-0000-0700-000031010000}"/>
            </a:ext>
          </a:extLst>
        </xdr:cNvPr>
        <xdr:cNvSpPr/>
      </xdr:nvSpPr>
      <xdr:spPr>
        <a:xfrm>
          <a:off x="16610063" y="1854461613"/>
          <a:ext cx="20955" cy="19050"/>
        </a:xfrm>
        <a:custGeom>
          <a:avLst/>
          <a:gdLst/>
          <a:ahLst/>
          <a:cxnLst/>
          <a:rect l="0" t="0" r="0" b="0"/>
          <a:pathLst>
            <a:path w="20955" h="17145">
              <a:moveTo>
                <a:pt x="20802" y="1320"/>
              </a:moveTo>
              <a:lnTo>
                <a:pt x="20802" y="1087"/>
              </a:lnTo>
              <a:lnTo>
                <a:pt x="19229" y="0"/>
              </a:lnTo>
              <a:lnTo>
                <a:pt x="1563" y="0"/>
              </a:lnTo>
              <a:lnTo>
                <a:pt x="0" y="1104"/>
              </a:lnTo>
              <a:lnTo>
                <a:pt x="0" y="13169"/>
              </a:lnTo>
              <a:lnTo>
                <a:pt x="5067" y="16852"/>
              </a:lnTo>
              <a:lnTo>
                <a:pt x="5181" y="3797"/>
              </a:lnTo>
              <a:lnTo>
                <a:pt x="7302" y="1320"/>
              </a:lnTo>
              <a:lnTo>
                <a:pt x="20802" y="1320"/>
              </a:lnTo>
              <a:close/>
            </a:path>
            <a:path w="20955" h="17145">
              <a:moveTo>
                <a:pt x="20802" y="13187"/>
              </a:moveTo>
              <a:lnTo>
                <a:pt x="7302" y="13068"/>
              </a:lnTo>
              <a:lnTo>
                <a:pt x="5181" y="10477"/>
              </a:lnTo>
              <a:lnTo>
                <a:pt x="5181" y="16852"/>
              </a:lnTo>
              <a:lnTo>
                <a:pt x="15735" y="16789"/>
              </a:lnTo>
              <a:lnTo>
                <a:pt x="20802" y="13187"/>
              </a:lnTo>
              <a:close/>
            </a:path>
            <a:path w="20955" h="17145">
              <a:moveTo>
                <a:pt x="20802" y="13068"/>
              </a:moveTo>
              <a:lnTo>
                <a:pt x="20802" y="1320"/>
              </a:lnTo>
              <a:lnTo>
                <a:pt x="13716" y="1320"/>
              </a:lnTo>
              <a:lnTo>
                <a:pt x="15735" y="3797"/>
              </a:lnTo>
              <a:lnTo>
                <a:pt x="15735" y="13068"/>
              </a:lnTo>
              <a:lnTo>
                <a:pt x="20802" y="13068"/>
              </a:lnTo>
              <a:close/>
            </a:path>
            <a:path w="20955" h="17145">
              <a:moveTo>
                <a:pt x="15735" y="13068"/>
              </a:moveTo>
              <a:lnTo>
                <a:pt x="15735" y="10477"/>
              </a:lnTo>
              <a:lnTo>
                <a:pt x="13716" y="13068"/>
              </a:lnTo>
              <a:lnTo>
                <a:pt x="15735" y="13068"/>
              </a:lnTo>
              <a:close/>
            </a:path>
          </a:pathLst>
        </a:custGeom>
        <a:solidFill>
          <a:srgbClr val="131413">
            <a:alpha val="50000"/>
          </a:srgbClr>
        </a:solidFill>
      </xdr:spPr>
    </xdr:sp>
    <xdr:clientData/>
  </xdr:twoCellAnchor>
  <xdr:twoCellAnchor editAs="oneCell">
    <xdr:from>
      <xdr:col>8</xdr:col>
      <xdr:colOff>0</xdr:colOff>
      <xdr:row>1468</xdr:row>
      <xdr:rowOff>144164</xdr:rowOff>
    </xdr:from>
    <xdr:to>
      <xdr:col>8</xdr:col>
      <xdr:colOff>19050</xdr:colOff>
      <xdr:row>1468</xdr:row>
      <xdr:rowOff>160674</xdr:rowOff>
    </xdr:to>
    <xdr:sp macro="" textlink="">
      <xdr:nvSpPr>
        <xdr:cNvPr id="306" name="Shape 626">
          <a:extLst>
            <a:ext uri="{FF2B5EF4-FFF2-40B4-BE49-F238E27FC236}">
              <a16:creationId xmlns:a16="http://schemas.microsoft.com/office/drawing/2014/main" id="{00000000-0008-0000-0700-000032010000}"/>
            </a:ext>
          </a:extLst>
        </xdr:cNvPr>
        <xdr:cNvSpPr/>
      </xdr:nvSpPr>
      <xdr:spPr>
        <a:xfrm>
          <a:off x="16792219" y="1857023864"/>
          <a:ext cx="20955" cy="18415"/>
        </a:xfrm>
        <a:custGeom>
          <a:avLst/>
          <a:gdLst/>
          <a:ahLst/>
          <a:cxnLst/>
          <a:rect l="0" t="0" r="0" b="0"/>
          <a:pathLst>
            <a:path w="19050" h="16510">
              <a:moveTo>
                <a:pt x="18656" y="14445"/>
              </a:moveTo>
              <a:lnTo>
                <a:pt x="18656" y="14223"/>
              </a:lnTo>
              <a:lnTo>
                <a:pt x="8356" y="0"/>
              </a:lnTo>
              <a:lnTo>
                <a:pt x="1485" y="13"/>
              </a:lnTo>
              <a:lnTo>
                <a:pt x="0" y="941"/>
              </a:lnTo>
              <a:lnTo>
                <a:pt x="0" y="3026"/>
              </a:lnTo>
              <a:lnTo>
                <a:pt x="1507" y="4323"/>
              </a:lnTo>
              <a:lnTo>
                <a:pt x="15954" y="16510"/>
              </a:lnTo>
              <a:lnTo>
                <a:pt x="18656" y="14445"/>
              </a:lnTo>
              <a:close/>
            </a:path>
          </a:pathLst>
        </a:custGeom>
        <a:solidFill>
          <a:srgbClr val="131413">
            <a:alpha val="50000"/>
          </a:srgbClr>
        </a:solidFill>
      </xdr:spPr>
    </xdr:sp>
    <xdr:clientData/>
  </xdr:twoCellAnchor>
  <xdr:twoCellAnchor editAs="oneCell">
    <xdr:from>
      <xdr:col>8</xdr:col>
      <xdr:colOff>0</xdr:colOff>
      <xdr:row>2737</xdr:row>
      <xdr:rowOff>134474</xdr:rowOff>
    </xdr:from>
    <xdr:to>
      <xdr:col>8</xdr:col>
      <xdr:colOff>17145</xdr:colOff>
      <xdr:row>2737</xdr:row>
      <xdr:rowOff>137014</xdr:rowOff>
    </xdr:to>
    <xdr:sp macro="" textlink="">
      <xdr:nvSpPr>
        <xdr:cNvPr id="307" name="Shape 631">
          <a:extLst>
            <a:ext uri="{FF2B5EF4-FFF2-40B4-BE49-F238E27FC236}">
              <a16:creationId xmlns:a16="http://schemas.microsoft.com/office/drawing/2014/main" id="{00000000-0008-0000-0700-000033010000}"/>
            </a:ext>
          </a:extLst>
        </xdr:cNvPr>
        <xdr:cNvSpPr/>
      </xdr:nvSpPr>
      <xdr:spPr>
        <a:xfrm>
          <a:off x="15917725" y="1857585674"/>
          <a:ext cx="19050" cy="2540"/>
        </a:xfrm>
        <a:custGeom>
          <a:avLst/>
          <a:gdLst/>
          <a:ahLst/>
          <a:cxnLst/>
          <a:rect l="0" t="0" r="0" b="0"/>
          <a:pathLst>
            <a:path w="17145" h="2540">
              <a:moveTo>
                <a:pt x="17052" y="2476"/>
              </a:moveTo>
              <a:lnTo>
                <a:pt x="17052" y="1017"/>
              </a:lnTo>
              <a:lnTo>
                <a:pt x="15665" y="0"/>
              </a:lnTo>
              <a:lnTo>
                <a:pt x="4374" y="0"/>
              </a:lnTo>
              <a:lnTo>
                <a:pt x="847" y="1638"/>
              </a:lnTo>
              <a:lnTo>
                <a:pt x="0" y="2476"/>
              </a:lnTo>
              <a:lnTo>
                <a:pt x="17052" y="2476"/>
              </a:lnTo>
              <a:close/>
            </a:path>
          </a:pathLst>
        </a:custGeom>
        <a:solidFill>
          <a:srgbClr val="131413"/>
        </a:solidFill>
      </xdr:spPr>
    </xdr:sp>
    <xdr:clientData/>
  </xdr:twoCellAnchor>
  <xdr:twoCellAnchor editAs="oneCell">
    <xdr:from>
      <xdr:col>8</xdr:col>
      <xdr:colOff>0</xdr:colOff>
      <xdr:row>1303</xdr:row>
      <xdr:rowOff>144164</xdr:rowOff>
    </xdr:from>
    <xdr:to>
      <xdr:col>8</xdr:col>
      <xdr:colOff>19050</xdr:colOff>
      <xdr:row>1303</xdr:row>
      <xdr:rowOff>160674</xdr:rowOff>
    </xdr:to>
    <xdr:sp macro="" textlink="">
      <xdr:nvSpPr>
        <xdr:cNvPr id="308" name="Shape 626">
          <a:extLst>
            <a:ext uri="{FF2B5EF4-FFF2-40B4-BE49-F238E27FC236}">
              <a16:creationId xmlns:a16="http://schemas.microsoft.com/office/drawing/2014/main" id="{00000000-0008-0000-0700-000034010000}"/>
            </a:ext>
          </a:extLst>
        </xdr:cNvPr>
        <xdr:cNvSpPr/>
      </xdr:nvSpPr>
      <xdr:spPr>
        <a:xfrm>
          <a:off x="16792219" y="1857023864"/>
          <a:ext cx="20955" cy="18415"/>
        </a:xfrm>
        <a:custGeom>
          <a:avLst/>
          <a:gdLst/>
          <a:ahLst/>
          <a:cxnLst/>
          <a:rect l="0" t="0" r="0" b="0"/>
          <a:pathLst>
            <a:path w="19050" h="16510">
              <a:moveTo>
                <a:pt x="18656" y="14445"/>
              </a:moveTo>
              <a:lnTo>
                <a:pt x="18656" y="14223"/>
              </a:lnTo>
              <a:lnTo>
                <a:pt x="8356" y="0"/>
              </a:lnTo>
              <a:lnTo>
                <a:pt x="1485" y="13"/>
              </a:lnTo>
              <a:lnTo>
                <a:pt x="0" y="941"/>
              </a:lnTo>
              <a:lnTo>
                <a:pt x="0" y="3026"/>
              </a:lnTo>
              <a:lnTo>
                <a:pt x="1507" y="4323"/>
              </a:lnTo>
              <a:lnTo>
                <a:pt x="15954" y="16510"/>
              </a:lnTo>
              <a:lnTo>
                <a:pt x="18656" y="14445"/>
              </a:lnTo>
              <a:close/>
            </a:path>
          </a:pathLst>
        </a:custGeom>
        <a:solidFill>
          <a:srgbClr val="131413">
            <a:alpha val="50000"/>
          </a:srgbClr>
        </a:solidFill>
      </xdr:spPr>
    </xdr:sp>
    <xdr:clientData/>
  </xdr:twoCellAnchor>
  <xdr:twoCellAnchor editAs="oneCell">
    <xdr:from>
      <xdr:col>8</xdr:col>
      <xdr:colOff>0</xdr:colOff>
      <xdr:row>2293</xdr:row>
      <xdr:rowOff>134474</xdr:rowOff>
    </xdr:from>
    <xdr:to>
      <xdr:col>8</xdr:col>
      <xdr:colOff>17145</xdr:colOff>
      <xdr:row>2293</xdr:row>
      <xdr:rowOff>137014</xdr:rowOff>
    </xdr:to>
    <xdr:sp macro="" textlink="">
      <xdr:nvSpPr>
        <xdr:cNvPr id="309" name="Shape 631">
          <a:extLst>
            <a:ext uri="{FF2B5EF4-FFF2-40B4-BE49-F238E27FC236}">
              <a16:creationId xmlns:a16="http://schemas.microsoft.com/office/drawing/2014/main" id="{00000000-0008-0000-0700-000035010000}"/>
            </a:ext>
          </a:extLst>
        </xdr:cNvPr>
        <xdr:cNvSpPr/>
      </xdr:nvSpPr>
      <xdr:spPr>
        <a:xfrm>
          <a:off x="15917725" y="1857585674"/>
          <a:ext cx="19050" cy="2540"/>
        </a:xfrm>
        <a:custGeom>
          <a:avLst/>
          <a:gdLst/>
          <a:ahLst/>
          <a:cxnLst/>
          <a:rect l="0" t="0" r="0" b="0"/>
          <a:pathLst>
            <a:path w="17145" h="2540">
              <a:moveTo>
                <a:pt x="17052" y="2476"/>
              </a:moveTo>
              <a:lnTo>
                <a:pt x="17052" y="1017"/>
              </a:lnTo>
              <a:lnTo>
                <a:pt x="15665" y="0"/>
              </a:lnTo>
              <a:lnTo>
                <a:pt x="4374" y="0"/>
              </a:lnTo>
              <a:lnTo>
                <a:pt x="847" y="1638"/>
              </a:lnTo>
              <a:lnTo>
                <a:pt x="0" y="2476"/>
              </a:lnTo>
              <a:lnTo>
                <a:pt x="17052" y="2476"/>
              </a:lnTo>
              <a:close/>
            </a:path>
          </a:pathLst>
        </a:custGeom>
        <a:solidFill>
          <a:srgbClr val="131413"/>
        </a:solidFill>
      </xdr:spPr>
    </xdr:sp>
    <xdr:clientData/>
  </xdr:twoCellAnchor>
  <xdr:twoCellAnchor editAs="oneCell">
    <xdr:from>
      <xdr:col>8</xdr:col>
      <xdr:colOff>0</xdr:colOff>
      <xdr:row>769</xdr:row>
      <xdr:rowOff>266630</xdr:rowOff>
    </xdr:from>
    <xdr:to>
      <xdr:col>8</xdr:col>
      <xdr:colOff>20320</xdr:colOff>
      <xdr:row>770</xdr:row>
      <xdr:rowOff>97085</xdr:rowOff>
    </xdr:to>
    <xdr:sp macro="" textlink="">
      <xdr:nvSpPr>
        <xdr:cNvPr id="310" name="Shape 634">
          <a:extLst>
            <a:ext uri="{FF2B5EF4-FFF2-40B4-BE49-F238E27FC236}">
              <a16:creationId xmlns:a16="http://schemas.microsoft.com/office/drawing/2014/main" id="{00000000-0008-0000-0700-000036010000}"/>
            </a:ext>
          </a:extLst>
        </xdr:cNvPr>
        <xdr:cNvSpPr/>
      </xdr:nvSpPr>
      <xdr:spPr>
        <a:xfrm>
          <a:off x="15705798" y="1875786755"/>
          <a:ext cx="18415" cy="97155"/>
        </a:xfrm>
        <a:custGeom>
          <a:avLst/>
          <a:gdLst/>
          <a:ahLst/>
          <a:cxnLst/>
          <a:rect l="0" t="0" r="0" b="0"/>
          <a:pathLst>
            <a:path w="24130" h="9525">
              <a:moveTo>
                <a:pt x="11124" y="0"/>
              </a:moveTo>
              <a:lnTo>
                <a:pt x="4889" y="0"/>
              </a:lnTo>
              <a:lnTo>
                <a:pt x="3860" y="1587"/>
              </a:lnTo>
              <a:lnTo>
                <a:pt x="0" y="6972"/>
              </a:lnTo>
              <a:lnTo>
                <a:pt x="3269" y="9143"/>
              </a:lnTo>
              <a:lnTo>
                <a:pt x="3539" y="9143"/>
              </a:lnTo>
              <a:lnTo>
                <a:pt x="6502" y="5676"/>
              </a:lnTo>
              <a:lnTo>
                <a:pt x="9550" y="2197"/>
              </a:lnTo>
              <a:lnTo>
                <a:pt x="11124" y="0"/>
              </a:lnTo>
              <a:close/>
            </a:path>
            <a:path w="24130" h="9525">
              <a:moveTo>
                <a:pt x="23812" y="7089"/>
              </a:moveTo>
              <a:lnTo>
                <a:pt x="23812" y="6725"/>
              </a:lnTo>
              <a:lnTo>
                <a:pt x="20116" y="1587"/>
              </a:lnTo>
              <a:lnTo>
                <a:pt x="19117" y="0"/>
              </a:lnTo>
              <a:lnTo>
                <a:pt x="12889" y="0"/>
              </a:lnTo>
              <a:lnTo>
                <a:pt x="14528" y="2197"/>
              </a:lnTo>
              <a:lnTo>
                <a:pt x="20426" y="9143"/>
              </a:lnTo>
              <a:lnTo>
                <a:pt x="20696" y="9143"/>
              </a:lnTo>
              <a:lnTo>
                <a:pt x="23812" y="7089"/>
              </a:lnTo>
              <a:close/>
            </a:path>
          </a:pathLst>
        </a:custGeom>
        <a:solidFill>
          <a:srgbClr val="131413">
            <a:alpha val="50000"/>
          </a:srgbClr>
        </a:solidFill>
      </xdr:spPr>
    </xdr:sp>
    <xdr:clientData/>
  </xdr:twoCellAnchor>
  <xdr:twoCellAnchor editAs="oneCell">
    <xdr:from>
      <xdr:col>8</xdr:col>
      <xdr:colOff>0</xdr:colOff>
      <xdr:row>1141</xdr:row>
      <xdr:rowOff>266287</xdr:rowOff>
    </xdr:from>
    <xdr:to>
      <xdr:col>8</xdr:col>
      <xdr:colOff>20320</xdr:colOff>
      <xdr:row>1142</xdr:row>
      <xdr:rowOff>104997</xdr:rowOff>
    </xdr:to>
    <xdr:sp macro="" textlink="">
      <xdr:nvSpPr>
        <xdr:cNvPr id="311" name="Shape 636">
          <a:extLst>
            <a:ext uri="{FF2B5EF4-FFF2-40B4-BE49-F238E27FC236}">
              <a16:creationId xmlns:a16="http://schemas.microsoft.com/office/drawing/2014/main" id="{00000000-0008-0000-0700-000037010000}"/>
            </a:ext>
          </a:extLst>
        </xdr:cNvPr>
        <xdr:cNvSpPr/>
      </xdr:nvSpPr>
      <xdr:spPr>
        <a:xfrm>
          <a:off x="15705798" y="1876148362"/>
          <a:ext cx="18415" cy="105410"/>
        </a:xfrm>
        <a:custGeom>
          <a:avLst/>
          <a:gdLst/>
          <a:ahLst/>
          <a:cxnLst/>
          <a:rect l="0" t="0" r="0" b="0"/>
          <a:pathLst>
            <a:path w="24130" h="10160">
              <a:moveTo>
                <a:pt x="11641" y="0"/>
              </a:moveTo>
              <a:lnTo>
                <a:pt x="5354" y="0"/>
              </a:lnTo>
              <a:lnTo>
                <a:pt x="3860" y="2298"/>
              </a:lnTo>
              <a:lnTo>
                <a:pt x="0" y="7683"/>
              </a:lnTo>
              <a:lnTo>
                <a:pt x="3213" y="9829"/>
              </a:lnTo>
              <a:lnTo>
                <a:pt x="3571" y="9829"/>
              </a:lnTo>
              <a:lnTo>
                <a:pt x="6502" y="6388"/>
              </a:lnTo>
              <a:lnTo>
                <a:pt x="9550" y="2908"/>
              </a:lnTo>
              <a:lnTo>
                <a:pt x="11641" y="0"/>
              </a:lnTo>
              <a:close/>
            </a:path>
            <a:path w="24130" h="10160">
              <a:moveTo>
                <a:pt x="23799" y="7809"/>
              </a:moveTo>
              <a:lnTo>
                <a:pt x="23799" y="7418"/>
              </a:lnTo>
              <a:lnTo>
                <a:pt x="20116" y="2298"/>
              </a:lnTo>
              <a:lnTo>
                <a:pt x="18666" y="0"/>
              </a:lnTo>
              <a:lnTo>
                <a:pt x="12350" y="0"/>
              </a:lnTo>
              <a:lnTo>
                <a:pt x="14528" y="2908"/>
              </a:lnTo>
              <a:lnTo>
                <a:pt x="20394" y="9829"/>
              </a:lnTo>
              <a:lnTo>
                <a:pt x="20753" y="9829"/>
              </a:lnTo>
              <a:lnTo>
                <a:pt x="23799" y="7809"/>
              </a:lnTo>
              <a:close/>
            </a:path>
          </a:pathLst>
        </a:custGeom>
        <a:solidFill>
          <a:srgbClr val="131413">
            <a:alpha val="50000"/>
          </a:srgbClr>
        </a:solidFill>
      </xdr:spPr>
    </xdr:sp>
    <xdr:clientData/>
  </xdr:twoCellAnchor>
  <xdr:twoCellAnchor editAs="oneCell">
    <xdr:from>
      <xdr:col>8</xdr:col>
      <xdr:colOff>0</xdr:colOff>
      <xdr:row>1847</xdr:row>
      <xdr:rowOff>151606</xdr:rowOff>
    </xdr:from>
    <xdr:to>
      <xdr:col>8</xdr:col>
      <xdr:colOff>29845</xdr:colOff>
      <xdr:row>1847</xdr:row>
      <xdr:rowOff>163036</xdr:rowOff>
    </xdr:to>
    <xdr:sp macro="" textlink="">
      <xdr:nvSpPr>
        <xdr:cNvPr id="312" name="Shape 638">
          <a:extLst>
            <a:ext uri="{FF2B5EF4-FFF2-40B4-BE49-F238E27FC236}">
              <a16:creationId xmlns:a16="http://schemas.microsoft.com/office/drawing/2014/main" id="{00000000-0008-0000-0700-000038010000}"/>
            </a:ext>
          </a:extLst>
        </xdr:cNvPr>
        <xdr:cNvSpPr/>
      </xdr:nvSpPr>
      <xdr:spPr>
        <a:xfrm>
          <a:off x="17175378" y="1911590506"/>
          <a:ext cx="27940" cy="11430"/>
        </a:xfrm>
        <a:custGeom>
          <a:avLst/>
          <a:gdLst/>
          <a:ahLst/>
          <a:cxnLst/>
          <a:rect l="0" t="0" r="0" b="0"/>
          <a:pathLst>
            <a:path w="29845" h="11430">
              <a:moveTo>
                <a:pt x="29552" y="8928"/>
              </a:moveTo>
              <a:lnTo>
                <a:pt x="29552" y="2552"/>
              </a:lnTo>
              <a:lnTo>
                <a:pt x="27138" y="0"/>
              </a:lnTo>
              <a:lnTo>
                <a:pt x="20590" y="0"/>
              </a:lnTo>
              <a:lnTo>
                <a:pt x="18376" y="2552"/>
              </a:lnTo>
              <a:lnTo>
                <a:pt x="18376" y="8928"/>
              </a:lnTo>
              <a:lnTo>
                <a:pt x="20590" y="11103"/>
              </a:lnTo>
              <a:lnTo>
                <a:pt x="27138" y="11103"/>
              </a:lnTo>
              <a:lnTo>
                <a:pt x="29552" y="8928"/>
              </a:lnTo>
              <a:close/>
            </a:path>
            <a:path w="29845" h="11430">
              <a:moveTo>
                <a:pt x="11049" y="8928"/>
              </a:moveTo>
              <a:lnTo>
                <a:pt x="11049" y="2552"/>
              </a:lnTo>
              <a:lnTo>
                <a:pt x="8735" y="0"/>
              </a:lnTo>
              <a:lnTo>
                <a:pt x="2186" y="0"/>
              </a:lnTo>
              <a:lnTo>
                <a:pt x="0" y="2412"/>
              </a:lnTo>
              <a:lnTo>
                <a:pt x="0" y="9047"/>
              </a:lnTo>
              <a:lnTo>
                <a:pt x="2186" y="11103"/>
              </a:lnTo>
              <a:lnTo>
                <a:pt x="8735" y="11103"/>
              </a:lnTo>
              <a:lnTo>
                <a:pt x="11049" y="8928"/>
              </a:lnTo>
              <a:close/>
            </a:path>
          </a:pathLst>
        </a:custGeom>
        <a:solidFill>
          <a:srgbClr val="131413">
            <a:alpha val="50000"/>
          </a:srgbClr>
        </a:solidFill>
      </xdr:spPr>
    </xdr:sp>
    <xdr:clientData/>
  </xdr:twoCellAnchor>
  <xdr:twoCellAnchor editAs="oneCell">
    <xdr:from>
      <xdr:col>8</xdr:col>
      <xdr:colOff>0</xdr:colOff>
      <xdr:row>4056</xdr:row>
      <xdr:rowOff>134473</xdr:rowOff>
    </xdr:from>
    <xdr:to>
      <xdr:col>8</xdr:col>
      <xdr:colOff>56515</xdr:colOff>
      <xdr:row>4056</xdr:row>
      <xdr:rowOff>134473</xdr:rowOff>
    </xdr:to>
    <xdr:sp macro="" textlink="">
      <xdr:nvSpPr>
        <xdr:cNvPr id="314" name="Shape 641">
          <a:extLst>
            <a:ext uri="{FF2B5EF4-FFF2-40B4-BE49-F238E27FC236}">
              <a16:creationId xmlns:a16="http://schemas.microsoft.com/office/drawing/2014/main" id="{00000000-0008-0000-0700-00003A010000}"/>
            </a:ext>
          </a:extLst>
        </xdr:cNvPr>
        <xdr:cNvSpPr/>
      </xdr:nvSpPr>
      <xdr:spPr>
        <a:xfrm>
          <a:off x="15965347" y="1916145373"/>
          <a:ext cx="56515" cy="0"/>
        </a:xfrm>
        <a:custGeom>
          <a:avLst/>
          <a:gdLst/>
          <a:ahLst/>
          <a:cxnLst/>
          <a:rect l="0" t="0" r="0" b="0"/>
          <a:pathLst>
            <a:path w="56515" h="3810">
              <a:moveTo>
                <a:pt x="13576" y="3670"/>
              </a:moveTo>
              <a:lnTo>
                <a:pt x="13576" y="0"/>
              </a:lnTo>
              <a:lnTo>
                <a:pt x="13426" y="0"/>
              </a:lnTo>
              <a:lnTo>
                <a:pt x="9067" y="1473"/>
              </a:lnTo>
              <a:lnTo>
                <a:pt x="4724" y="2654"/>
              </a:lnTo>
              <a:lnTo>
                <a:pt x="0" y="3403"/>
              </a:lnTo>
              <a:lnTo>
                <a:pt x="0" y="3670"/>
              </a:lnTo>
              <a:lnTo>
                <a:pt x="13576" y="3670"/>
              </a:lnTo>
              <a:close/>
            </a:path>
            <a:path w="56515" h="3810">
              <a:moveTo>
                <a:pt x="56019" y="3670"/>
              </a:moveTo>
              <a:lnTo>
                <a:pt x="56019" y="2344"/>
              </a:lnTo>
              <a:lnTo>
                <a:pt x="52812" y="0"/>
              </a:lnTo>
              <a:lnTo>
                <a:pt x="41431" y="0"/>
              </a:lnTo>
              <a:lnTo>
                <a:pt x="37960" y="1600"/>
              </a:lnTo>
              <a:lnTo>
                <a:pt x="35866" y="3670"/>
              </a:lnTo>
              <a:lnTo>
                <a:pt x="56019" y="3670"/>
              </a:lnTo>
              <a:close/>
            </a:path>
          </a:pathLst>
        </a:custGeom>
        <a:solidFill>
          <a:srgbClr val="131413"/>
        </a:solidFill>
      </xdr:spPr>
    </xdr:sp>
    <xdr:clientData/>
  </xdr:twoCellAnchor>
  <xdr:twoCellAnchor editAs="oneCell">
    <xdr:from>
      <xdr:col>8</xdr:col>
      <xdr:colOff>0</xdr:colOff>
      <xdr:row>2479</xdr:row>
      <xdr:rowOff>143821</xdr:rowOff>
    </xdr:from>
    <xdr:to>
      <xdr:col>8</xdr:col>
      <xdr:colOff>27940</xdr:colOff>
      <xdr:row>2479</xdr:row>
      <xdr:rowOff>160966</xdr:rowOff>
    </xdr:to>
    <xdr:sp macro="" textlink="">
      <xdr:nvSpPr>
        <xdr:cNvPr id="315" name="Shape 643">
          <a:extLst>
            <a:ext uri="{FF2B5EF4-FFF2-40B4-BE49-F238E27FC236}">
              <a16:creationId xmlns:a16="http://schemas.microsoft.com/office/drawing/2014/main" id="{00000000-0008-0000-0700-00003B010000}"/>
            </a:ext>
          </a:extLst>
        </xdr:cNvPr>
        <xdr:cNvSpPr/>
      </xdr:nvSpPr>
      <xdr:spPr>
        <a:xfrm>
          <a:off x="16546690" y="1940033896"/>
          <a:ext cx="26035" cy="19050"/>
        </a:xfrm>
        <a:custGeom>
          <a:avLst/>
          <a:gdLst/>
          <a:ahLst/>
          <a:cxnLst/>
          <a:rect l="0" t="0" r="0" b="0"/>
          <a:pathLst>
            <a:path w="24130" h="17145">
              <a:moveTo>
                <a:pt x="18374" y="6083"/>
              </a:moveTo>
              <a:lnTo>
                <a:pt x="16675" y="3390"/>
              </a:lnTo>
              <a:lnTo>
                <a:pt x="14849" y="0"/>
              </a:lnTo>
              <a:lnTo>
                <a:pt x="9246" y="0"/>
              </a:lnTo>
              <a:lnTo>
                <a:pt x="7429" y="3390"/>
              </a:lnTo>
              <a:lnTo>
                <a:pt x="3860" y="8864"/>
              </a:lnTo>
              <a:lnTo>
                <a:pt x="0" y="14249"/>
              </a:lnTo>
              <a:lnTo>
                <a:pt x="3454" y="16548"/>
              </a:lnTo>
              <a:lnTo>
                <a:pt x="6515" y="12954"/>
              </a:lnTo>
              <a:lnTo>
                <a:pt x="9563" y="9461"/>
              </a:lnTo>
              <a:lnTo>
                <a:pt x="12001" y="6083"/>
              </a:lnTo>
              <a:lnTo>
                <a:pt x="18374" y="6083"/>
              </a:lnTo>
              <a:close/>
            </a:path>
            <a:path w="24130" h="17145">
              <a:moveTo>
                <a:pt x="23888" y="14317"/>
              </a:moveTo>
              <a:lnTo>
                <a:pt x="23888" y="14107"/>
              </a:lnTo>
              <a:lnTo>
                <a:pt x="20129" y="8864"/>
              </a:lnTo>
              <a:lnTo>
                <a:pt x="18374" y="6083"/>
              </a:lnTo>
              <a:lnTo>
                <a:pt x="12001" y="6083"/>
              </a:lnTo>
              <a:lnTo>
                <a:pt x="14541" y="9461"/>
              </a:lnTo>
              <a:lnTo>
                <a:pt x="20535" y="16548"/>
              </a:lnTo>
              <a:lnTo>
                <a:pt x="23888" y="14317"/>
              </a:lnTo>
              <a:close/>
            </a:path>
          </a:pathLst>
        </a:custGeom>
        <a:solidFill>
          <a:srgbClr val="131413">
            <a:alpha val="50000"/>
          </a:srgbClr>
        </a:solidFill>
      </xdr:spPr>
    </xdr:sp>
    <xdr:clientData/>
  </xdr:twoCellAnchor>
  <xdr:twoCellAnchor editAs="oneCell">
    <xdr:from>
      <xdr:col>8</xdr:col>
      <xdr:colOff>0</xdr:colOff>
      <xdr:row>1396</xdr:row>
      <xdr:rowOff>144138</xdr:rowOff>
    </xdr:from>
    <xdr:to>
      <xdr:col>8</xdr:col>
      <xdr:colOff>19050</xdr:colOff>
      <xdr:row>1396</xdr:row>
      <xdr:rowOff>161283</xdr:rowOff>
    </xdr:to>
    <xdr:sp macro="" textlink="">
      <xdr:nvSpPr>
        <xdr:cNvPr id="318" name="Shape 649">
          <a:extLst>
            <a:ext uri="{FF2B5EF4-FFF2-40B4-BE49-F238E27FC236}">
              <a16:creationId xmlns:a16="http://schemas.microsoft.com/office/drawing/2014/main" id="{00000000-0008-0000-0700-00003E010000}"/>
            </a:ext>
          </a:extLst>
        </xdr:cNvPr>
        <xdr:cNvSpPr/>
      </xdr:nvSpPr>
      <xdr:spPr>
        <a:xfrm>
          <a:off x="16848658" y="1944329988"/>
          <a:ext cx="20955" cy="19050"/>
        </a:xfrm>
        <a:custGeom>
          <a:avLst/>
          <a:gdLst/>
          <a:ahLst/>
          <a:cxnLst/>
          <a:rect l="0" t="0" r="0" b="0"/>
          <a:pathLst>
            <a:path w="19050" h="17145">
              <a:moveTo>
                <a:pt x="18618" y="3216"/>
              </a:moveTo>
              <a:lnTo>
                <a:pt x="18618" y="1038"/>
              </a:lnTo>
              <a:lnTo>
                <a:pt x="16877" y="0"/>
              </a:lnTo>
              <a:lnTo>
                <a:pt x="10429" y="0"/>
              </a:lnTo>
              <a:lnTo>
                <a:pt x="0" y="14415"/>
              </a:lnTo>
              <a:lnTo>
                <a:pt x="0" y="14555"/>
              </a:lnTo>
              <a:lnTo>
                <a:pt x="2376" y="16522"/>
              </a:lnTo>
              <a:lnTo>
                <a:pt x="2801" y="16522"/>
              </a:lnTo>
              <a:lnTo>
                <a:pt x="17119" y="4445"/>
              </a:lnTo>
              <a:lnTo>
                <a:pt x="18618" y="3216"/>
              </a:lnTo>
              <a:close/>
            </a:path>
          </a:pathLst>
        </a:custGeom>
        <a:solidFill>
          <a:srgbClr val="131413">
            <a:alpha val="50000"/>
          </a:srgbClr>
        </a:solidFill>
      </xdr:spPr>
    </xdr:sp>
    <xdr:clientData/>
  </xdr:twoCellAnchor>
  <xdr:twoCellAnchor editAs="oneCell">
    <xdr:from>
      <xdr:col>8</xdr:col>
      <xdr:colOff>0</xdr:colOff>
      <xdr:row>4379</xdr:row>
      <xdr:rowOff>256539</xdr:rowOff>
    </xdr:from>
    <xdr:to>
      <xdr:col>8</xdr:col>
      <xdr:colOff>17145</xdr:colOff>
      <xdr:row>4380</xdr:row>
      <xdr:rowOff>122554</xdr:rowOff>
    </xdr:to>
    <xdr:sp macro="" textlink="">
      <xdr:nvSpPr>
        <xdr:cNvPr id="324" name="Shape 661">
          <a:extLst>
            <a:ext uri="{FF2B5EF4-FFF2-40B4-BE49-F238E27FC236}">
              <a16:creationId xmlns:a16="http://schemas.microsoft.com/office/drawing/2014/main" id="{00000000-0008-0000-0700-000044010000}"/>
            </a:ext>
          </a:extLst>
        </xdr:cNvPr>
        <xdr:cNvSpPr/>
      </xdr:nvSpPr>
      <xdr:spPr>
        <a:xfrm>
          <a:off x="16706875" y="2008507539"/>
          <a:ext cx="17145" cy="123190"/>
        </a:xfrm>
        <a:custGeom>
          <a:avLst/>
          <a:gdLst/>
          <a:ahLst/>
          <a:cxnLst/>
          <a:rect l="0" t="0" r="0" b="0"/>
          <a:pathLst>
            <a:path w="20955" h="16510">
              <a:moveTo>
                <a:pt x="20726" y="736"/>
              </a:moveTo>
              <a:lnTo>
                <a:pt x="20726" y="450"/>
              </a:lnTo>
              <a:lnTo>
                <a:pt x="20074" y="0"/>
              </a:lnTo>
              <a:lnTo>
                <a:pt x="738" y="0"/>
              </a:lnTo>
              <a:lnTo>
                <a:pt x="0" y="520"/>
              </a:lnTo>
              <a:lnTo>
                <a:pt x="0" y="12585"/>
              </a:lnTo>
              <a:lnTo>
                <a:pt x="5079" y="16268"/>
              </a:lnTo>
              <a:lnTo>
                <a:pt x="5194" y="3213"/>
              </a:lnTo>
              <a:lnTo>
                <a:pt x="7315" y="736"/>
              </a:lnTo>
              <a:lnTo>
                <a:pt x="20726" y="736"/>
              </a:lnTo>
              <a:close/>
            </a:path>
            <a:path w="20955" h="16510">
              <a:moveTo>
                <a:pt x="20726" y="12657"/>
              </a:moveTo>
              <a:lnTo>
                <a:pt x="20726" y="12484"/>
              </a:lnTo>
              <a:lnTo>
                <a:pt x="7315" y="12484"/>
              </a:lnTo>
              <a:lnTo>
                <a:pt x="5194" y="9893"/>
              </a:lnTo>
              <a:lnTo>
                <a:pt x="5194" y="16268"/>
              </a:lnTo>
              <a:lnTo>
                <a:pt x="15748" y="16196"/>
              </a:lnTo>
              <a:lnTo>
                <a:pt x="20726" y="12657"/>
              </a:lnTo>
              <a:close/>
            </a:path>
            <a:path w="20955" h="16510">
              <a:moveTo>
                <a:pt x="20726" y="12484"/>
              </a:moveTo>
              <a:lnTo>
                <a:pt x="20726" y="736"/>
              </a:lnTo>
              <a:lnTo>
                <a:pt x="13728" y="736"/>
              </a:lnTo>
              <a:lnTo>
                <a:pt x="15748" y="3213"/>
              </a:lnTo>
              <a:lnTo>
                <a:pt x="15748" y="12484"/>
              </a:lnTo>
              <a:lnTo>
                <a:pt x="20726" y="12484"/>
              </a:lnTo>
              <a:close/>
            </a:path>
            <a:path w="20955" h="16510">
              <a:moveTo>
                <a:pt x="15748" y="12484"/>
              </a:moveTo>
              <a:lnTo>
                <a:pt x="15748" y="9893"/>
              </a:lnTo>
              <a:lnTo>
                <a:pt x="13728" y="12484"/>
              </a:lnTo>
              <a:lnTo>
                <a:pt x="15748" y="12484"/>
              </a:lnTo>
              <a:close/>
            </a:path>
          </a:pathLst>
        </a:custGeom>
        <a:solidFill>
          <a:srgbClr val="131413">
            <a:alpha val="50000"/>
          </a:srgbClr>
        </a:solidFill>
      </xdr:spPr>
    </xdr:sp>
    <xdr:clientData/>
  </xdr:twoCellAnchor>
  <xdr:twoCellAnchor editAs="oneCell">
    <xdr:from>
      <xdr:col>8</xdr:col>
      <xdr:colOff>0</xdr:colOff>
      <xdr:row>4380</xdr:row>
      <xdr:rowOff>144151</xdr:rowOff>
    </xdr:from>
    <xdr:to>
      <xdr:col>8</xdr:col>
      <xdr:colOff>28575</xdr:colOff>
      <xdr:row>4380</xdr:row>
      <xdr:rowOff>161296</xdr:rowOff>
    </xdr:to>
    <xdr:sp macro="" textlink="">
      <xdr:nvSpPr>
        <xdr:cNvPr id="328" name="Shape 669">
          <a:extLst>
            <a:ext uri="{FF2B5EF4-FFF2-40B4-BE49-F238E27FC236}">
              <a16:creationId xmlns:a16="http://schemas.microsoft.com/office/drawing/2014/main" id="{00000000-0008-0000-0700-000048010000}"/>
            </a:ext>
          </a:extLst>
        </xdr:cNvPr>
        <xdr:cNvSpPr/>
      </xdr:nvSpPr>
      <xdr:spPr>
        <a:xfrm>
          <a:off x="16689311" y="2042094601"/>
          <a:ext cx="28575" cy="19050"/>
        </a:xfrm>
        <a:custGeom>
          <a:avLst/>
          <a:gdLst/>
          <a:ahLst/>
          <a:cxnLst/>
          <a:rect l="0" t="0" r="0" b="0"/>
          <a:pathLst>
            <a:path w="20955" h="17145">
              <a:moveTo>
                <a:pt x="20764" y="1523"/>
              </a:moveTo>
              <a:lnTo>
                <a:pt x="20764" y="1320"/>
              </a:lnTo>
              <a:lnTo>
                <a:pt x="18860" y="0"/>
              </a:lnTo>
              <a:lnTo>
                <a:pt x="1790" y="0"/>
              </a:lnTo>
              <a:lnTo>
                <a:pt x="0" y="1266"/>
              </a:lnTo>
              <a:lnTo>
                <a:pt x="0" y="13428"/>
              </a:lnTo>
              <a:lnTo>
                <a:pt x="4916" y="17005"/>
              </a:lnTo>
              <a:lnTo>
                <a:pt x="5118" y="17005"/>
              </a:lnTo>
              <a:lnTo>
                <a:pt x="5118" y="4013"/>
              </a:lnTo>
              <a:lnTo>
                <a:pt x="7251" y="1523"/>
              </a:lnTo>
              <a:lnTo>
                <a:pt x="20764" y="1523"/>
              </a:lnTo>
              <a:close/>
            </a:path>
            <a:path w="20955" h="17145">
              <a:moveTo>
                <a:pt x="20764" y="13373"/>
              </a:moveTo>
              <a:lnTo>
                <a:pt x="7251" y="13284"/>
              </a:lnTo>
              <a:lnTo>
                <a:pt x="5118" y="10693"/>
              </a:lnTo>
              <a:lnTo>
                <a:pt x="5118" y="17005"/>
              </a:lnTo>
              <a:lnTo>
                <a:pt x="15684" y="16996"/>
              </a:lnTo>
              <a:lnTo>
                <a:pt x="20764" y="13373"/>
              </a:lnTo>
              <a:close/>
            </a:path>
            <a:path w="20955" h="17145">
              <a:moveTo>
                <a:pt x="20764" y="13284"/>
              </a:moveTo>
              <a:lnTo>
                <a:pt x="20764" y="1523"/>
              </a:lnTo>
              <a:lnTo>
                <a:pt x="13652" y="1523"/>
              </a:lnTo>
              <a:lnTo>
                <a:pt x="15684" y="4013"/>
              </a:lnTo>
              <a:lnTo>
                <a:pt x="15684" y="13284"/>
              </a:lnTo>
              <a:lnTo>
                <a:pt x="20764" y="13284"/>
              </a:lnTo>
              <a:close/>
            </a:path>
            <a:path w="20955" h="17145">
              <a:moveTo>
                <a:pt x="15684" y="13284"/>
              </a:moveTo>
              <a:lnTo>
                <a:pt x="15684" y="10693"/>
              </a:lnTo>
              <a:lnTo>
                <a:pt x="13652" y="13284"/>
              </a:lnTo>
              <a:lnTo>
                <a:pt x="15684" y="13284"/>
              </a:lnTo>
              <a:close/>
            </a:path>
          </a:pathLst>
        </a:custGeom>
        <a:solidFill>
          <a:srgbClr val="131413">
            <a:alpha val="50000"/>
          </a:srgbClr>
        </a:solidFill>
      </xdr:spPr>
    </xdr:sp>
    <xdr:clientData/>
  </xdr:twoCellAnchor>
  <xdr:twoCellAnchor editAs="oneCell">
    <xdr:from>
      <xdr:col>8</xdr:col>
      <xdr:colOff>0</xdr:colOff>
      <xdr:row>4058</xdr:row>
      <xdr:rowOff>135235</xdr:rowOff>
    </xdr:from>
    <xdr:to>
      <xdr:col>8</xdr:col>
      <xdr:colOff>55245</xdr:colOff>
      <xdr:row>4058</xdr:row>
      <xdr:rowOff>138410</xdr:rowOff>
    </xdr:to>
    <xdr:sp macro="" textlink="">
      <xdr:nvSpPr>
        <xdr:cNvPr id="330" name="Shape 676">
          <a:extLst>
            <a:ext uri="{FF2B5EF4-FFF2-40B4-BE49-F238E27FC236}">
              <a16:creationId xmlns:a16="http://schemas.microsoft.com/office/drawing/2014/main" id="{00000000-0008-0000-0700-00004A010000}"/>
            </a:ext>
          </a:extLst>
        </xdr:cNvPr>
        <xdr:cNvSpPr/>
      </xdr:nvSpPr>
      <xdr:spPr>
        <a:xfrm>
          <a:off x="15953981" y="2096473435"/>
          <a:ext cx="59055" cy="635"/>
        </a:xfrm>
        <a:custGeom>
          <a:avLst/>
          <a:gdLst/>
          <a:ahLst/>
          <a:cxnLst/>
          <a:rect l="0" t="0" r="0" b="0"/>
          <a:pathLst>
            <a:path w="55244" h="3175">
              <a:moveTo>
                <a:pt x="19945" y="2882"/>
              </a:moveTo>
              <a:lnTo>
                <a:pt x="16014" y="0"/>
              </a:lnTo>
              <a:lnTo>
                <a:pt x="4813" y="0"/>
              </a:lnTo>
              <a:lnTo>
                <a:pt x="1219" y="1663"/>
              </a:lnTo>
              <a:lnTo>
                <a:pt x="0" y="2869"/>
              </a:lnTo>
              <a:lnTo>
                <a:pt x="19945" y="2882"/>
              </a:lnTo>
              <a:close/>
            </a:path>
            <a:path w="55244" h="3175">
              <a:moveTo>
                <a:pt x="54952" y="2882"/>
              </a:moveTo>
              <a:lnTo>
                <a:pt x="54952" y="330"/>
              </a:lnTo>
              <a:lnTo>
                <a:pt x="51066" y="330"/>
              </a:lnTo>
              <a:lnTo>
                <a:pt x="48973" y="2882"/>
              </a:lnTo>
              <a:lnTo>
                <a:pt x="54952" y="2882"/>
              </a:lnTo>
              <a:close/>
            </a:path>
          </a:pathLst>
        </a:custGeom>
        <a:solidFill>
          <a:srgbClr val="131413"/>
        </a:solidFill>
      </xdr:spPr>
    </xdr:sp>
    <xdr:clientData/>
  </xdr:twoCellAnchor>
  <xdr:twoCellAnchor editAs="oneCell">
    <xdr:from>
      <xdr:col>8</xdr:col>
      <xdr:colOff>0</xdr:colOff>
      <xdr:row>4060</xdr:row>
      <xdr:rowOff>134562</xdr:rowOff>
    </xdr:from>
    <xdr:to>
      <xdr:col>8</xdr:col>
      <xdr:colOff>46355</xdr:colOff>
      <xdr:row>4060</xdr:row>
      <xdr:rowOff>135197</xdr:rowOff>
    </xdr:to>
    <xdr:sp macro="" textlink="">
      <xdr:nvSpPr>
        <xdr:cNvPr id="331" name="Shape 677">
          <a:extLst>
            <a:ext uri="{FF2B5EF4-FFF2-40B4-BE49-F238E27FC236}">
              <a16:creationId xmlns:a16="http://schemas.microsoft.com/office/drawing/2014/main" id="{00000000-0008-0000-0700-00004B010000}"/>
            </a:ext>
          </a:extLst>
        </xdr:cNvPr>
        <xdr:cNvSpPr/>
      </xdr:nvSpPr>
      <xdr:spPr>
        <a:xfrm>
          <a:off x="15963493" y="2102740212"/>
          <a:ext cx="48260" cy="635"/>
        </a:xfrm>
        <a:custGeom>
          <a:avLst/>
          <a:gdLst/>
          <a:ahLst/>
          <a:cxnLst/>
          <a:rect l="0" t="0" r="0" b="0"/>
          <a:pathLst>
            <a:path w="50165" h="3175">
              <a:moveTo>
                <a:pt x="19957" y="2882"/>
              </a:moveTo>
              <a:lnTo>
                <a:pt x="16014" y="0"/>
              </a:lnTo>
              <a:lnTo>
                <a:pt x="4813" y="0"/>
              </a:lnTo>
              <a:lnTo>
                <a:pt x="1231" y="1663"/>
              </a:lnTo>
              <a:lnTo>
                <a:pt x="0" y="2875"/>
              </a:lnTo>
              <a:lnTo>
                <a:pt x="19957" y="2882"/>
              </a:lnTo>
              <a:close/>
            </a:path>
            <a:path w="50165" h="3175">
              <a:moveTo>
                <a:pt x="49923" y="2882"/>
              </a:moveTo>
              <a:lnTo>
                <a:pt x="49923" y="0"/>
              </a:lnTo>
              <a:lnTo>
                <a:pt x="45427" y="1523"/>
              </a:lnTo>
              <a:lnTo>
                <a:pt x="41084" y="2730"/>
              </a:lnTo>
              <a:lnTo>
                <a:pt x="40089" y="2882"/>
              </a:lnTo>
              <a:lnTo>
                <a:pt x="49923" y="2882"/>
              </a:lnTo>
              <a:close/>
            </a:path>
          </a:pathLst>
        </a:custGeom>
        <a:solidFill>
          <a:srgbClr val="131413"/>
        </a:solidFill>
      </xdr:spPr>
    </xdr:sp>
    <xdr:clientData/>
  </xdr:twoCellAnchor>
  <xdr:oneCellAnchor>
    <xdr:from>
      <xdr:col>8</xdr:col>
      <xdr:colOff>0</xdr:colOff>
      <xdr:row>4738</xdr:row>
      <xdr:rowOff>131464</xdr:rowOff>
    </xdr:from>
    <xdr:ext cx="11430" cy="1905"/>
    <xdr:sp macro="" textlink="">
      <xdr:nvSpPr>
        <xdr:cNvPr id="174" name="Shape 315">
          <a:extLst>
            <a:ext uri="{FF2B5EF4-FFF2-40B4-BE49-F238E27FC236}">
              <a16:creationId xmlns:a16="http://schemas.microsoft.com/office/drawing/2014/main" id="{00000000-0008-0000-0700-0000AE000000}"/>
            </a:ext>
          </a:extLst>
        </xdr:cNvPr>
        <xdr:cNvSpPr/>
      </xdr:nvSpPr>
      <xdr:spPr>
        <a:xfrm>
          <a:off x="16010811" y="749291764"/>
          <a:ext cx="11430" cy="1905"/>
        </a:xfrm>
        <a:custGeom>
          <a:avLst/>
          <a:gdLst/>
          <a:ahLst/>
          <a:cxnLst/>
          <a:rect l="0" t="0" r="0" b="0"/>
          <a:pathLst>
            <a:path w="5715" h="1905">
              <a:moveTo>
                <a:pt x="5107" y="1689"/>
              </a:moveTo>
              <a:lnTo>
                <a:pt x="5107" y="0"/>
              </a:lnTo>
              <a:lnTo>
                <a:pt x="598" y="1524"/>
              </a:lnTo>
              <a:lnTo>
                <a:pt x="0" y="1689"/>
              </a:lnTo>
              <a:lnTo>
                <a:pt x="5107" y="1689"/>
              </a:lnTo>
              <a:close/>
            </a:path>
          </a:pathLst>
        </a:custGeom>
        <a:solidFill>
          <a:srgbClr val="131413"/>
        </a:solidFill>
      </xdr:spPr>
    </xdr:sp>
    <xdr:clientData/>
  </xdr:oneCellAnchor>
  <xdr:oneCellAnchor>
    <xdr:from>
      <xdr:col>8</xdr:col>
      <xdr:colOff>0</xdr:colOff>
      <xdr:row>4738</xdr:row>
      <xdr:rowOff>131464</xdr:rowOff>
    </xdr:from>
    <xdr:ext cx="8890" cy="1905"/>
    <xdr:sp macro="" textlink="">
      <xdr:nvSpPr>
        <xdr:cNvPr id="175" name="Shape 316">
          <a:extLst>
            <a:ext uri="{FF2B5EF4-FFF2-40B4-BE49-F238E27FC236}">
              <a16:creationId xmlns:a16="http://schemas.microsoft.com/office/drawing/2014/main" id="{00000000-0008-0000-0700-0000AF000000}"/>
            </a:ext>
          </a:extLst>
        </xdr:cNvPr>
        <xdr:cNvSpPr/>
      </xdr:nvSpPr>
      <xdr:spPr>
        <a:xfrm>
          <a:off x="16393833" y="749291764"/>
          <a:ext cx="8890" cy="1905"/>
        </a:xfrm>
        <a:custGeom>
          <a:avLst/>
          <a:gdLst/>
          <a:ahLst/>
          <a:cxnLst/>
          <a:rect l="0" t="0" r="0" b="0"/>
          <a:pathLst>
            <a:path w="14604" h="1905">
              <a:moveTo>
                <a:pt x="14097" y="1689"/>
              </a:moveTo>
              <a:lnTo>
                <a:pt x="14097" y="0"/>
              </a:lnTo>
              <a:lnTo>
                <a:pt x="2959" y="0"/>
              </a:lnTo>
              <a:lnTo>
                <a:pt x="0" y="1359"/>
              </a:lnTo>
              <a:lnTo>
                <a:pt x="0" y="1689"/>
              </a:lnTo>
              <a:lnTo>
                <a:pt x="14097" y="1689"/>
              </a:lnTo>
              <a:close/>
            </a:path>
          </a:pathLst>
        </a:custGeom>
        <a:solidFill>
          <a:srgbClr val="131413"/>
        </a:solidFill>
      </xdr:spPr>
    </xdr:sp>
    <xdr:clientData/>
  </xdr:oneCellAnchor>
  <xdr:oneCellAnchor>
    <xdr:from>
      <xdr:col>8</xdr:col>
      <xdr:colOff>0</xdr:colOff>
      <xdr:row>4738</xdr:row>
      <xdr:rowOff>131464</xdr:rowOff>
    </xdr:from>
    <xdr:ext cx="12700" cy="1905"/>
    <xdr:sp macro="" textlink="">
      <xdr:nvSpPr>
        <xdr:cNvPr id="176" name="Shape 317">
          <a:extLst>
            <a:ext uri="{FF2B5EF4-FFF2-40B4-BE49-F238E27FC236}">
              <a16:creationId xmlns:a16="http://schemas.microsoft.com/office/drawing/2014/main" id="{00000000-0008-0000-0700-0000B0000000}"/>
            </a:ext>
          </a:extLst>
        </xdr:cNvPr>
        <xdr:cNvSpPr/>
      </xdr:nvSpPr>
      <xdr:spPr>
        <a:xfrm>
          <a:off x="16552976" y="749291764"/>
          <a:ext cx="12700" cy="1905"/>
        </a:xfrm>
        <a:custGeom>
          <a:avLst/>
          <a:gdLst/>
          <a:ahLst/>
          <a:cxnLst/>
          <a:rect l="0" t="0" r="0" b="0"/>
          <a:pathLst>
            <a:path w="14604" h="1905">
              <a:moveTo>
                <a:pt x="14477" y="1689"/>
              </a:moveTo>
              <a:lnTo>
                <a:pt x="14477" y="210"/>
              </a:lnTo>
              <a:lnTo>
                <a:pt x="14236" y="0"/>
              </a:lnTo>
              <a:lnTo>
                <a:pt x="3175" y="0"/>
              </a:lnTo>
              <a:lnTo>
                <a:pt x="0" y="1468"/>
              </a:lnTo>
              <a:lnTo>
                <a:pt x="0" y="1689"/>
              </a:lnTo>
              <a:lnTo>
                <a:pt x="14477" y="1689"/>
              </a:lnTo>
              <a:close/>
            </a:path>
          </a:pathLst>
        </a:custGeom>
        <a:solidFill>
          <a:srgbClr val="131413"/>
        </a:solidFill>
      </xdr:spPr>
    </xdr:sp>
    <xdr:clientData/>
  </xdr:oneCellAnchor>
  <xdr:oneCellAnchor>
    <xdr:from>
      <xdr:col>8</xdr:col>
      <xdr:colOff>0</xdr:colOff>
      <xdr:row>1327</xdr:row>
      <xdr:rowOff>146068</xdr:rowOff>
    </xdr:from>
    <xdr:ext cx="19050" cy="17145"/>
    <xdr:sp macro="" textlink="">
      <xdr:nvSpPr>
        <xdr:cNvPr id="177" name="Shape 55">
          <a:extLst>
            <a:ext uri="{FF2B5EF4-FFF2-40B4-BE49-F238E27FC236}">
              <a16:creationId xmlns:a16="http://schemas.microsoft.com/office/drawing/2014/main" id="{00000000-0008-0000-0700-0000B1000000}"/>
            </a:ext>
          </a:extLst>
        </xdr:cNvPr>
        <xdr:cNvSpPr/>
      </xdr:nvSpPr>
      <xdr:spPr>
        <a:xfrm>
          <a:off x="16240201" y="99842338"/>
          <a:ext cx="19050" cy="17145"/>
        </a:xfrm>
        <a:custGeom>
          <a:avLst/>
          <a:gdLst/>
          <a:ahLst/>
          <a:cxnLst/>
          <a:rect l="0" t="0" r="0" b="0"/>
          <a:pathLst>
            <a:path w="19050" h="17145">
              <a:moveTo>
                <a:pt x="18541" y="3267"/>
              </a:moveTo>
              <a:lnTo>
                <a:pt x="18541" y="903"/>
              </a:lnTo>
              <a:lnTo>
                <a:pt x="17170" y="84"/>
              </a:lnTo>
              <a:lnTo>
                <a:pt x="10447" y="0"/>
              </a:lnTo>
              <a:lnTo>
                <a:pt x="0" y="14439"/>
              </a:lnTo>
              <a:lnTo>
                <a:pt x="2504" y="16522"/>
              </a:lnTo>
              <a:lnTo>
                <a:pt x="2777" y="16522"/>
              </a:lnTo>
              <a:lnTo>
                <a:pt x="17170" y="4381"/>
              </a:lnTo>
              <a:lnTo>
                <a:pt x="18541" y="3267"/>
              </a:lnTo>
              <a:close/>
            </a:path>
          </a:pathLst>
        </a:custGeom>
        <a:solidFill>
          <a:srgbClr val="131413">
            <a:alpha val="50000"/>
          </a:srgbClr>
        </a:solidFill>
      </xdr:spPr>
    </xdr:sp>
    <xdr:clientData/>
  </xdr:oneCellAnchor>
  <xdr:oneCellAnchor>
    <xdr:from>
      <xdr:col>8</xdr:col>
      <xdr:colOff>0</xdr:colOff>
      <xdr:row>1756</xdr:row>
      <xdr:rowOff>258946</xdr:rowOff>
    </xdr:from>
    <xdr:ext cx="27940" cy="9525"/>
    <xdr:sp macro="" textlink="">
      <xdr:nvSpPr>
        <xdr:cNvPr id="181" name="Shape 400">
          <a:extLst>
            <a:ext uri="{FF2B5EF4-FFF2-40B4-BE49-F238E27FC236}">
              <a16:creationId xmlns:a16="http://schemas.microsoft.com/office/drawing/2014/main" id="{00000000-0008-0000-0700-0000B5000000}"/>
            </a:ext>
          </a:extLst>
        </xdr:cNvPr>
        <xdr:cNvSpPr/>
      </xdr:nvSpPr>
      <xdr:spPr>
        <a:xfrm>
          <a:off x="15889503" y="1265319916"/>
          <a:ext cx="27940" cy="9525"/>
        </a:xfrm>
        <a:custGeom>
          <a:avLst/>
          <a:gdLst/>
          <a:ahLst/>
          <a:cxnLst/>
          <a:rect l="0" t="0" r="0" b="0"/>
          <a:pathLst>
            <a:path w="29845" h="11430">
              <a:moveTo>
                <a:pt x="29616" y="9023"/>
              </a:moveTo>
              <a:lnTo>
                <a:pt x="29616" y="2523"/>
              </a:lnTo>
              <a:lnTo>
                <a:pt x="27241" y="0"/>
              </a:lnTo>
              <a:lnTo>
                <a:pt x="20739" y="0"/>
              </a:lnTo>
              <a:lnTo>
                <a:pt x="18491" y="2590"/>
              </a:lnTo>
              <a:lnTo>
                <a:pt x="18491" y="8966"/>
              </a:lnTo>
              <a:lnTo>
                <a:pt x="20739" y="11150"/>
              </a:lnTo>
              <a:lnTo>
                <a:pt x="27241" y="11150"/>
              </a:lnTo>
              <a:lnTo>
                <a:pt x="29616" y="9023"/>
              </a:lnTo>
              <a:close/>
            </a:path>
            <a:path w="29845" h="11430">
              <a:moveTo>
                <a:pt x="11175" y="8966"/>
              </a:moveTo>
              <a:lnTo>
                <a:pt x="11175" y="2590"/>
              </a:lnTo>
              <a:lnTo>
                <a:pt x="8839" y="0"/>
              </a:lnTo>
              <a:lnTo>
                <a:pt x="2336" y="0"/>
              </a:lnTo>
              <a:lnTo>
                <a:pt x="0" y="2590"/>
              </a:lnTo>
              <a:lnTo>
                <a:pt x="0" y="8966"/>
              </a:lnTo>
              <a:lnTo>
                <a:pt x="2336" y="11150"/>
              </a:lnTo>
              <a:lnTo>
                <a:pt x="8839" y="11150"/>
              </a:lnTo>
              <a:lnTo>
                <a:pt x="11175" y="8966"/>
              </a:lnTo>
              <a:close/>
            </a:path>
          </a:pathLst>
        </a:custGeom>
        <a:solidFill>
          <a:srgbClr val="131413">
            <a:alpha val="50000"/>
          </a:srgbClr>
        </a:solidFill>
      </xdr:spPr>
    </xdr:sp>
    <xdr:clientData/>
  </xdr:oneCellAnchor>
  <xdr:oneCellAnchor>
    <xdr:from>
      <xdr:col>8</xdr:col>
      <xdr:colOff>0</xdr:colOff>
      <xdr:row>2465</xdr:row>
      <xdr:rowOff>144176</xdr:rowOff>
    </xdr:from>
    <xdr:ext cx="18415" cy="19050"/>
    <xdr:sp macro="" textlink="">
      <xdr:nvSpPr>
        <xdr:cNvPr id="187" name="Shape 223">
          <a:extLst>
            <a:ext uri="{FF2B5EF4-FFF2-40B4-BE49-F238E27FC236}">
              <a16:creationId xmlns:a16="http://schemas.microsoft.com/office/drawing/2014/main" id="{00000000-0008-0000-0700-0000BB000000}"/>
            </a:ext>
          </a:extLst>
        </xdr:cNvPr>
        <xdr:cNvSpPr/>
      </xdr:nvSpPr>
      <xdr:spPr>
        <a:xfrm>
          <a:off x="15765729" y="428843471"/>
          <a:ext cx="18415" cy="19050"/>
        </a:xfrm>
        <a:custGeom>
          <a:avLst/>
          <a:gdLst/>
          <a:ahLst/>
          <a:cxnLst/>
          <a:rect l="0" t="0" r="0" b="0"/>
          <a:pathLst>
            <a:path w="24130" h="17145">
              <a:moveTo>
                <a:pt x="18253" y="6172"/>
              </a:moveTo>
              <a:lnTo>
                <a:pt x="16560" y="3479"/>
              </a:lnTo>
              <a:lnTo>
                <a:pt x="14687" y="0"/>
              </a:lnTo>
              <a:lnTo>
                <a:pt x="9175" y="0"/>
              </a:lnTo>
              <a:lnTo>
                <a:pt x="7302" y="3479"/>
              </a:lnTo>
              <a:lnTo>
                <a:pt x="3746" y="8953"/>
              </a:lnTo>
              <a:lnTo>
                <a:pt x="0" y="14178"/>
              </a:lnTo>
              <a:lnTo>
                <a:pt x="0" y="14414"/>
              </a:lnTo>
              <a:lnTo>
                <a:pt x="3321" y="16624"/>
              </a:lnTo>
              <a:lnTo>
                <a:pt x="6388" y="13042"/>
              </a:lnTo>
              <a:lnTo>
                <a:pt x="9448" y="9563"/>
              </a:lnTo>
              <a:lnTo>
                <a:pt x="11874" y="6172"/>
              </a:lnTo>
              <a:lnTo>
                <a:pt x="18253" y="6172"/>
              </a:lnTo>
              <a:close/>
            </a:path>
            <a:path w="24130" h="17145">
              <a:moveTo>
                <a:pt x="23875" y="14338"/>
              </a:moveTo>
              <a:lnTo>
                <a:pt x="20002" y="8953"/>
              </a:lnTo>
              <a:lnTo>
                <a:pt x="18253" y="6172"/>
              </a:lnTo>
              <a:lnTo>
                <a:pt x="11874" y="6172"/>
              </a:lnTo>
              <a:lnTo>
                <a:pt x="14414" y="9563"/>
              </a:lnTo>
              <a:lnTo>
                <a:pt x="20398" y="16624"/>
              </a:lnTo>
              <a:lnTo>
                <a:pt x="23875" y="14338"/>
              </a:lnTo>
              <a:close/>
            </a:path>
          </a:pathLst>
        </a:custGeom>
        <a:solidFill>
          <a:srgbClr val="131413">
            <a:alpha val="50000"/>
          </a:srgbClr>
        </a:solidFill>
      </xdr:spPr>
    </xdr:sp>
    <xdr:clientData/>
  </xdr:oneCellAnchor>
  <xdr:oneCellAnchor>
    <xdr:from>
      <xdr:col>8</xdr:col>
      <xdr:colOff>0</xdr:colOff>
      <xdr:row>4367</xdr:row>
      <xdr:rowOff>144113</xdr:rowOff>
    </xdr:from>
    <xdr:ext cx="30480" cy="18415"/>
    <xdr:sp macro="" textlink="">
      <xdr:nvSpPr>
        <xdr:cNvPr id="189" name="Shape 373">
          <a:extLst>
            <a:ext uri="{FF2B5EF4-FFF2-40B4-BE49-F238E27FC236}">
              <a16:creationId xmlns:a16="http://schemas.microsoft.com/office/drawing/2014/main" id="{00000000-0008-0000-0700-0000BD000000}"/>
            </a:ext>
          </a:extLst>
        </xdr:cNvPr>
        <xdr:cNvSpPr/>
      </xdr:nvSpPr>
      <xdr:spPr>
        <a:xfrm>
          <a:off x="17038637" y="1216599008"/>
          <a:ext cx="30480" cy="18415"/>
        </a:xfrm>
        <a:custGeom>
          <a:avLst/>
          <a:gdLst/>
          <a:ahLst/>
          <a:cxnLst/>
          <a:rect l="0" t="0" r="0" b="0"/>
          <a:pathLst>
            <a:path w="20955" h="16510">
              <a:moveTo>
                <a:pt x="20739" y="596"/>
              </a:moveTo>
              <a:lnTo>
                <a:pt x="20739" y="393"/>
              </a:lnTo>
              <a:lnTo>
                <a:pt x="20169" y="0"/>
              </a:lnTo>
              <a:lnTo>
                <a:pt x="468" y="0"/>
              </a:lnTo>
              <a:lnTo>
                <a:pt x="0" y="330"/>
              </a:lnTo>
              <a:lnTo>
                <a:pt x="0" y="12523"/>
              </a:lnTo>
              <a:lnTo>
                <a:pt x="4978" y="16141"/>
              </a:lnTo>
              <a:lnTo>
                <a:pt x="5092" y="3086"/>
              </a:lnTo>
              <a:lnTo>
                <a:pt x="7213" y="596"/>
              </a:lnTo>
              <a:lnTo>
                <a:pt x="20739" y="596"/>
              </a:lnTo>
              <a:close/>
            </a:path>
            <a:path w="20955" h="16510">
              <a:moveTo>
                <a:pt x="20739" y="12458"/>
              </a:moveTo>
              <a:lnTo>
                <a:pt x="7213" y="12357"/>
              </a:lnTo>
              <a:lnTo>
                <a:pt x="5092" y="9766"/>
              </a:lnTo>
              <a:lnTo>
                <a:pt x="5092" y="16141"/>
              </a:lnTo>
              <a:lnTo>
                <a:pt x="15646" y="16078"/>
              </a:lnTo>
              <a:lnTo>
                <a:pt x="20739" y="12458"/>
              </a:lnTo>
              <a:close/>
            </a:path>
            <a:path w="20955" h="16510">
              <a:moveTo>
                <a:pt x="20739" y="12357"/>
              </a:moveTo>
              <a:lnTo>
                <a:pt x="20739" y="596"/>
              </a:lnTo>
              <a:lnTo>
                <a:pt x="13627" y="596"/>
              </a:lnTo>
              <a:lnTo>
                <a:pt x="15646" y="3086"/>
              </a:lnTo>
              <a:lnTo>
                <a:pt x="15646" y="12357"/>
              </a:lnTo>
              <a:lnTo>
                <a:pt x="20739" y="12357"/>
              </a:lnTo>
              <a:close/>
            </a:path>
            <a:path w="20955" h="16510">
              <a:moveTo>
                <a:pt x="15646" y="12357"/>
              </a:moveTo>
              <a:lnTo>
                <a:pt x="15646" y="9766"/>
              </a:lnTo>
              <a:lnTo>
                <a:pt x="13627" y="12357"/>
              </a:lnTo>
              <a:lnTo>
                <a:pt x="15646" y="12357"/>
              </a:lnTo>
              <a:close/>
            </a:path>
          </a:pathLst>
        </a:custGeom>
        <a:solidFill>
          <a:srgbClr val="131413">
            <a:alpha val="50000"/>
          </a:srgbClr>
        </a:solidFill>
      </xdr:spPr>
    </xdr:sp>
    <xdr:clientData/>
  </xdr:oneCellAnchor>
  <xdr:oneCellAnchor>
    <xdr:from>
      <xdr:col>8</xdr:col>
      <xdr:colOff>0</xdr:colOff>
      <xdr:row>2083</xdr:row>
      <xdr:rowOff>154222</xdr:rowOff>
    </xdr:from>
    <xdr:ext cx="26035" cy="8890"/>
    <xdr:sp macro="" textlink="">
      <xdr:nvSpPr>
        <xdr:cNvPr id="2" name="Shape 449">
          <a:extLst>
            <a:ext uri="{FF2B5EF4-FFF2-40B4-BE49-F238E27FC236}">
              <a16:creationId xmlns:a16="http://schemas.microsoft.com/office/drawing/2014/main" id="{00000000-0008-0000-0700-000002000000}"/>
            </a:ext>
          </a:extLst>
        </xdr:cNvPr>
        <xdr:cNvSpPr/>
      </xdr:nvSpPr>
      <xdr:spPr>
        <a:xfrm>
          <a:off x="18908115" y="812389072"/>
          <a:ext cx="26035" cy="8890"/>
        </a:xfrm>
        <a:custGeom>
          <a:avLst/>
          <a:gdLst/>
          <a:ahLst/>
          <a:cxnLst/>
          <a:rect l="0" t="0" r="0" b="0"/>
          <a:pathLst>
            <a:path w="24130" h="8890">
              <a:moveTo>
                <a:pt x="10472" y="0"/>
              </a:moveTo>
              <a:lnTo>
                <a:pt x="4286" y="0"/>
              </a:lnTo>
              <a:lnTo>
                <a:pt x="3848" y="673"/>
              </a:lnTo>
              <a:lnTo>
                <a:pt x="0" y="6057"/>
              </a:lnTo>
              <a:lnTo>
                <a:pt x="3441" y="8343"/>
              </a:lnTo>
              <a:lnTo>
                <a:pt x="6502" y="4762"/>
              </a:lnTo>
              <a:lnTo>
                <a:pt x="9550" y="1282"/>
              </a:lnTo>
              <a:lnTo>
                <a:pt x="10472" y="0"/>
              </a:lnTo>
              <a:close/>
            </a:path>
            <a:path w="24130" h="8890">
              <a:moveTo>
                <a:pt x="23952" y="6074"/>
              </a:moveTo>
              <a:lnTo>
                <a:pt x="20116" y="673"/>
              </a:lnTo>
              <a:lnTo>
                <a:pt x="19692" y="0"/>
              </a:lnTo>
              <a:lnTo>
                <a:pt x="13567" y="0"/>
              </a:lnTo>
              <a:lnTo>
                <a:pt x="14528" y="1282"/>
              </a:lnTo>
              <a:lnTo>
                <a:pt x="20523" y="8343"/>
              </a:lnTo>
              <a:lnTo>
                <a:pt x="23952" y="6074"/>
              </a:lnTo>
              <a:close/>
            </a:path>
          </a:pathLst>
        </a:custGeom>
        <a:solidFill>
          <a:srgbClr val="131413">
            <a:alpha val="50000"/>
          </a:srgbClr>
        </a:solidFill>
      </xdr:spPr>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0</xdr:colOff>
      <xdr:row>5</xdr:row>
      <xdr:rowOff>265169</xdr:rowOff>
    </xdr:from>
    <xdr:ext cx="67945" cy="76835"/>
    <xdr:grpSp>
      <xdr:nvGrpSpPr>
        <xdr:cNvPr id="2" name="Group 239">
          <a:extLst>
            <a:ext uri="{FF2B5EF4-FFF2-40B4-BE49-F238E27FC236}">
              <a16:creationId xmlns:a16="http://schemas.microsoft.com/office/drawing/2014/main" id="{00000000-0008-0000-0C00-000002000000}"/>
            </a:ext>
          </a:extLst>
        </xdr:cNvPr>
        <xdr:cNvGrpSpPr/>
      </xdr:nvGrpSpPr>
      <xdr:grpSpPr>
        <a:xfrm>
          <a:off x="11639550" y="1893944"/>
          <a:ext cx="67945" cy="76835"/>
          <a:chOff x="0" y="0"/>
          <a:chExt cx="64135" cy="80645"/>
        </a:xfrm>
      </xdr:grpSpPr>
      <xdr:sp macro="" textlink="">
        <xdr:nvSpPr>
          <xdr:cNvPr id="3" name="Shape 240">
            <a:extLst>
              <a:ext uri="{FF2B5EF4-FFF2-40B4-BE49-F238E27FC236}">
                <a16:creationId xmlns:a16="http://schemas.microsoft.com/office/drawing/2014/main" id="{00000000-0008-0000-0C00-000003000000}"/>
              </a:ext>
            </a:extLst>
          </xdr:cNvPr>
          <xdr:cNvSpPr/>
        </xdr:nvSpPr>
        <xdr:spPr>
          <a:xfrm>
            <a:off x="0" y="0"/>
            <a:ext cx="64135" cy="80645"/>
          </a:xfrm>
          <a:custGeom>
            <a:avLst/>
            <a:gdLst/>
            <a:ahLst/>
            <a:cxnLst/>
            <a:rect l="0" t="0" r="0" b="0"/>
            <a:pathLst>
              <a:path w="64135" h="80645">
                <a:moveTo>
                  <a:pt x="37807" y="0"/>
                </a:moveTo>
                <a:lnTo>
                  <a:pt x="0" y="0"/>
                </a:lnTo>
                <a:lnTo>
                  <a:pt x="0" y="64376"/>
                </a:lnTo>
                <a:lnTo>
                  <a:pt x="35115" y="64376"/>
                </a:lnTo>
                <a:lnTo>
                  <a:pt x="35115" y="35191"/>
                </a:lnTo>
                <a:lnTo>
                  <a:pt x="37807" y="35191"/>
                </a:lnTo>
                <a:lnTo>
                  <a:pt x="37807" y="0"/>
                </a:lnTo>
              </a:path>
              <a:path w="64135" h="80645">
                <a:moveTo>
                  <a:pt x="63792" y="35191"/>
                </a:moveTo>
                <a:lnTo>
                  <a:pt x="37807" y="35191"/>
                </a:lnTo>
                <a:lnTo>
                  <a:pt x="37807" y="64376"/>
                </a:lnTo>
                <a:lnTo>
                  <a:pt x="35115" y="64376"/>
                </a:lnTo>
                <a:lnTo>
                  <a:pt x="35115" y="80251"/>
                </a:lnTo>
                <a:lnTo>
                  <a:pt x="63792" y="80251"/>
                </a:lnTo>
                <a:lnTo>
                  <a:pt x="63792" y="35191"/>
                </a:lnTo>
              </a:path>
            </a:pathLst>
          </a:custGeom>
          <a:solidFill>
            <a:srgbClr val="D9D9D9">
              <a:alpha val="50000"/>
            </a:srgbClr>
          </a:solidFill>
        </xdr:spPr>
      </xdr:sp>
      <xdr:sp macro="" textlink="">
        <xdr:nvSpPr>
          <xdr:cNvPr id="4" name="Shape 241">
            <a:extLst>
              <a:ext uri="{FF2B5EF4-FFF2-40B4-BE49-F238E27FC236}">
                <a16:creationId xmlns:a16="http://schemas.microsoft.com/office/drawing/2014/main" id="{00000000-0008-0000-0C00-000004000000}"/>
              </a:ext>
            </a:extLst>
          </xdr:cNvPr>
          <xdr:cNvSpPr/>
        </xdr:nvSpPr>
        <xdr:spPr>
          <a:xfrm>
            <a:off x="35115" y="43458"/>
            <a:ext cx="3175" cy="20955"/>
          </a:xfrm>
          <a:custGeom>
            <a:avLst/>
            <a:gdLst/>
            <a:ahLst/>
            <a:cxnLst/>
            <a:rect l="0" t="0" r="0" b="0"/>
            <a:pathLst>
              <a:path w="3175" h="20955">
                <a:moveTo>
                  <a:pt x="2692" y="20918"/>
                </a:moveTo>
                <a:lnTo>
                  <a:pt x="2692" y="0"/>
                </a:lnTo>
                <a:lnTo>
                  <a:pt x="560" y="6365"/>
                </a:lnTo>
                <a:lnTo>
                  <a:pt x="0" y="12274"/>
                </a:lnTo>
                <a:lnTo>
                  <a:pt x="0" y="16031"/>
                </a:lnTo>
                <a:lnTo>
                  <a:pt x="461" y="20918"/>
                </a:lnTo>
                <a:lnTo>
                  <a:pt x="2692" y="20918"/>
                </a:lnTo>
                <a:close/>
              </a:path>
            </a:pathLst>
          </a:custGeom>
          <a:solidFill>
            <a:srgbClr val="131413">
              <a:alpha val="50000"/>
            </a:srgbClr>
          </a:solidFill>
        </xdr:spPr>
      </xdr:sp>
    </xdr:grpSp>
    <xdr:clientData/>
  </xdr:oneCellAnchor>
  <xdr:oneCellAnchor>
    <xdr:from>
      <xdr:col>8</xdr:col>
      <xdr:colOff>0</xdr:colOff>
      <xdr:row>52</xdr:row>
      <xdr:rowOff>134461</xdr:rowOff>
    </xdr:from>
    <xdr:ext cx="69215" cy="0"/>
    <xdr:sp macro="" textlink="">
      <xdr:nvSpPr>
        <xdr:cNvPr id="5" name="Shape 498">
          <a:extLst>
            <a:ext uri="{FF2B5EF4-FFF2-40B4-BE49-F238E27FC236}">
              <a16:creationId xmlns:a16="http://schemas.microsoft.com/office/drawing/2014/main" id="{00000000-0008-0000-0C00-000005000000}"/>
            </a:ext>
          </a:extLst>
        </xdr:cNvPr>
        <xdr:cNvSpPr/>
      </xdr:nvSpPr>
      <xdr:spPr>
        <a:xfrm>
          <a:off x="19877951" y="117130036"/>
          <a:ext cx="69215" cy="0"/>
        </a:xfrm>
        <a:custGeom>
          <a:avLst/>
          <a:gdLst/>
          <a:ahLst/>
          <a:cxnLst/>
          <a:rect l="0" t="0" r="0" b="0"/>
          <a:pathLst>
            <a:path w="59690" h="3810">
              <a:moveTo>
                <a:pt x="13563" y="3682"/>
              </a:moveTo>
              <a:lnTo>
                <a:pt x="13563" y="0"/>
              </a:lnTo>
              <a:lnTo>
                <a:pt x="13188" y="0"/>
              </a:lnTo>
              <a:lnTo>
                <a:pt x="9067" y="1396"/>
              </a:lnTo>
              <a:lnTo>
                <a:pt x="4724" y="2590"/>
              </a:lnTo>
              <a:lnTo>
                <a:pt x="0" y="3327"/>
              </a:lnTo>
              <a:lnTo>
                <a:pt x="0" y="3682"/>
              </a:lnTo>
              <a:lnTo>
                <a:pt x="13563" y="3682"/>
              </a:lnTo>
              <a:close/>
            </a:path>
            <a:path w="59690" h="3810">
              <a:moveTo>
                <a:pt x="59080" y="1269"/>
              </a:moveTo>
              <a:lnTo>
                <a:pt x="58458" y="673"/>
              </a:lnTo>
              <a:lnTo>
                <a:pt x="37274" y="673"/>
              </a:lnTo>
              <a:lnTo>
                <a:pt x="36832" y="3682"/>
              </a:lnTo>
              <a:lnTo>
                <a:pt x="58028" y="3682"/>
              </a:lnTo>
              <a:lnTo>
                <a:pt x="59080" y="1269"/>
              </a:lnTo>
              <a:close/>
            </a:path>
          </a:pathLst>
        </a:custGeom>
        <a:solidFill>
          <a:srgbClr val="131413"/>
        </a:solidFill>
      </xdr:spPr>
    </xdr:sp>
    <xdr:clientData/>
  </xdr:oneCellAnchor>
</xdr:wsDr>
</file>

<file path=xl/drawings/drawing7.xml><?xml version="1.0" encoding="utf-8"?>
<xdr:wsDr xmlns:xdr="http://schemas.openxmlformats.org/drawingml/2006/spreadsheetDrawing" xmlns:a="http://schemas.openxmlformats.org/drawingml/2006/main">
  <xdr:oneCellAnchor>
    <xdr:from>
      <xdr:col>8</xdr:col>
      <xdr:colOff>0</xdr:colOff>
      <xdr:row>5</xdr:row>
      <xdr:rowOff>131464</xdr:rowOff>
    </xdr:from>
    <xdr:ext cx="8890" cy="1905"/>
    <xdr:sp macro="" textlink="">
      <xdr:nvSpPr>
        <xdr:cNvPr id="2" name="Shape 316">
          <a:extLst>
            <a:ext uri="{FF2B5EF4-FFF2-40B4-BE49-F238E27FC236}">
              <a16:creationId xmlns:a16="http://schemas.microsoft.com/office/drawing/2014/main" id="{00000000-0008-0000-0D00-000002000000}"/>
            </a:ext>
          </a:extLst>
        </xdr:cNvPr>
        <xdr:cNvSpPr/>
      </xdr:nvSpPr>
      <xdr:spPr>
        <a:xfrm>
          <a:off x="20318133" y="127499764"/>
          <a:ext cx="8890" cy="1905"/>
        </a:xfrm>
        <a:custGeom>
          <a:avLst/>
          <a:gdLst/>
          <a:ahLst/>
          <a:cxnLst/>
          <a:rect l="0" t="0" r="0" b="0"/>
          <a:pathLst>
            <a:path w="14604" h="1905">
              <a:moveTo>
                <a:pt x="14097" y="1689"/>
              </a:moveTo>
              <a:lnTo>
                <a:pt x="14097" y="0"/>
              </a:lnTo>
              <a:lnTo>
                <a:pt x="2959" y="0"/>
              </a:lnTo>
              <a:lnTo>
                <a:pt x="0" y="1359"/>
              </a:lnTo>
              <a:lnTo>
                <a:pt x="0" y="1689"/>
              </a:lnTo>
              <a:lnTo>
                <a:pt x="14097" y="1689"/>
              </a:lnTo>
              <a:close/>
            </a:path>
          </a:pathLst>
        </a:custGeom>
        <a:solidFill>
          <a:srgbClr val="131413"/>
        </a:solidFill>
      </xdr:spPr>
    </xdr:sp>
    <xdr:clientData/>
  </xdr:oneCellAnchor>
  <xdr:oneCellAnchor>
    <xdr:from>
      <xdr:col>8</xdr:col>
      <xdr:colOff>0</xdr:colOff>
      <xdr:row>5</xdr:row>
      <xdr:rowOff>131464</xdr:rowOff>
    </xdr:from>
    <xdr:ext cx="10795" cy="1905"/>
    <xdr:sp macro="" textlink="">
      <xdr:nvSpPr>
        <xdr:cNvPr id="3" name="Shape 317">
          <a:extLst>
            <a:ext uri="{FF2B5EF4-FFF2-40B4-BE49-F238E27FC236}">
              <a16:creationId xmlns:a16="http://schemas.microsoft.com/office/drawing/2014/main" id="{00000000-0008-0000-0D00-000003000000}"/>
            </a:ext>
          </a:extLst>
        </xdr:cNvPr>
        <xdr:cNvSpPr/>
      </xdr:nvSpPr>
      <xdr:spPr>
        <a:xfrm>
          <a:off x="20477276" y="127499764"/>
          <a:ext cx="10795" cy="1905"/>
        </a:xfrm>
        <a:custGeom>
          <a:avLst/>
          <a:gdLst/>
          <a:ahLst/>
          <a:cxnLst/>
          <a:rect l="0" t="0" r="0" b="0"/>
          <a:pathLst>
            <a:path w="14604" h="1905">
              <a:moveTo>
                <a:pt x="14477" y="1689"/>
              </a:moveTo>
              <a:lnTo>
                <a:pt x="14477" y="210"/>
              </a:lnTo>
              <a:lnTo>
                <a:pt x="14236" y="0"/>
              </a:lnTo>
              <a:lnTo>
                <a:pt x="3175" y="0"/>
              </a:lnTo>
              <a:lnTo>
                <a:pt x="0" y="1468"/>
              </a:lnTo>
              <a:lnTo>
                <a:pt x="0" y="1689"/>
              </a:lnTo>
              <a:lnTo>
                <a:pt x="14477" y="1689"/>
              </a:lnTo>
              <a:close/>
            </a:path>
          </a:pathLst>
        </a:custGeom>
        <a:solidFill>
          <a:srgbClr val="131413"/>
        </a:solidFill>
      </xdr:spPr>
    </xdr:sp>
    <xdr:clientData/>
  </xdr:oneCellAnchor>
  <xdr:oneCellAnchor>
    <xdr:from>
      <xdr:col>8</xdr:col>
      <xdr:colOff>0</xdr:colOff>
      <xdr:row>43</xdr:row>
      <xdr:rowOff>342157</xdr:rowOff>
    </xdr:from>
    <xdr:ext cx="9525" cy="9525"/>
    <xdr:sp macro="" textlink="">
      <xdr:nvSpPr>
        <xdr:cNvPr id="4" name="Shape 605">
          <a:extLst>
            <a:ext uri="{FF2B5EF4-FFF2-40B4-BE49-F238E27FC236}">
              <a16:creationId xmlns:a16="http://schemas.microsoft.com/office/drawing/2014/main" id="{00000000-0008-0000-0D00-000004000000}"/>
            </a:ext>
          </a:extLst>
        </xdr:cNvPr>
        <xdr:cNvSpPr/>
      </xdr:nvSpPr>
      <xdr:spPr>
        <a:xfrm>
          <a:off x="20162862" y="134425582"/>
          <a:ext cx="9525" cy="9525"/>
        </a:xfrm>
        <a:custGeom>
          <a:avLst/>
          <a:gdLst/>
          <a:ahLst/>
          <a:cxnLst/>
          <a:rect l="0" t="0" r="0" b="0"/>
          <a:pathLst>
            <a:path w="7620" h="5715">
              <a:moveTo>
                <a:pt x="7226" y="1041"/>
              </a:moveTo>
              <a:lnTo>
                <a:pt x="7226" y="215"/>
              </a:lnTo>
              <a:lnTo>
                <a:pt x="6934" y="0"/>
              </a:lnTo>
              <a:lnTo>
                <a:pt x="5803" y="0"/>
              </a:lnTo>
              <a:lnTo>
                <a:pt x="0" y="4298"/>
              </a:lnTo>
              <a:lnTo>
                <a:pt x="0" y="5524"/>
              </a:lnTo>
              <a:lnTo>
                <a:pt x="3508" y="5524"/>
              </a:lnTo>
              <a:lnTo>
                <a:pt x="6311" y="1879"/>
              </a:lnTo>
              <a:lnTo>
                <a:pt x="7226" y="1041"/>
              </a:lnTo>
              <a:close/>
            </a:path>
          </a:pathLst>
        </a:custGeom>
        <a:solidFill>
          <a:srgbClr val="131413"/>
        </a:solidFill>
      </xdr:spPr>
    </xdr:sp>
    <xdr:clientData/>
  </xdr:oneCellAnchor>
</xdr:wsDr>
</file>

<file path=xl/drawings/drawing8.xml><?xml version="1.0" encoding="utf-8"?>
<xdr:wsDr xmlns:xdr="http://schemas.openxmlformats.org/drawingml/2006/spreadsheetDrawing" xmlns:a="http://schemas.openxmlformats.org/drawingml/2006/main">
  <xdr:oneCellAnchor>
    <xdr:from>
      <xdr:col>8</xdr:col>
      <xdr:colOff>0</xdr:colOff>
      <xdr:row>55</xdr:row>
      <xdr:rowOff>134467</xdr:rowOff>
    </xdr:from>
    <xdr:ext cx="19685" cy="635"/>
    <xdr:sp macro="" textlink="">
      <xdr:nvSpPr>
        <xdr:cNvPr id="2" name="Shape 328">
          <a:extLst>
            <a:ext uri="{FF2B5EF4-FFF2-40B4-BE49-F238E27FC236}">
              <a16:creationId xmlns:a16="http://schemas.microsoft.com/office/drawing/2014/main" id="{00000000-0008-0000-0E00-000002000000}"/>
            </a:ext>
          </a:extLst>
        </xdr:cNvPr>
        <xdr:cNvSpPr/>
      </xdr:nvSpPr>
      <xdr:spPr>
        <a:xfrm>
          <a:off x="19888707" y="117110992"/>
          <a:ext cx="19685" cy="635"/>
        </a:xfrm>
        <a:custGeom>
          <a:avLst/>
          <a:gdLst/>
          <a:ahLst/>
          <a:cxnLst/>
          <a:rect l="0" t="0" r="0" b="0"/>
          <a:pathLst>
            <a:path w="19685" h="3175">
              <a:moveTo>
                <a:pt x="19291" y="2743"/>
              </a:moveTo>
              <a:lnTo>
                <a:pt x="51" y="0"/>
              </a:lnTo>
              <a:lnTo>
                <a:pt x="0" y="2971"/>
              </a:lnTo>
              <a:lnTo>
                <a:pt x="3057" y="2971"/>
              </a:lnTo>
              <a:lnTo>
                <a:pt x="3136" y="2743"/>
              </a:lnTo>
              <a:lnTo>
                <a:pt x="19291" y="2743"/>
              </a:lnTo>
              <a:close/>
            </a:path>
            <a:path w="19685" h="3175">
              <a:moveTo>
                <a:pt x="19291" y="2971"/>
              </a:moveTo>
              <a:lnTo>
                <a:pt x="19291" y="2743"/>
              </a:lnTo>
              <a:lnTo>
                <a:pt x="16014" y="2743"/>
              </a:lnTo>
              <a:lnTo>
                <a:pt x="16066" y="2971"/>
              </a:lnTo>
              <a:lnTo>
                <a:pt x="19291" y="2971"/>
              </a:lnTo>
              <a:close/>
            </a:path>
          </a:pathLst>
        </a:custGeom>
        <a:solidFill>
          <a:srgbClr val="131413"/>
        </a:solidFill>
      </xdr:spPr>
    </xdr:sp>
    <xdr:clientData/>
  </xdr:oneCellAnchor>
</xdr:wsDr>
</file>

<file path=xl/drawings/drawing9.xml><?xml version="1.0" encoding="utf-8"?>
<xdr:wsDr xmlns:xdr="http://schemas.openxmlformats.org/drawingml/2006/spreadsheetDrawing" xmlns:a="http://schemas.openxmlformats.org/drawingml/2006/main">
  <xdr:oneCellAnchor>
    <xdr:from>
      <xdr:col>8</xdr:col>
      <xdr:colOff>0</xdr:colOff>
      <xdr:row>9</xdr:row>
      <xdr:rowOff>134467</xdr:rowOff>
    </xdr:from>
    <xdr:ext cx="19685" cy="0"/>
    <xdr:sp macro="" textlink="">
      <xdr:nvSpPr>
        <xdr:cNvPr id="2" name="Shape 384">
          <a:extLst>
            <a:ext uri="{FF2B5EF4-FFF2-40B4-BE49-F238E27FC236}">
              <a16:creationId xmlns:a16="http://schemas.microsoft.com/office/drawing/2014/main" id="{00000000-0008-0000-1000-000002000000}"/>
            </a:ext>
          </a:extLst>
        </xdr:cNvPr>
        <xdr:cNvSpPr/>
      </xdr:nvSpPr>
      <xdr:spPr>
        <a:xfrm>
          <a:off x="19926466" y="71629117"/>
          <a:ext cx="19685" cy="0"/>
        </a:xfrm>
        <a:custGeom>
          <a:avLst/>
          <a:gdLst/>
          <a:ahLst/>
          <a:cxnLst/>
          <a:rect l="0" t="0" r="0" b="0"/>
          <a:pathLst>
            <a:path w="19685" h="3810">
              <a:moveTo>
                <a:pt x="19480" y="3657"/>
              </a:moveTo>
              <a:lnTo>
                <a:pt x="19480" y="2469"/>
              </a:lnTo>
              <a:lnTo>
                <a:pt x="16648" y="0"/>
              </a:lnTo>
              <a:lnTo>
                <a:pt x="5586" y="0"/>
              </a:lnTo>
              <a:lnTo>
                <a:pt x="2017" y="1663"/>
              </a:lnTo>
              <a:lnTo>
                <a:pt x="0" y="3657"/>
              </a:lnTo>
              <a:lnTo>
                <a:pt x="19480" y="3657"/>
              </a:lnTo>
              <a:close/>
            </a:path>
          </a:pathLst>
        </a:custGeom>
        <a:solidFill>
          <a:srgbClr val="131413"/>
        </a:solidFill>
      </xdr:spPr>
    </xdr:sp>
    <xdr:clientData/>
  </xdr:oneCellAnchor>
</xdr:wsDr>
</file>

<file path=xl/drawings/drawing10.xml><?xml version="1.0" encoding="utf-8"?>
<xdr:wsDr xmlns:xdr="http://schemas.openxmlformats.org/drawingml/2006/spreadsheetDrawing" xmlns:a="http://schemas.openxmlformats.org/drawingml/2006/main">
  <xdr:oneCellAnchor>
    <xdr:from>
      <xdr:col>8</xdr:col>
      <xdr:colOff>0</xdr:colOff>
      <xdr:row>41</xdr:row>
      <xdr:rowOff>131464</xdr:rowOff>
    </xdr:from>
    <xdr:ext cx="11430" cy="1905"/>
    <xdr:sp macro="" textlink="">
      <xdr:nvSpPr>
        <xdr:cNvPr id="2" name="Shape 315">
          <a:extLst>
            <a:ext uri="{FF2B5EF4-FFF2-40B4-BE49-F238E27FC236}">
              <a16:creationId xmlns:a16="http://schemas.microsoft.com/office/drawing/2014/main" id="{00000000-0008-0000-1200-000002000000}"/>
            </a:ext>
          </a:extLst>
        </xdr:cNvPr>
        <xdr:cNvSpPr/>
      </xdr:nvSpPr>
      <xdr:spPr>
        <a:xfrm>
          <a:off x="19173111" y="525682864"/>
          <a:ext cx="11430" cy="1905"/>
        </a:xfrm>
        <a:custGeom>
          <a:avLst/>
          <a:gdLst/>
          <a:ahLst/>
          <a:cxnLst/>
          <a:rect l="0" t="0" r="0" b="0"/>
          <a:pathLst>
            <a:path w="5715" h="1905">
              <a:moveTo>
                <a:pt x="5107" y="1689"/>
              </a:moveTo>
              <a:lnTo>
                <a:pt x="5107" y="0"/>
              </a:lnTo>
              <a:lnTo>
                <a:pt x="598" y="1524"/>
              </a:lnTo>
              <a:lnTo>
                <a:pt x="0" y="1689"/>
              </a:lnTo>
              <a:lnTo>
                <a:pt x="5107" y="1689"/>
              </a:lnTo>
              <a:close/>
            </a:path>
          </a:pathLst>
        </a:custGeom>
        <a:solidFill>
          <a:srgbClr val="131413"/>
        </a:solidFill>
      </xdr:spPr>
    </xdr:sp>
    <xdr:clientData/>
  </xdr:oneCellAnchor>
  <xdr:oneCellAnchor>
    <xdr:from>
      <xdr:col>8</xdr:col>
      <xdr:colOff>0</xdr:colOff>
      <xdr:row>40</xdr:row>
      <xdr:rowOff>131464</xdr:rowOff>
    </xdr:from>
    <xdr:ext cx="11430" cy="1905"/>
    <xdr:sp macro="" textlink="">
      <xdr:nvSpPr>
        <xdr:cNvPr id="3" name="Shape 315">
          <a:extLst>
            <a:ext uri="{FF2B5EF4-FFF2-40B4-BE49-F238E27FC236}">
              <a16:creationId xmlns:a16="http://schemas.microsoft.com/office/drawing/2014/main" id="{00000000-0008-0000-1200-000003000000}"/>
            </a:ext>
          </a:extLst>
        </xdr:cNvPr>
        <xdr:cNvSpPr/>
      </xdr:nvSpPr>
      <xdr:spPr>
        <a:xfrm>
          <a:off x="18353961" y="23134339"/>
          <a:ext cx="11430" cy="1905"/>
        </a:xfrm>
        <a:custGeom>
          <a:avLst/>
          <a:gdLst/>
          <a:ahLst/>
          <a:cxnLst/>
          <a:rect l="0" t="0" r="0" b="0"/>
          <a:pathLst>
            <a:path w="5715" h="1905">
              <a:moveTo>
                <a:pt x="5107" y="1689"/>
              </a:moveTo>
              <a:lnTo>
                <a:pt x="5107" y="0"/>
              </a:lnTo>
              <a:lnTo>
                <a:pt x="598" y="1524"/>
              </a:lnTo>
              <a:lnTo>
                <a:pt x="0" y="1689"/>
              </a:lnTo>
              <a:lnTo>
                <a:pt x="5107" y="1689"/>
              </a:lnTo>
              <a:close/>
            </a:path>
          </a:pathLst>
        </a:custGeom>
        <a:solidFill>
          <a:srgbClr val="131413"/>
        </a:solidFill>
      </xdr:spPr>
    </xdr:sp>
    <xdr:clientData/>
  </xdr:oneCellAnchor>
</xdr:wsDr>
</file>

<file path=xl/drawings/drawing11.xml><?xml version="1.0" encoding="utf-8"?>
<xdr:wsDr xmlns:xdr="http://schemas.openxmlformats.org/drawingml/2006/spreadsheetDrawing" xmlns:a="http://schemas.openxmlformats.org/drawingml/2006/main">
  <xdr:oneCellAnchor>
    <xdr:from>
      <xdr:col>8</xdr:col>
      <xdr:colOff>0</xdr:colOff>
      <xdr:row>120</xdr:row>
      <xdr:rowOff>265525</xdr:rowOff>
    </xdr:from>
    <xdr:ext cx="102870" cy="76200"/>
    <xdr:sp macro="" textlink="">
      <xdr:nvSpPr>
        <xdr:cNvPr id="2" name="Shape 454">
          <a:extLst>
            <a:ext uri="{FF2B5EF4-FFF2-40B4-BE49-F238E27FC236}">
              <a16:creationId xmlns:a16="http://schemas.microsoft.com/office/drawing/2014/main" id="{00000000-0008-0000-1300-000002000000}"/>
            </a:ext>
          </a:extLst>
        </xdr:cNvPr>
        <xdr:cNvSpPr/>
      </xdr:nvSpPr>
      <xdr:spPr>
        <a:xfrm>
          <a:off x="20717599" y="151503475"/>
          <a:ext cx="102870" cy="76200"/>
        </a:xfrm>
        <a:custGeom>
          <a:avLst/>
          <a:gdLst/>
          <a:ahLst/>
          <a:cxnLst/>
          <a:rect l="0" t="0" r="0" b="0"/>
          <a:pathLst>
            <a:path w="108585" h="80010">
              <a:moveTo>
                <a:pt x="75514" y="0"/>
              </a:moveTo>
              <a:lnTo>
                <a:pt x="0" y="0"/>
              </a:lnTo>
              <a:lnTo>
                <a:pt x="0" y="64960"/>
              </a:lnTo>
              <a:lnTo>
                <a:pt x="69164" y="64960"/>
              </a:lnTo>
              <a:lnTo>
                <a:pt x="69164" y="34442"/>
              </a:lnTo>
              <a:lnTo>
                <a:pt x="75514" y="34442"/>
              </a:lnTo>
              <a:lnTo>
                <a:pt x="75514" y="0"/>
              </a:lnTo>
            </a:path>
            <a:path w="108585" h="80010">
              <a:moveTo>
                <a:pt x="108153" y="34442"/>
              </a:moveTo>
              <a:lnTo>
                <a:pt x="75514" y="34442"/>
              </a:lnTo>
              <a:lnTo>
                <a:pt x="75514" y="64960"/>
              </a:lnTo>
              <a:lnTo>
                <a:pt x="69164" y="64960"/>
              </a:lnTo>
              <a:lnTo>
                <a:pt x="69164" y="79476"/>
              </a:lnTo>
              <a:lnTo>
                <a:pt x="108153" y="79476"/>
              </a:lnTo>
              <a:lnTo>
                <a:pt x="108153" y="34442"/>
              </a:lnTo>
            </a:path>
          </a:pathLst>
        </a:custGeom>
        <a:solidFill>
          <a:srgbClr val="D9D9D9">
            <a:alpha val="50000"/>
          </a:srgbClr>
        </a:solidFill>
      </xdr:spPr>
    </xdr:sp>
    <xdr:clientData/>
  </xdr:oneCellAnchor>
  <xdr:oneCellAnchor>
    <xdr:from>
      <xdr:col>8</xdr:col>
      <xdr:colOff>0</xdr:colOff>
      <xdr:row>120</xdr:row>
      <xdr:rowOff>265537</xdr:rowOff>
    </xdr:from>
    <xdr:ext cx="66040" cy="76835"/>
    <xdr:grpSp>
      <xdr:nvGrpSpPr>
        <xdr:cNvPr id="3" name="Group 455">
          <a:extLst>
            <a:ext uri="{FF2B5EF4-FFF2-40B4-BE49-F238E27FC236}">
              <a16:creationId xmlns:a16="http://schemas.microsoft.com/office/drawing/2014/main" id="{00000000-0008-0000-1300-000003000000}"/>
            </a:ext>
          </a:extLst>
        </xdr:cNvPr>
        <xdr:cNvGrpSpPr/>
      </xdr:nvGrpSpPr>
      <xdr:grpSpPr>
        <a:xfrm>
          <a:off x="11972925" y="25344862"/>
          <a:ext cx="66040" cy="76835"/>
          <a:chOff x="0" y="0"/>
          <a:chExt cx="64135" cy="80645"/>
        </a:xfrm>
      </xdr:grpSpPr>
      <xdr:sp macro="" textlink="">
        <xdr:nvSpPr>
          <xdr:cNvPr id="4" name="Shape 456">
            <a:extLst>
              <a:ext uri="{FF2B5EF4-FFF2-40B4-BE49-F238E27FC236}">
                <a16:creationId xmlns:a16="http://schemas.microsoft.com/office/drawing/2014/main" id="{00000000-0008-0000-1300-000004000000}"/>
              </a:ext>
            </a:extLst>
          </xdr:cNvPr>
          <xdr:cNvSpPr/>
        </xdr:nvSpPr>
        <xdr:spPr>
          <a:xfrm>
            <a:off x="0" y="0"/>
            <a:ext cx="64135" cy="80645"/>
          </a:xfrm>
          <a:custGeom>
            <a:avLst/>
            <a:gdLst/>
            <a:ahLst/>
            <a:cxnLst/>
            <a:rect l="0" t="0" r="0" b="0"/>
            <a:pathLst>
              <a:path w="64135" h="80645">
                <a:moveTo>
                  <a:pt x="37807" y="0"/>
                </a:moveTo>
                <a:lnTo>
                  <a:pt x="0" y="0"/>
                </a:lnTo>
                <a:lnTo>
                  <a:pt x="0" y="64363"/>
                </a:lnTo>
                <a:lnTo>
                  <a:pt x="35102" y="64363"/>
                </a:lnTo>
                <a:lnTo>
                  <a:pt x="35102" y="35191"/>
                </a:lnTo>
                <a:lnTo>
                  <a:pt x="37807" y="35191"/>
                </a:lnTo>
                <a:lnTo>
                  <a:pt x="37807" y="0"/>
                </a:lnTo>
              </a:path>
              <a:path w="64135" h="80645">
                <a:moveTo>
                  <a:pt x="63779" y="35191"/>
                </a:moveTo>
                <a:lnTo>
                  <a:pt x="37807" y="35191"/>
                </a:lnTo>
                <a:lnTo>
                  <a:pt x="37807" y="64363"/>
                </a:lnTo>
                <a:lnTo>
                  <a:pt x="35102" y="64363"/>
                </a:lnTo>
                <a:lnTo>
                  <a:pt x="35102" y="80251"/>
                </a:lnTo>
                <a:lnTo>
                  <a:pt x="63779" y="80251"/>
                </a:lnTo>
                <a:lnTo>
                  <a:pt x="63779" y="35191"/>
                </a:lnTo>
              </a:path>
            </a:pathLst>
          </a:custGeom>
          <a:solidFill>
            <a:srgbClr val="D9D9D9">
              <a:alpha val="50000"/>
            </a:srgbClr>
          </a:solidFill>
        </xdr:spPr>
      </xdr:sp>
      <xdr:sp macro="" textlink="">
        <xdr:nvSpPr>
          <xdr:cNvPr id="5" name="Shape 457">
            <a:extLst>
              <a:ext uri="{FF2B5EF4-FFF2-40B4-BE49-F238E27FC236}">
                <a16:creationId xmlns:a16="http://schemas.microsoft.com/office/drawing/2014/main" id="{00000000-0008-0000-1300-000005000000}"/>
              </a:ext>
            </a:extLst>
          </xdr:cNvPr>
          <xdr:cNvSpPr/>
        </xdr:nvSpPr>
        <xdr:spPr>
          <a:xfrm>
            <a:off x="35166" y="44152"/>
            <a:ext cx="3175" cy="20320"/>
          </a:xfrm>
          <a:custGeom>
            <a:avLst/>
            <a:gdLst/>
            <a:ahLst/>
            <a:cxnLst/>
            <a:rect l="0" t="0" r="0" b="0"/>
            <a:pathLst>
              <a:path w="3175" h="20320">
                <a:moveTo>
                  <a:pt x="2641" y="20211"/>
                </a:moveTo>
                <a:lnTo>
                  <a:pt x="2641" y="0"/>
                </a:lnTo>
                <a:lnTo>
                  <a:pt x="736" y="5695"/>
                </a:lnTo>
                <a:lnTo>
                  <a:pt x="0" y="13480"/>
                </a:lnTo>
                <a:lnTo>
                  <a:pt x="634" y="20211"/>
                </a:lnTo>
                <a:lnTo>
                  <a:pt x="2641" y="20211"/>
                </a:lnTo>
                <a:close/>
              </a:path>
            </a:pathLst>
          </a:custGeom>
          <a:solidFill>
            <a:srgbClr val="131413">
              <a:alpha val="50000"/>
            </a:srgbClr>
          </a:solidFill>
        </xdr:spPr>
      </xdr:sp>
    </xdr:grpSp>
    <xdr:clientData/>
  </xdr:oneCellAnchor>
</xdr:wsDr>
</file>

<file path=xl/drawings/drawing12.xml><?xml version="1.0" encoding="utf-8"?>
<xdr:wsDr xmlns:xdr="http://schemas.openxmlformats.org/drawingml/2006/spreadsheetDrawing" xmlns:a="http://schemas.openxmlformats.org/drawingml/2006/main">
  <xdr:twoCellAnchor editAs="oneCell">
    <xdr:from>
      <xdr:col>8</xdr:col>
      <xdr:colOff>0</xdr:colOff>
      <xdr:row>8</xdr:row>
      <xdr:rowOff>134467</xdr:rowOff>
    </xdr:from>
    <xdr:to>
      <xdr:col>8</xdr:col>
      <xdr:colOff>19685</xdr:colOff>
      <xdr:row>8</xdr:row>
      <xdr:rowOff>134467</xdr:rowOff>
    </xdr:to>
    <xdr:sp macro="" textlink="">
      <xdr:nvSpPr>
        <xdr:cNvPr id="2" name="Shape 384">
          <a:extLst>
            <a:ext uri="{FF2B5EF4-FFF2-40B4-BE49-F238E27FC236}">
              <a16:creationId xmlns:a16="http://schemas.microsoft.com/office/drawing/2014/main" id="{00000000-0008-0000-1900-000002000000}"/>
            </a:ext>
          </a:extLst>
        </xdr:cNvPr>
        <xdr:cNvSpPr/>
      </xdr:nvSpPr>
      <xdr:spPr>
        <a:xfrm>
          <a:off x="16249816" y="1311526942"/>
          <a:ext cx="19685" cy="0"/>
        </a:xfrm>
        <a:custGeom>
          <a:avLst/>
          <a:gdLst/>
          <a:ahLst/>
          <a:cxnLst/>
          <a:rect l="0" t="0" r="0" b="0"/>
          <a:pathLst>
            <a:path w="19685" h="3810">
              <a:moveTo>
                <a:pt x="19480" y="3657"/>
              </a:moveTo>
              <a:lnTo>
                <a:pt x="19480" y="2469"/>
              </a:lnTo>
              <a:lnTo>
                <a:pt x="16648" y="0"/>
              </a:lnTo>
              <a:lnTo>
                <a:pt x="5586" y="0"/>
              </a:lnTo>
              <a:lnTo>
                <a:pt x="2017" y="1663"/>
              </a:lnTo>
              <a:lnTo>
                <a:pt x="0" y="3657"/>
              </a:lnTo>
              <a:lnTo>
                <a:pt x="19480" y="3657"/>
              </a:lnTo>
              <a:close/>
            </a:path>
          </a:pathLst>
        </a:custGeom>
        <a:solidFill>
          <a:srgbClr val="131413"/>
        </a:solidFill>
      </xdr:spPr>
    </xdr: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0</xdr:colOff>
      <xdr:row>38</xdr:row>
      <xdr:rowOff>0</xdr:rowOff>
    </xdr:from>
    <xdr:ext cx="65" cy="172227"/>
    <xdr:sp macro="" textlink="">
      <xdr:nvSpPr>
        <xdr:cNvPr id="2" name="TextBox 1">
          <a:extLst>
            <a:ext uri="{FF2B5EF4-FFF2-40B4-BE49-F238E27FC236}">
              <a16:creationId xmlns:a16="http://schemas.microsoft.com/office/drawing/2014/main" id="{540EBC2B-9CBB-40AD-B6B5-FF41ED4AAB2C}"/>
            </a:ext>
          </a:extLst>
        </xdr:cNvPr>
        <xdr:cNvSpPr txBox="1"/>
      </xdr:nvSpPr>
      <xdr:spPr>
        <a:xfrm>
          <a:off x="1695450" y="74961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EC603-DB9A-4B0A-8859-FD6245FD731C}">
  <sheetPr codeName="Sheet34">
    <tabColor rgb="FFFF0000"/>
  </sheetPr>
  <dimension ref="B1:AD36"/>
  <sheetViews>
    <sheetView tabSelected="1" zoomScaleNormal="100" workbookViewId="0">
      <selection activeCell="N19" sqref="N19"/>
    </sheetView>
  </sheetViews>
  <sheetFormatPr defaultRowHeight="14.4"/>
  <cols>
    <col min="1" max="1" width="11.578125" customWidth="1"/>
    <col min="5" max="5" width="36.1015625" customWidth="1"/>
    <col min="7" max="7" width="10.05078125" customWidth="1"/>
    <col min="8" max="8" width="12.5234375" customWidth="1"/>
    <col min="17" max="17" width="10.68359375" customWidth="1"/>
    <col min="20" max="20" width="11.47265625" customWidth="1"/>
    <col min="25" max="25" width="13.83984375" customWidth="1"/>
    <col min="26" max="26" width="12.15625" customWidth="1"/>
    <col min="30" max="30" width="13.3125" customWidth="1"/>
  </cols>
  <sheetData>
    <row r="1" spans="2:30" ht="20.399999999999999">
      <c r="B1" s="277" t="s">
        <v>7088</v>
      </c>
      <c r="C1" s="277"/>
      <c r="D1" s="277"/>
      <c r="E1" s="277"/>
      <c r="J1" t="s">
        <v>983</v>
      </c>
      <c r="K1" t="s">
        <v>562</v>
      </c>
      <c r="L1" t="s">
        <v>7095</v>
      </c>
      <c r="M1" t="s">
        <v>7365</v>
      </c>
      <c r="N1" t="s">
        <v>7367</v>
      </c>
      <c r="O1" t="s">
        <v>7385</v>
      </c>
      <c r="P1" t="s">
        <v>7096</v>
      </c>
      <c r="Q1" t="s">
        <v>7390</v>
      </c>
      <c r="R1" t="s">
        <v>7392</v>
      </c>
      <c r="S1" t="s">
        <v>7394</v>
      </c>
      <c r="T1" t="s">
        <v>7399</v>
      </c>
      <c r="U1" t="s">
        <v>7402</v>
      </c>
      <c r="V1" t="s">
        <v>7407</v>
      </c>
      <c r="W1" t="s">
        <v>7409</v>
      </c>
      <c r="X1" t="s">
        <v>7411</v>
      </c>
      <c r="Y1" t="s">
        <v>7412</v>
      </c>
      <c r="Z1" t="s">
        <v>627</v>
      </c>
      <c r="AA1" t="s">
        <v>626</v>
      </c>
      <c r="AB1" t="s">
        <v>7414</v>
      </c>
      <c r="AC1" t="s">
        <v>7415</v>
      </c>
      <c r="AD1" t="s">
        <v>7418</v>
      </c>
    </row>
    <row r="2" spans="2:30">
      <c r="B2" s="278" t="s">
        <v>7429</v>
      </c>
      <c r="C2" s="278"/>
      <c r="D2" s="278"/>
      <c r="E2" s="278"/>
      <c r="J2" t="s">
        <v>7422</v>
      </c>
      <c r="K2" t="s">
        <v>7422</v>
      </c>
      <c r="L2" t="s">
        <v>7422</v>
      </c>
      <c r="M2" t="s">
        <v>7422</v>
      </c>
      <c r="N2" t="s">
        <v>7422</v>
      </c>
      <c r="O2" t="s">
        <v>7422</v>
      </c>
      <c r="P2" t="s">
        <v>7422</v>
      </c>
      <c r="Q2" t="s">
        <v>7422</v>
      </c>
      <c r="R2" t="s">
        <v>7422</v>
      </c>
      <c r="S2" t="s">
        <v>7422</v>
      </c>
      <c r="T2" t="s">
        <v>7422</v>
      </c>
      <c r="U2" t="s">
        <v>7422</v>
      </c>
      <c r="V2" t="s">
        <v>7422</v>
      </c>
      <c r="W2" t="s">
        <v>7422</v>
      </c>
      <c r="X2" t="s">
        <v>7422</v>
      </c>
      <c r="Y2" t="s">
        <v>7422</v>
      </c>
      <c r="Z2" t="s">
        <v>7422</v>
      </c>
      <c r="AA2" t="s">
        <v>7422</v>
      </c>
      <c r="AB2" t="s">
        <v>7422</v>
      </c>
      <c r="AC2" t="s">
        <v>7422</v>
      </c>
      <c r="AD2" t="s">
        <v>7422</v>
      </c>
    </row>
    <row r="3" spans="2:30" ht="14.7" thickBot="1">
      <c r="B3" s="278"/>
      <c r="C3" s="278"/>
      <c r="D3" s="278"/>
      <c r="E3" s="278"/>
    </row>
    <row r="4" spans="2:30">
      <c r="B4" s="278"/>
      <c r="C4" s="278"/>
      <c r="D4" s="278"/>
      <c r="E4" s="278"/>
      <c r="G4" s="268" t="s">
        <v>7084</v>
      </c>
      <c r="H4" s="269" t="s">
        <v>7089</v>
      </c>
    </row>
    <row r="5" spans="2:30">
      <c r="B5" s="278"/>
      <c r="C5" s="278"/>
      <c r="D5" s="278"/>
      <c r="E5" s="278"/>
      <c r="G5" s="270" t="s">
        <v>7085</v>
      </c>
      <c r="H5" s="271" t="s">
        <v>7086</v>
      </c>
    </row>
    <row r="6" spans="2:30">
      <c r="B6" s="278"/>
      <c r="C6" s="278"/>
      <c r="D6" s="278"/>
      <c r="E6" s="278"/>
      <c r="G6" s="43"/>
      <c r="H6" s="272"/>
    </row>
    <row r="7" spans="2:30">
      <c r="B7" s="278"/>
      <c r="C7" s="278"/>
      <c r="D7" s="278"/>
      <c r="E7" s="278"/>
      <c r="G7" s="43"/>
      <c r="H7" s="272"/>
    </row>
    <row r="8" spans="2:30">
      <c r="B8" s="278"/>
      <c r="C8" s="278"/>
      <c r="D8" s="278"/>
      <c r="E8" s="278"/>
      <c r="G8" s="43"/>
      <c r="H8" s="46" t="s">
        <v>7087</v>
      </c>
    </row>
    <row r="9" spans="2:30" ht="14.7" thickBot="1">
      <c r="B9" s="278"/>
      <c r="C9" s="278"/>
      <c r="D9" s="278"/>
      <c r="E9" s="278"/>
      <c r="G9" s="273"/>
      <c r="H9" s="274"/>
    </row>
    <row r="10" spans="2:30" ht="14.7" thickBot="1">
      <c r="B10" s="278"/>
      <c r="C10" s="278"/>
      <c r="D10" s="278"/>
      <c r="E10" s="278"/>
    </row>
    <row r="11" spans="2:30">
      <c r="B11" s="278"/>
      <c r="C11" s="278"/>
      <c r="D11" s="278"/>
      <c r="E11" s="278"/>
      <c r="G11" s="392" t="s">
        <v>7424</v>
      </c>
      <c r="H11" s="393"/>
    </row>
    <row r="12" spans="2:30">
      <c r="B12" s="278"/>
      <c r="C12" s="278"/>
      <c r="D12" s="278"/>
      <c r="E12" s="278"/>
      <c r="G12" s="43"/>
      <c r="H12" s="272"/>
    </row>
    <row r="13" spans="2:30">
      <c r="B13" s="278"/>
      <c r="C13" s="278"/>
      <c r="D13" s="278"/>
      <c r="E13" s="278"/>
      <c r="G13" s="43"/>
      <c r="H13" s="272"/>
    </row>
    <row r="14" spans="2:30">
      <c r="B14" s="278"/>
      <c r="C14" s="278"/>
      <c r="D14" s="278"/>
      <c r="E14" s="278"/>
      <c r="G14" s="43"/>
      <c r="H14" s="272"/>
    </row>
    <row r="15" spans="2:30" ht="14.7" thickBot="1">
      <c r="B15" s="278"/>
      <c r="C15" s="278"/>
      <c r="D15" s="278"/>
      <c r="E15" s="278"/>
      <c r="G15" s="273"/>
      <c r="H15" s="274"/>
    </row>
    <row r="16" spans="2:30">
      <c r="B16" s="278"/>
      <c r="C16" s="278"/>
      <c r="D16" s="278"/>
      <c r="E16" s="278"/>
    </row>
    <row r="17" spans="2:5">
      <c r="B17" s="278"/>
      <c r="C17" s="278"/>
      <c r="D17" s="278"/>
      <c r="E17" s="278"/>
    </row>
    <row r="18" spans="2:5">
      <c r="B18" s="278"/>
      <c r="C18" s="278"/>
      <c r="D18" s="278"/>
      <c r="E18" s="278"/>
    </row>
    <row r="19" spans="2:5">
      <c r="B19" s="278"/>
      <c r="C19" s="278"/>
      <c r="D19" s="278"/>
      <c r="E19" s="278"/>
    </row>
    <row r="20" spans="2:5">
      <c r="B20" s="278"/>
      <c r="C20" s="278"/>
      <c r="D20" s="278"/>
      <c r="E20" s="278"/>
    </row>
    <row r="21" spans="2:5">
      <c r="B21" s="278"/>
      <c r="C21" s="278"/>
      <c r="D21" s="278"/>
      <c r="E21" s="278"/>
    </row>
    <row r="22" spans="2:5">
      <c r="B22" s="278"/>
      <c r="C22" s="278"/>
      <c r="D22" s="278"/>
      <c r="E22" s="278"/>
    </row>
    <row r="23" spans="2:5">
      <c r="B23" s="278"/>
      <c r="C23" s="278"/>
      <c r="D23" s="278"/>
      <c r="E23" s="278"/>
    </row>
    <row r="24" spans="2:5">
      <c r="B24" s="278"/>
      <c r="C24" s="278"/>
      <c r="D24" s="278"/>
      <c r="E24" s="278"/>
    </row>
    <row r="25" spans="2:5">
      <c r="B25" s="278"/>
      <c r="C25" s="278"/>
      <c r="D25" s="278"/>
      <c r="E25" s="278"/>
    </row>
    <row r="26" spans="2:5">
      <c r="B26" s="278"/>
      <c r="C26" s="278"/>
      <c r="D26" s="278"/>
      <c r="E26" s="278"/>
    </row>
    <row r="27" spans="2:5">
      <c r="B27" s="278"/>
      <c r="C27" s="278"/>
      <c r="D27" s="278"/>
      <c r="E27" s="278"/>
    </row>
    <row r="28" spans="2:5">
      <c r="B28" s="278"/>
      <c r="C28" s="278"/>
      <c r="D28" s="278"/>
      <c r="E28" s="278"/>
    </row>
    <row r="29" spans="2:5">
      <c r="B29" s="278"/>
      <c r="C29" s="278"/>
      <c r="D29" s="278"/>
      <c r="E29" s="278"/>
    </row>
    <row r="30" spans="2:5">
      <c r="B30" s="278"/>
      <c r="C30" s="278"/>
      <c r="D30" s="278"/>
      <c r="E30" s="278"/>
    </row>
    <row r="31" spans="2:5">
      <c r="B31" s="278"/>
      <c r="C31" s="278"/>
      <c r="D31" s="278"/>
      <c r="E31" s="278"/>
    </row>
    <row r="32" spans="2:5">
      <c r="B32" s="278"/>
      <c r="C32" s="278"/>
      <c r="D32" s="278"/>
      <c r="E32" s="278"/>
    </row>
    <row r="33" spans="2:5">
      <c r="B33" s="278"/>
      <c r="C33" s="278"/>
      <c r="D33" s="278"/>
      <c r="E33" s="278"/>
    </row>
    <row r="34" spans="2:5">
      <c r="B34" s="278"/>
      <c r="C34" s="278"/>
      <c r="D34" s="278"/>
      <c r="E34" s="278"/>
    </row>
    <row r="35" spans="2:5">
      <c r="B35" s="278"/>
      <c r="C35" s="278"/>
      <c r="D35" s="278"/>
      <c r="E35" s="278"/>
    </row>
    <row r="36" spans="2:5">
      <c r="B36" s="278"/>
      <c r="C36" s="278"/>
      <c r="D36" s="278"/>
      <c r="E36" s="278"/>
    </row>
  </sheetData>
  <mergeCells count="3">
    <mergeCell ref="B1:E1"/>
    <mergeCell ref="B2:E36"/>
    <mergeCell ref="G11:H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ThisWorkbook.WriteAll">
                <anchor moveWithCells="1" sizeWithCells="1">
                  <from>
                    <xdr:col>6</xdr:col>
                    <xdr:colOff>30480</xdr:colOff>
                    <xdr:row>6</xdr:row>
                    <xdr:rowOff>171450</xdr:rowOff>
                  </from>
                  <to>
                    <xdr:col>7</xdr:col>
                    <xdr:colOff>11430</xdr:colOff>
                    <xdr:row>8</xdr:row>
                    <xdr:rowOff>11430</xdr:rowOff>
                  </to>
                </anchor>
              </controlPr>
            </control>
          </mc:Choice>
        </mc:AlternateContent>
        <mc:AlternateContent xmlns:mc="http://schemas.openxmlformats.org/markup-compatibility/2006">
          <mc:Choice Requires="x14">
            <control shapeId="34818" r:id="rId5" name="Button 2">
              <controlPr defaultSize="0" print="0" autoFill="0" autoPict="0" macro="[0]!ThisWorkbook.CheckIntegrity">
                <anchor moveWithCells="1" sizeWithCells="1">
                  <from>
                    <xdr:col>6</xdr:col>
                    <xdr:colOff>19050</xdr:colOff>
                    <xdr:row>11</xdr:row>
                    <xdr:rowOff>171450</xdr:rowOff>
                  </from>
                  <to>
                    <xdr:col>7</xdr:col>
                    <xdr:colOff>11430</xdr:colOff>
                    <xdr:row>13</xdr:row>
                    <xdr:rowOff>11430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4C9CB-2B48-466B-BC47-03977C67B17D}">
  <sheetPr codeName="Sheet12"/>
  <dimension ref="A1:L140"/>
  <sheetViews>
    <sheetView topLeftCell="A64" workbookViewId="0">
      <selection activeCell="I68" sqref="I68"/>
    </sheetView>
  </sheetViews>
  <sheetFormatPr defaultRowHeight="14.4"/>
  <cols>
    <col min="1" max="1" width="33.20703125" customWidth="1"/>
    <col min="2" max="2" width="29.62890625" customWidth="1"/>
    <col min="3" max="3" width="25.41796875" customWidth="1"/>
    <col min="4" max="4" width="24.7890625" customWidth="1"/>
    <col min="5" max="5" width="25.578125" customWidth="1"/>
    <col min="6" max="6" width="30.9453125" customWidth="1"/>
    <col min="7" max="7" width="28.20703125" customWidth="1"/>
    <col min="8" max="8" width="16.62890625" customWidth="1"/>
  </cols>
  <sheetData>
    <row r="1" spans="1:8">
      <c r="A1" s="2" t="s">
        <v>11</v>
      </c>
      <c r="B1" s="2" t="s">
        <v>1</v>
      </c>
      <c r="C1" s="2" t="s">
        <v>2</v>
      </c>
      <c r="D1" s="2" t="s">
        <v>3</v>
      </c>
      <c r="E1" s="2" t="s">
        <v>4</v>
      </c>
      <c r="F1" s="128" t="s">
        <v>937</v>
      </c>
      <c r="G1" s="2" t="s">
        <v>0</v>
      </c>
      <c r="H1" s="2" t="s">
        <v>5</v>
      </c>
    </row>
    <row r="2" spans="1:8">
      <c r="A2" s="1" t="s">
        <v>5630</v>
      </c>
      <c r="B2" s="1" t="s">
        <v>164</v>
      </c>
      <c r="C2" s="1" t="s">
        <v>4302</v>
      </c>
      <c r="D2" s="4" t="s">
        <v>62</v>
      </c>
      <c r="E2" s="12">
        <f>F2/2</f>
        <v>1.5707963267948966</v>
      </c>
      <c r="F2" s="12">
        <f>PI()</f>
        <v>3.1415926535897931</v>
      </c>
      <c r="G2" s="1" t="s">
        <v>133</v>
      </c>
      <c r="H2" s="1" t="s">
        <v>65</v>
      </c>
    </row>
    <row r="3" spans="1:8">
      <c r="A3" s="1" t="s">
        <v>131</v>
      </c>
      <c r="B3" s="1" t="s">
        <v>26</v>
      </c>
      <c r="C3" s="1" t="s">
        <v>4302</v>
      </c>
      <c r="D3" s="4" t="s">
        <v>62</v>
      </c>
      <c r="E3" s="12">
        <f>0.01*F3</f>
        <v>0.01</v>
      </c>
      <c r="F3" s="12">
        <f>SI!E10</f>
        <v>1</v>
      </c>
      <c r="G3" s="1" t="s">
        <v>133</v>
      </c>
      <c r="H3" s="1" t="s">
        <v>983</v>
      </c>
    </row>
    <row r="4" spans="1:8">
      <c r="A4" s="1" t="s">
        <v>136</v>
      </c>
      <c r="B4" s="1" t="s">
        <v>26</v>
      </c>
      <c r="C4" s="1" t="s">
        <v>4302</v>
      </c>
      <c r="D4" s="4" t="s">
        <v>62</v>
      </c>
      <c r="E4" s="12">
        <f>F4</f>
        <v>6.2831853071795862</v>
      </c>
      <c r="F4" s="12">
        <f>2*PI()*SI!E10</f>
        <v>6.2831853071795862</v>
      </c>
      <c r="G4" s="1" t="s">
        <v>133</v>
      </c>
      <c r="H4" s="1" t="s">
        <v>58</v>
      </c>
    </row>
    <row r="5" spans="1:8">
      <c r="A5" s="1" t="s">
        <v>170</v>
      </c>
      <c r="B5" s="1" t="s">
        <v>26</v>
      </c>
      <c r="C5" s="1" t="s">
        <v>4302</v>
      </c>
      <c r="D5" s="4" t="s">
        <v>62</v>
      </c>
      <c r="E5" s="12">
        <f>F5</f>
        <v>1.7453292519943295E-2</v>
      </c>
      <c r="F5" s="12">
        <f>PI()*SI!E10/180</f>
        <v>1.7453292519943295E-2</v>
      </c>
      <c r="G5" s="1" t="s">
        <v>133</v>
      </c>
      <c r="H5" s="1" t="s">
        <v>58</v>
      </c>
    </row>
    <row r="6" spans="1:8">
      <c r="A6" s="1" t="s">
        <v>170</v>
      </c>
      <c r="B6" s="1" t="s">
        <v>26</v>
      </c>
      <c r="C6" s="1" t="s">
        <v>4302</v>
      </c>
      <c r="D6" s="4" t="s">
        <v>62</v>
      </c>
      <c r="E6" s="12">
        <f>F6</f>
        <v>1.7453292519943295E-2</v>
      </c>
      <c r="F6" s="12">
        <f>PI()*SI!E10/180</f>
        <v>1.7453292519943295E-2</v>
      </c>
      <c r="G6" s="1" t="s">
        <v>133</v>
      </c>
      <c r="H6" s="1" t="s">
        <v>983</v>
      </c>
    </row>
    <row r="7" spans="1:8">
      <c r="A7" s="1" t="s">
        <v>507</v>
      </c>
      <c r="B7" s="1" t="s">
        <v>26</v>
      </c>
      <c r="C7" s="1" t="s">
        <v>4302</v>
      </c>
      <c r="D7" s="4" t="s">
        <v>62</v>
      </c>
      <c r="E7" s="12">
        <f>F7</f>
        <v>0.17453292519943295</v>
      </c>
      <c r="F7" s="12">
        <f>2*PI()*SI!E10/36</f>
        <v>0.17453292519943295</v>
      </c>
      <c r="G7" s="1" t="s">
        <v>133</v>
      </c>
      <c r="H7" s="1" t="s">
        <v>983</v>
      </c>
    </row>
    <row r="8" spans="1:8">
      <c r="A8" s="1" t="s">
        <v>510</v>
      </c>
      <c r="B8" s="1" t="s">
        <v>511</v>
      </c>
      <c r="C8" s="1" t="s">
        <v>4302</v>
      </c>
      <c r="D8" s="4" t="s">
        <v>62</v>
      </c>
      <c r="E8" s="12">
        <f>F8/10000</f>
        <v>1.5707963267948967E-6</v>
      </c>
      <c r="F8" s="12">
        <f>PI()/200</f>
        <v>1.5707963267948967E-2</v>
      </c>
      <c r="G8" s="1" t="s">
        <v>133</v>
      </c>
      <c r="H8" s="1" t="s">
        <v>65</v>
      </c>
    </row>
    <row r="9" spans="1:8">
      <c r="A9" s="1" t="s">
        <v>1688</v>
      </c>
      <c r="B9" s="1" t="s">
        <v>26</v>
      </c>
      <c r="C9" s="1" t="s">
        <v>4302</v>
      </c>
      <c r="D9" s="4" t="s">
        <v>62</v>
      </c>
      <c r="E9" s="12">
        <f t="shared" ref="E9:E22" si="0">F9</f>
        <v>1.5707963267948967E-2</v>
      </c>
      <c r="F9" s="12">
        <f>PI()*SI!E10/200</f>
        <v>1.5707963267948967E-2</v>
      </c>
      <c r="G9" s="1" t="s">
        <v>133</v>
      </c>
      <c r="H9" s="1" t="s">
        <v>58</v>
      </c>
    </row>
    <row r="10" spans="1:8">
      <c r="A10" s="1" t="s">
        <v>1688</v>
      </c>
      <c r="B10" s="1" t="s">
        <v>174</v>
      </c>
      <c r="C10" s="1" t="s">
        <v>4302</v>
      </c>
      <c r="D10" s="4" t="s">
        <v>62</v>
      </c>
      <c r="E10" s="12">
        <f t="shared" si="0"/>
        <v>1.5707963267948967E-2</v>
      </c>
      <c r="F10" s="12">
        <f>PI()/200</f>
        <v>1.5707963267948967E-2</v>
      </c>
      <c r="G10" s="1" t="s">
        <v>133</v>
      </c>
      <c r="H10" s="1" t="s">
        <v>65</v>
      </c>
    </row>
    <row r="11" spans="1:8">
      <c r="A11" s="1" t="s">
        <v>1690</v>
      </c>
      <c r="B11" s="1" t="s">
        <v>226</v>
      </c>
      <c r="C11" s="1" t="s">
        <v>4302</v>
      </c>
      <c r="D11" s="4" t="s">
        <v>62</v>
      </c>
      <c r="E11" s="12">
        <f t="shared" si="0"/>
        <v>1.5707963267948967E-2</v>
      </c>
      <c r="F11" s="12">
        <f>PI()/200</f>
        <v>1.5707963267948967E-2</v>
      </c>
      <c r="G11" s="1" t="s">
        <v>133</v>
      </c>
      <c r="H11" s="1" t="s">
        <v>65</v>
      </c>
    </row>
    <row r="12" spans="1:8">
      <c r="A12" s="1" t="s">
        <v>5631</v>
      </c>
      <c r="B12" s="1" t="s">
        <v>2962</v>
      </c>
      <c r="C12" s="1" t="s">
        <v>4302</v>
      </c>
      <c r="D12" s="4" t="s">
        <v>62</v>
      </c>
      <c r="E12" s="12">
        <f t="shared" si="0"/>
        <v>0.26179938779914941</v>
      </c>
      <c r="F12" s="12">
        <f>2*PI()*SI!E10/24</f>
        <v>0.26179938779914941</v>
      </c>
      <c r="G12" s="1" t="s">
        <v>133</v>
      </c>
      <c r="H12" s="1" t="s">
        <v>983</v>
      </c>
    </row>
    <row r="13" spans="1:8">
      <c r="A13" s="1" t="s">
        <v>541</v>
      </c>
      <c r="B13" s="1" t="s">
        <v>26</v>
      </c>
      <c r="C13" s="1" t="s">
        <v>4302</v>
      </c>
      <c r="D13" s="4" t="s">
        <v>62</v>
      </c>
      <c r="E13" s="12">
        <f t="shared" si="0"/>
        <v>0.52359877559829882</v>
      </c>
      <c r="F13" s="12">
        <f>PI()*SI!E10/6</f>
        <v>0.52359877559829882</v>
      </c>
      <c r="G13" s="1" t="s">
        <v>133</v>
      </c>
      <c r="H13" s="1" t="s">
        <v>983</v>
      </c>
    </row>
    <row r="14" spans="1:8">
      <c r="A14" s="1" t="s">
        <v>167</v>
      </c>
      <c r="B14" s="1" t="s">
        <v>26</v>
      </c>
      <c r="C14" s="1" t="s">
        <v>4302</v>
      </c>
      <c r="D14" s="4" t="s">
        <v>62</v>
      </c>
      <c r="E14" s="12">
        <f t="shared" si="0"/>
        <v>4.8481368110953594E-9</v>
      </c>
      <c r="F14" s="12">
        <f>PI()*SI!E10/648000000</f>
        <v>4.8481368110953594E-9</v>
      </c>
      <c r="G14" s="1" t="s">
        <v>133</v>
      </c>
      <c r="H14" s="1" t="s">
        <v>202</v>
      </c>
    </row>
    <row r="15" spans="1:8">
      <c r="A15" s="1" t="s">
        <v>293</v>
      </c>
      <c r="B15" s="1" t="s">
        <v>26</v>
      </c>
      <c r="C15" s="1" t="s">
        <v>4302</v>
      </c>
      <c r="D15" s="4" t="s">
        <v>62</v>
      </c>
      <c r="E15" s="12">
        <f t="shared" si="0"/>
        <v>1.0226538585904274E-3</v>
      </c>
      <c r="F15" s="12">
        <f>PI()*SI!E10/3072</f>
        <v>1.0226538585904274E-3</v>
      </c>
      <c r="G15" s="1" t="s">
        <v>133</v>
      </c>
      <c r="H15" s="1" t="s">
        <v>983</v>
      </c>
    </row>
    <row r="16" spans="1:8">
      <c r="A16" s="1" t="s">
        <v>2067</v>
      </c>
      <c r="B16" s="1" t="s">
        <v>26</v>
      </c>
      <c r="C16" s="1" t="s">
        <v>4302</v>
      </c>
      <c r="D16" s="4" t="s">
        <v>62</v>
      </c>
      <c r="E16" s="12">
        <f t="shared" si="0"/>
        <v>9.8174770424681044E-4</v>
      </c>
      <c r="F16" s="12">
        <f>0.05625*PI()*SI!E10/180</f>
        <v>9.8174770424681044E-4</v>
      </c>
      <c r="G16" s="1" t="s">
        <v>133</v>
      </c>
      <c r="H16" s="1" t="s">
        <v>58</v>
      </c>
    </row>
    <row r="17" spans="1:12">
      <c r="A17" s="1" t="s">
        <v>2076</v>
      </c>
      <c r="B17" s="1" t="s">
        <v>26</v>
      </c>
      <c r="C17" s="1" t="s">
        <v>4302</v>
      </c>
      <c r="D17" s="4" t="s">
        <v>62</v>
      </c>
      <c r="E17" s="12">
        <f t="shared" si="0"/>
        <v>9.8174770424681044E-4</v>
      </c>
      <c r="F17" s="12">
        <f>2*PI()*SI!E10/6400</f>
        <v>9.8174770424681044E-4</v>
      </c>
      <c r="G17" s="1" t="s">
        <v>133</v>
      </c>
      <c r="H17" s="1" t="s">
        <v>58</v>
      </c>
    </row>
    <row r="18" spans="1:12">
      <c r="A18" s="1" t="s">
        <v>2076</v>
      </c>
      <c r="B18" s="1" t="s">
        <v>26</v>
      </c>
      <c r="C18" s="1" t="s">
        <v>4302</v>
      </c>
      <c r="D18" s="4" t="s">
        <v>62</v>
      </c>
      <c r="E18" s="12">
        <f t="shared" si="0"/>
        <v>9.9733100113961679E-4</v>
      </c>
      <c r="F18" s="12">
        <f>2*PI()*SI!E10/6300</f>
        <v>9.9733100113961679E-4</v>
      </c>
      <c r="G18" s="1" t="s">
        <v>133</v>
      </c>
      <c r="H18" s="1" t="s">
        <v>60</v>
      </c>
      <c r="I18" s="30"/>
      <c r="J18" s="34"/>
      <c r="K18" s="34"/>
      <c r="L18" s="34"/>
    </row>
    <row r="19" spans="1:12">
      <c r="A19" s="1" t="s">
        <v>2076</v>
      </c>
      <c r="B19" s="1" t="s">
        <v>26</v>
      </c>
      <c r="C19" s="1" t="s">
        <v>4302</v>
      </c>
      <c r="D19" s="4" t="s">
        <v>62</v>
      </c>
      <c r="E19" s="12">
        <f t="shared" si="0"/>
        <v>1.5707963267948967E-3</v>
      </c>
      <c r="F19" s="12">
        <f>2*PI()*SI!E10/4000</f>
        <v>1.5707963267948967E-3</v>
      </c>
      <c r="G19" s="1" t="s">
        <v>133</v>
      </c>
      <c r="H19" s="1" t="s">
        <v>47</v>
      </c>
    </row>
    <row r="20" spans="1:12" ht="16.8">
      <c r="A20" s="1" t="s">
        <v>2076</v>
      </c>
      <c r="B20" s="1" t="s">
        <v>555</v>
      </c>
      <c r="C20" s="1" t="s">
        <v>4302</v>
      </c>
      <c r="D20" s="4" t="s">
        <v>62</v>
      </c>
      <c r="E20" s="12">
        <f t="shared" si="0"/>
        <v>9.8174770424681044E-4</v>
      </c>
      <c r="F20" s="12">
        <f>2*PI()/6400</f>
        <v>9.8174770424681044E-4</v>
      </c>
      <c r="G20" s="1" t="s">
        <v>133</v>
      </c>
      <c r="H20" s="1" t="s">
        <v>65</v>
      </c>
    </row>
    <row r="21" spans="1:12">
      <c r="A21" s="1" t="s">
        <v>5632</v>
      </c>
      <c r="B21" s="1" t="s">
        <v>26</v>
      </c>
      <c r="C21" s="1" t="s">
        <v>4302</v>
      </c>
      <c r="D21" s="4" t="s">
        <v>62</v>
      </c>
      <c r="E21" s="12">
        <f t="shared" si="0"/>
        <v>9.9999966666686679E-4</v>
      </c>
      <c r="F21" s="12">
        <f>ATAN(1/1000)</f>
        <v>9.9999966666686679E-4</v>
      </c>
      <c r="G21" s="1" t="s">
        <v>133</v>
      </c>
      <c r="H21" s="1" t="s">
        <v>65</v>
      </c>
    </row>
    <row r="22" spans="1:12" ht="16.8">
      <c r="A22" s="1" t="s">
        <v>5633</v>
      </c>
      <c r="B22" s="1" t="s">
        <v>556</v>
      </c>
      <c r="C22" s="1" t="s">
        <v>4302</v>
      </c>
      <c r="D22" s="4" t="s">
        <v>62</v>
      </c>
      <c r="E22" s="12">
        <f t="shared" si="0"/>
        <v>1.0471975511965976E-3</v>
      </c>
      <c r="F22" s="12">
        <f>2*PI()/6000</f>
        <v>1.0471975511965976E-3</v>
      </c>
      <c r="G22" s="1" t="s">
        <v>133</v>
      </c>
      <c r="H22" s="1" t="s">
        <v>65</v>
      </c>
    </row>
    <row r="23" spans="1:12" ht="16.8">
      <c r="A23" s="1" t="s">
        <v>5634</v>
      </c>
      <c r="B23" s="1" t="s">
        <v>557</v>
      </c>
      <c r="C23" s="1" t="s">
        <v>4302</v>
      </c>
      <c r="D23" s="4" t="s">
        <v>62</v>
      </c>
      <c r="E23" s="12">
        <f>0.001*F23</f>
        <v>1E-3</v>
      </c>
      <c r="F23" s="12">
        <f>SI!E10</f>
        <v>1</v>
      </c>
      <c r="G23" s="1" t="s">
        <v>133</v>
      </c>
      <c r="H23" s="1" t="s">
        <v>65</v>
      </c>
    </row>
    <row r="24" spans="1:12">
      <c r="A24" s="1" t="s">
        <v>2958</v>
      </c>
      <c r="B24" s="1" t="s">
        <v>2957</v>
      </c>
      <c r="C24" s="1" t="s">
        <v>4302</v>
      </c>
      <c r="D24" s="4" t="s">
        <v>62</v>
      </c>
      <c r="E24" s="12">
        <f>F24/1000</f>
        <v>1E-3</v>
      </c>
      <c r="F24" s="12">
        <f>SI!E10</f>
        <v>1</v>
      </c>
      <c r="G24" s="1" t="s">
        <v>133</v>
      </c>
      <c r="H24" s="1" t="s">
        <v>983</v>
      </c>
    </row>
    <row r="25" spans="1:12">
      <c r="A25" s="1" t="s">
        <v>5635</v>
      </c>
      <c r="B25" s="1" t="s">
        <v>2998</v>
      </c>
      <c r="C25" s="1" t="s">
        <v>4302</v>
      </c>
      <c r="D25" s="4" t="s">
        <v>62</v>
      </c>
      <c r="E25" s="12">
        <f t="shared" ref="E25:E30" si="1">F25</f>
        <v>4.8481368110953594E-9</v>
      </c>
      <c r="F25" s="12">
        <f>PI()*SI!E10/648000000</f>
        <v>4.8481368110953594E-9</v>
      </c>
      <c r="G25" s="1" t="s">
        <v>133</v>
      </c>
      <c r="H25" s="1" t="s">
        <v>202</v>
      </c>
    </row>
    <row r="26" spans="1:12">
      <c r="A26" s="1" t="s">
        <v>5636</v>
      </c>
      <c r="B26" s="1" t="s">
        <v>26</v>
      </c>
      <c r="C26" s="1" t="s">
        <v>4302</v>
      </c>
      <c r="D26" s="4" t="s">
        <v>62</v>
      </c>
      <c r="E26" s="12">
        <f t="shared" si="1"/>
        <v>4.8481368110953594E-9</v>
      </c>
      <c r="F26" s="12">
        <f>PI()*SI!E10/648000000</f>
        <v>4.8481368110953594E-9</v>
      </c>
      <c r="G26" s="1" t="s">
        <v>133</v>
      </c>
      <c r="H26" s="1" t="s">
        <v>202</v>
      </c>
    </row>
    <row r="27" spans="1:12">
      <c r="A27" s="1" t="s">
        <v>299</v>
      </c>
      <c r="B27" s="1" t="s">
        <v>1054</v>
      </c>
      <c r="C27" s="1" t="s">
        <v>4302</v>
      </c>
      <c r="D27" s="4" t="s">
        <v>62</v>
      </c>
      <c r="E27" s="12">
        <f t="shared" si="1"/>
        <v>2.9088820866572158E-4</v>
      </c>
      <c r="F27" s="12">
        <f>PI()*SI!E10/10800</f>
        <v>2.9088820866572158E-4</v>
      </c>
      <c r="G27" s="1" t="s">
        <v>133</v>
      </c>
      <c r="H27" s="1" t="s">
        <v>983</v>
      </c>
    </row>
    <row r="28" spans="1:12" ht="30.6" customHeight="1">
      <c r="A28" s="1" t="s">
        <v>5637</v>
      </c>
      <c r="B28" s="6" t="s">
        <v>26</v>
      </c>
      <c r="C28" s="1" t="s">
        <v>4302</v>
      </c>
      <c r="D28" s="4" t="s">
        <v>62</v>
      </c>
      <c r="E28" s="12">
        <f t="shared" si="1"/>
        <v>2.9088820866572158E-4</v>
      </c>
      <c r="F28" s="12">
        <f>PI()*SI!E10/(180*60)</f>
        <v>2.9088820866572158E-4</v>
      </c>
      <c r="G28" s="1" t="s">
        <v>133</v>
      </c>
      <c r="H28" s="1" t="s">
        <v>58</v>
      </c>
    </row>
    <row r="29" spans="1:12">
      <c r="A29" s="1" t="s">
        <v>5637</v>
      </c>
      <c r="B29" s="1" t="s">
        <v>111</v>
      </c>
      <c r="C29" s="1" t="s">
        <v>4302</v>
      </c>
      <c r="D29" s="4" t="s">
        <v>62</v>
      </c>
      <c r="E29" s="12">
        <f t="shared" si="1"/>
        <v>1.5707963267948965E-4</v>
      </c>
      <c r="F29" s="12">
        <f>PI()/20000</f>
        <v>1.5707963267948965E-4</v>
      </c>
      <c r="G29" s="1" t="s">
        <v>133</v>
      </c>
      <c r="H29" s="1" t="s">
        <v>65</v>
      </c>
    </row>
    <row r="30" spans="1:12" ht="31.5" customHeight="1">
      <c r="A30" s="1" t="s">
        <v>2151</v>
      </c>
      <c r="B30" s="1" t="s">
        <v>26</v>
      </c>
      <c r="C30" s="1" t="s">
        <v>4302</v>
      </c>
      <c r="D30" s="4" t="s">
        <v>62</v>
      </c>
      <c r="E30" s="12">
        <f t="shared" si="1"/>
        <v>0.52359877559829882</v>
      </c>
      <c r="F30" s="12">
        <f>PI()*SI!E10/6</f>
        <v>0.52359877559829882</v>
      </c>
      <c r="G30" s="1" t="s">
        <v>133</v>
      </c>
      <c r="H30" s="1" t="s">
        <v>1148</v>
      </c>
    </row>
    <row r="31" spans="1:12">
      <c r="A31" s="1" t="s">
        <v>567</v>
      </c>
      <c r="B31" s="1" t="s">
        <v>26</v>
      </c>
      <c r="C31" s="1" t="s">
        <v>4302</v>
      </c>
      <c r="D31" s="4" t="s">
        <v>62</v>
      </c>
      <c r="E31" s="12">
        <v>0.78539816299999998</v>
      </c>
      <c r="F31" s="12">
        <f>SI!E10*PI()/4</f>
        <v>0.78539816339744828</v>
      </c>
      <c r="G31" s="1" t="s">
        <v>133</v>
      </c>
      <c r="H31" s="1" t="s">
        <v>983</v>
      </c>
    </row>
    <row r="32" spans="1:12">
      <c r="A32" s="1" t="s">
        <v>323</v>
      </c>
      <c r="B32" s="1" t="s">
        <v>26</v>
      </c>
      <c r="C32" s="1" t="s">
        <v>4302</v>
      </c>
      <c r="D32" s="4" t="s">
        <v>62</v>
      </c>
      <c r="E32" s="12">
        <f t="shared" ref="E32:E42" si="2">F32</f>
        <v>9.9996666866652376E-3</v>
      </c>
      <c r="F32" s="12">
        <f>ATAN(1/100)*SI!E10</f>
        <v>9.9996666866652376E-3</v>
      </c>
      <c r="G32" s="1" t="s">
        <v>133</v>
      </c>
      <c r="H32" s="1" t="s">
        <v>58</v>
      </c>
    </row>
    <row r="33" spans="1:8">
      <c r="A33" s="1" t="s">
        <v>5638</v>
      </c>
      <c r="B33" s="1" t="s">
        <v>26</v>
      </c>
      <c r="C33" s="1" t="s">
        <v>4302</v>
      </c>
      <c r="D33" s="4" t="s">
        <v>62</v>
      </c>
      <c r="E33" s="12">
        <f>PI()*F33</f>
        <v>3.1415926535897931</v>
      </c>
      <c r="F33" s="12">
        <f>SI!E10</f>
        <v>1</v>
      </c>
      <c r="G33" s="1" t="s">
        <v>133</v>
      </c>
      <c r="H33" s="1" t="s">
        <v>983</v>
      </c>
    </row>
    <row r="34" spans="1:8">
      <c r="A34" s="1" t="s">
        <v>990</v>
      </c>
      <c r="B34" s="1" t="s">
        <v>26</v>
      </c>
      <c r="C34" s="1" t="s">
        <v>4302</v>
      </c>
      <c r="D34" s="4" t="s">
        <v>62</v>
      </c>
      <c r="E34" s="12">
        <f t="shared" si="2"/>
        <v>0.19634954084936207</v>
      </c>
      <c r="F34" s="12">
        <f>PI()*SI!E10/16</f>
        <v>0.19634954084936207</v>
      </c>
      <c r="G34" s="1" t="s">
        <v>133</v>
      </c>
      <c r="H34" s="1" t="s">
        <v>58</v>
      </c>
    </row>
    <row r="35" spans="1:8">
      <c r="A35" s="1" t="s">
        <v>353</v>
      </c>
      <c r="B35" s="1" t="s">
        <v>26</v>
      </c>
      <c r="C35" s="1" t="s">
        <v>4302</v>
      </c>
      <c r="D35" s="4" t="s">
        <v>62</v>
      </c>
      <c r="E35" s="12">
        <f t="shared" si="2"/>
        <v>1.5707963267948966</v>
      </c>
      <c r="F35" s="12">
        <f>PI()*SI!E10/2</f>
        <v>1.5707963267948966</v>
      </c>
      <c r="G35" s="1" t="s">
        <v>133</v>
      </c>
      <c r="H35" s="1" t="s">
        <v>983</v>
      </c>
    </row>
    <row r="36" spans="1:8">
      <c r="A36" s="1" t="s">
        <v>583</v>
      </c>
      <c r="B36" s="1" t="s">
        <v>26</v>
      </c>
      <c r="C36" s="1" t="s">
        <v>4302</v>
      </c>
      <c r="D36" s="4" t="s">
        <v>62</v>
      </c>
      <c r="E36" s="12">
        <f t="shared" si="2"/>
        <v>1.2566370614359172</v>
      </c>
      <c r="F36" s="12">
        <f>2*PI()*SI!E10/5</f>
        <v>1.2566370614359172</v>
      </c>
      <c r="G36" s="1" t="s">
        <v>133</v>
      </c>
      <c r="H36" s="1" t="s">
        <v>58</v>
      </c>
    </row>
    <row r="37" spans="1:8">
      <c r="A37" s="1" t="s">
        <v>356</v>
      </c>
      <c r="B37" s="1" t="s">
        <v>133</v>
      </c>
      <c r="C37" s="1" t="s">
        <v>4302</v>
      </c>
      <c r="D37" s="4" t="s">
        <v>62</v>
      </c>
      <c r="E37" s="12">
        <f t="shared" si="2"/>
        <v>1</v>
      </c>
      <c r="F37" s="12">
        <f>SI!E10</f>
        <v>1</v>
      </c>
      <c r="G37" s="1" t="s">
        <v>133</v>
      </c>
      <c r="H37" s="1" t="s">
        <v>42</v>
      </c>
    </row>
    <row r="38" spans="1:8">
      <c r="A38" s="1" t="s">
        <v>356</v>
      </c>
      <c r="B38" s="1" t="s">
        <v>133</v>
      </c>
      <c r="C38" s="1" t="s">
        <v>4302</v>
      </c>
      <c r="D38" s="4" t="s">
        <v>62</v>
      </c>
      <c r="E38" s="12">
        <f>F38</f>
        <v>1</v>
      </c>
      <c r="F38" s="12">
        <f>SI!E10</f>
        <v>1</v>
      </c>
      <c r="G38" s="1" t="s">
        <v>133</v>
      </c>
      <c r="H38" s="1" t="s">
        <v>983</v>
      </c>
    </row>
    <row r="39" spans="1:8">
      <c r="A39" s="1" t="s">
        <v>363</v>
      </c>
      <c r="B39" s="1" t="s">
        <v>365</v>
      </c>
      <c r="C39" s="1" t="s">
        <v>4302</v>
      </c>
      <c r="D39" s="4" t="s">
        <v>62</v>
      </c>
      <c r="E39" s="12">
        <f t="shared" si="2"/>
        <v>6.2831853071795862</v>
      </c>
      <c r="F39" s="12">
        <f>2*PI()*SI!E10</f>
        <v>6.2831853071795862</v>
      </c>
      <c r="G39" s="1" t="s">
        <v>133</v>
      </c>
      <c r="H39" s="1" t="s">
        <v>1148</v>
      </c>
    </row>
    <row r="40" spans="1:8">
      <c r="A40" s="1" t="s">
        <v>5639</v>
      </c>
      <c r="B40" s="1" t="s">
        <v>26</v>
      </c>
      <c r="C40" s="1" t="s">
        <v>4302</v>
      </c>
      <c r="D40" s="4" t="s">
        <v>62</v>
      </c>
      <c r="E40" s="12">
        <f t="shared" si="2"/>
        <v>1.5707963267948966</v>
      </c>
      <c r="F40" s="12">
        <f>PI()*SI!E10/2</f>
        <v>1.5707963267948966</v>
      </c>
      <c r="G40" s="1" t="s">
        <v>133</v>
      </c>
      <c r="H40" s="1" t="s">
        <v>983</v>
      </c>
    </row>
    <row r="41" spans="1:8">
      <c r="A41" s="1" t="s">
        <v>367</v>
      </c>
      <c r="B41" s="1" t="s">
        <v>26</v>
      </c>
      <c r="C41" s="1" t="s">
        <v>4302</v>
      </c>
      <c r="D41" s="4" t="s">
        <v>62</v>
      </c>
      <c r="E41" s="12">
        <f t="shared" si="2"/>
        <v>6.2831853071795862</v>
      </c>
      <c r="F41" s="12">
        <f>2*PI()*SI!E10</f>
        <v>6.2831853071795862</v>
      </c>
      <c r="G41" s="1" t="s">
        <v>133</v>
      </c>
      <c r="H41" s="1" t="s">
        <v>983</v>
      </c>
    </row>
    <row r="42" spans="1:8">
      <c r="A42" s="1" t="s">
        <v>372</v>
      </c>
      <c r="B42" s="1" t="s">
        <v>2954</v>
      </c>
      <c r="C42" s="1" t="s">
        <v>4302</v>
      </c>
      <c r="D42" s="4" t="s">
        <v>62</v>
      </c>
      <c r="E42" s="12">
        <f t="shared" si="2"/>
        <v>4.8481368110953598E-6</v>
      </c>
      <c r="F42" s="12">
        <f>PI()*SI!E10/648000</f>
        <v>4.8481368110953598E-6</v>
      </c>
      <c r="G42" s="1" t="s">
        <v>133</v>
      </c>
      <c r="H42" s="1" t="s">
        <v>983</v>
      </c>
    </row>
    <row r="43" spans="1:8">
      <c r="A43" s="1" t="s">
        <v>5640</v>
      </c>
      <c r="B43" s="1" t="s">
        <v>6254</v>
      </c>
      <c r="C43" s="1" t="s">
        <v>4302</v>
      </c>
      <c r="D43" s="4" t="s">
        <v>62</v>
      </c>
      <c r="E43" s="12">
        <f>2*PI()*F43/86400</f>
        <v>7.2722052166430395E-5</v>
      </c>
      <c r="F43" s="12">
        <f>SI!E10</f>
        <v>1</v>
      </c>
      <c r="G43" s="1" t="s">
        <v>133</v>
      </c>
      <c r="H43" s="1" t="s">
        <v>202</v>
      </c>
    </row>
    <row r="44" spans="1:8">
      <c r="A44" s="1" t="s">
        <v>5641</v>
      </c>
      <c r="B44" s="1" t="s">
        <v>26</v>
      </c>
      <c r="C44" s="1" t="s">
        <v>4302</v>
      </c>
      <c r="D44" s="4" t="s">
        <v>62</v>
      </c>
      <c r="E44" s="12">
        <f>PI()*F44/(180*3600)</f>
        <v>4.8481368110953598E-6</v>
      </c>
      <c r="F44" s="12">
        <f>SI!E10</f>
        <v>1</v>
      </c>
      <c r="G44" s="1" t="s">
        <v>133</v>
      </c>
      <c r="H44" s="1" t="s">
        <v>58</v>
      </c>
    </row>
    <row r="45" spans="1:8">
      <c r="A45" s="1" t="s">
        <v>5641</v>
      </c>
      <c r="B45" s="1" t="s">
        <v>12</v>
      </c>
      <c r="C45" s="1" t="s">
        <v>4302</v>
      </c>
      <c r="D45" s="4" t="s">
        <v>62</v>
      </c>
      <c r="E45" s="12">
        <f>PI()*F45/20000</f>
        <v>1.5707963267948965E-4</v>
      </c>
      <c r="F45" s="12">
        <f>SI!E10</f>
        <v>1</v>
      </c>
      <c r="G45" s="1" t="s">
        <v>133</v>
      </c>
      <c r="H45" s="1" t="s">
        <v>65</v>
      </c>
    </row>
    <row r="46" spans="1:8">
      <c r="A46" s="1" t="s">
        <v>594</v>
      </c>
      <c r="B46" s="1" t="s">
        <v>26</v>
      </c>
      <c r="C46" s="1" t="s">
        <v>4302</v>
      </c>
      <c r="D46" s="4" t="s">
        <v>62</v>
      </c>
      <c r="E46" s="12">
        <f>PI()*F46/3</f>
        <v>1.0471975511965976</v>
      </c>
      <c r="F46" s="12">
        <f>SI!E10</f>
        <v>1</v>
      </c>
      <c r="G46" s="1" t="s">
        <v>133</v>
      </c>
      <c r="H46" s="1" t="s">
        <v>58</v>
      </c>
    </row>
    <row r="47" spans="1:8">
      <c r="A47" s="1" t="s">
        <v>383</v>
      </c>
      <c r="B47" s="1" t="s">
        <v>26</v>
      </c>
      <c r="C47" s="1" t="s">
        <v>4302</v>
      </c>
      <c r="D47" s="4" t="s">
        <v>62</v>
      </c>
      <c r="E47" s="12">
        <f>PI()*F47/6</f>
        <v>0.52359877559829882</v>
      </c>
      <c r="F47" s="12">
        <f>SI!E10</f>
        <v>1</v>
      </c>
      <c r="G47" s="1" t="s">
        <v>133</v>
      </c>
      <c r="H47" s="1" t="s">
        <v>983</v>
      </c>
    </row>
    <row r="48" spans="1:8">
      <c r="A48" s="1" t="s">
        <v>2651</v>
      </c>
      <c r="B48" s="1" t="s">
        <v>26</v>
      </c>
      <c r="C48" s="1" t="s">
        <v>4302</v>
      </c>
      <c r="D48" s="4" t="s">
        <v>62</v>
      </c>
      <c r="E48" s="12">
        <f>F48</f>
        <v>9.8174770424681044E-4</v>
      </c>
      <c r="F48" s="12">
        <f>2*PI()*SI!E10/6400</f>
        <v>9.8174770424681044E-4</v>
      </c>
      <c r="G48" s="1" t="s">
        <v>133</v>
      </c>
      <c r="H48" s="1" t="s">
        <v>58</v>
      </c>
    </row>
    <row r="49" spans="1:12">
      <c r="A49" s="1" t="s">
        <v>2651</v>
      </c>
      <c r="B49" s="1" t="s">
        <v>26</v>
      </c>
      <c r="C49" s="1" t="s">
        <v>4302</v>
      </c>
      <c r="D49" s="4" t="s">
        <v>62</v>
      </c>
      <c r="E49" s="12">
        <f>F49</f>
        <v>9.9733100113961679E-4</v>
      </c>
      <c r="F49" s="12">
        <f>2*PI()*SI!E10/6300</f>
        <v>9.9733100113961679E-4</v>
      </c>
      <c r="G49" s="1" t="s">
        <v>133</v>
      </c>
      <c r="H49" s="1" t="s">
        <v>60</v>
      </c>
      <c r="I49" s="32"/>
      <c r="J49" s="34"/>
      <c r="K49" s="34"/>
      <c r="L49" s="34"/>
    </row>
    <row r="50" spans="1:12">
      <c r="A50" s="1" t="s">
        <v>2651</v>
      </c>
      <c r="B50" s="1" t="s">
        <v>26</v>
      </c>
      <c r="C50" s="1" t="s">
        <v>4302</v>
      </c>
      <c r="D50" s="4" t="s">
        <v>62</v>
      </c>
      <c r="E50" s="12">
        <f>F50</f>
        <v>1.5707963267948967E-3</v>
      </c>
      <c r="F50" s="12">
        <f>2*PI()*SI!E10/4000</f>
        <v>1.5707963267948967E-3</v>
      </c>
      <c r="G50" s="1" t="s">
        <v>133</v>
      </c>
      <c r="H50" s="1" t="s">
        <v>47</v>
      </c>
    </row>
    <row r="51" spans="1:12">
      <c r="A51" s="1" t="s">
        <v>2651</v>
      </c>
      <c r="B51" s="1" t="s">
        <v>26</v>
      </c>
      <c r="C51" s="1" t="s">
        <v>4302</v>
      </c>
      <c r="D51" s="4" t="s">
        <v>62</v>
      </c>
      <c r="E51" s="12">
        <f>F51</f>
        <v>9.9999966666686679E-4</v>
      </c>
      <c r="F51" s="12">
        <f>ATAN(1/1000)*SI!E10</f>
        <v>9.9999966666686679E-4</v>
      </c>
      <c r="G51" s="1" t="s">
        <v>133</v>
      </c>
      <c r="H51" s="1" t="s">
        <v>65</v>
      </c>
    </row>
    <row r="52" spans="1:12">
      <c r="A52" s="1" t="s">
        <v>411</v>
      </c>
      <c r="B52" s="1" t="s">
        <v>4308</v>
      </c>
      <c r="C52" s="1" t="s">
        <v>4302</v>
      </c>
      <c r="D52" s="4" t="s">
        <v>62</v>
      </c>
      <c r="E52" s="12">
        <f>2*PI()*F52</f>
        <v>6.2831853071795862</v>
      </c>
      <c r="F52" s="12">
        <f>SI!E10</f>
        <v>1</v>
      </c>
      <c r="G52" s="1" t="s">
        <v>133</v>
      </c>
      <c r="H52" s="1" t="s">
        <v>1148</v>
      </c>
    </row>
    <row r="53" spans="1:12">
      <c r="A53" t="s">
        <v>7003</v>
      </c>
      <c r="B53" t="s">
        <v>7022</v>
      </c>
      <c r="C53" s="1" t="s">
        <v>4302</v>
      </c>
      <c r="D53" s="4" t="s">
        <v>62</v>
      </c>
      <c r="E53" s="12">
        <f>1E+24*F53</f>
        <v>9.9999999999999998E+23</v>
      </c>
      <c r="F53" s="12">
        <f>SI!E10</f>
        <v>1</v>
      </c>
      <c r="G53" s="1" t="s">
        <v>133</v>
      </c>
      <c r="H53" s="1" t="s">
        <v>42</v>
      </c>
    </row>
    <row r="54" spans="1:12">
      <c r="A54" t="s">
        <v>7004</v>
      </c>
      <c r="B54" t="s">
        <v>7023</v>
      </c>
      <c r="C54" s="1" t="s">
        <v>4302</v>
      </c>
      <c r="D54" s="4" t="s">
        <v>62</v>
      </c>
      <c r="E54" s="12">
        <f>1E+21*F54</f>
        <v>1E+21</v>
      </c>
      <c r="F54" s="12">
        <f>SI!E10</f>
        <v>1</v>
      </c>
      <c r="G54" s="1" t="s">
        <v>133</v>
      </c>
      <c r="H54" s="1" t="s">
        <v>42</v>
      </c>
    </row>
    <row r="55" spans="1:12">
      <c r="A55" t="s">
        <v>7005</v>
      </c>
      <c r="B55" t="s">
        <v>7024</v>
      </c>
      <c r="C55" s="1" t="s">
        <v>4302</v>
      </c>
      <c r="D55" s="4" t="s">
        <v>62</v>
      </c>
      <c r="E55" s="12">
        <f>1000000000000000000*F55</f>
        <v>1E+18</v>
      </c>
      <c r="F55" s="12">
        <f>SI!E10</f>
        <v>1</v>
      </c>
      <c r="G55" s="1" t="s">
        <v>133</v>
      </c>
      <c r="H55" s="1" t="s">
        <v>42</v>
      </c>
    </row>
    <row r="56" spans="1:12">
      <c r="A56" t="s">
        <v>7006</v>
      </c>
      <c r="B56" t="s">
        <v>7025</v>
      </c>
      <c r="C56" s="1" t="s">
        <v>4302</v>
      </c>
      <c r="D56" s="4" t="s">
        <v>62</v>
      </c>
      <c r="E56" s="12">
        <f>1000000000000000*F56</f>
        <v>1000000000000000</v>
      </c>
      <c r="F56" s="12">
        <f>SI!E10</f>
        <v>1</v>
      </c>
      <c r="G56" s="1" t="s">
        <v>133</v>
      </c>
      <c r="H56" s="1" t="s">
        <v>42</v>
      </c>
    </row>
    <row r="57" spans="1:12">
      <c r="A57" t="s">
        <v>7007</v>
      </c>
      <c r="B57" t="s">
        <v>7026</v>
      </c>
      <c r="C57" s="1" t="s">
        <v>4302</v>
      </c>
      <c r="D57" s="4" t="s">
        <v>62</v>
      </c>
      <c r="E57" s="12">
        <f>1000000000000*F57</f>
        <v>1000000000000</v>
      </c>
      <c r="F57" s="12">
        <f>SI!E10</f>
        <v>1</v>
      </c>
      <c r="G57" s="1" t="s">
        <v>133</v>
      </c>
      <c r="H57" s="1" t="s">
        <v>42</v>
      </c>
    </row>
    <row r="58" spans="1:12">
      <c r="A58" t="s">
        <v>7008</v>
      </c>
      <c r="B58" t="s">
        <v>7027</v>
      </c>
      <c r="C58" s="1" t="s">
        <v>4302</v>
      </c>
      <c r="D58" s="4" t="s">
        <v>62</v>
      </c>
      <c r="E58" s="12">
        <f>1000000000*F58</f>
        <v>1000000000</v>
      </c>
      <c r="F58" s="12">
        <f>SI!E10</f>
        <v>1</v>
      </c>
      <c r="G58" s="1" t="s">
        <v>133</v>
      </c>
      <c r="H58" s="1" t="s">
        <v>42</v>
      </c>
    </row>
    <row r="59" spans="1:12">
      <c r="A59" t="s">
        <v>7009</v>
      </c>
      <c r="B59" t="s">
        <v>7028</v>
      </c>
      <c r="C59" s="1" t="s">
        <v>4302</v>
      </c>
      <c r="D59" s="4" t="s">
        <v>62</v>
      </c>
      <c r="E59" s="12">
        <f>1000000*F59</f>
        <v>1000000</v>
      </c>
      <c r="F59" s="12">
        <f>SI!E10</f>
        <v>1</v>
      </c>
      <c r="G59" s="1" t="s">
        <v>133</v>
      </c>
      <c r="H59" s="1" t="s">
        <v>42</v>
      </c>
    </row>
    <row r="60" spans="1:12">
      <c r="A60" t="s">
        <v>7010</v>
      </c>
      <c r="B60" t="s">
        <v>7029</v>
      </c>
      <c r="C60" s="1" t="s">
        <v>4302</v>
      </c>
      <c r="D60" s="4" t="s">
        <v>62</v>
      </c>
      <c r="E60" s="12">
        <f>1000*F60</f>
        <v>1000</v>
      </c>
      <c r="F60" s="12">
        <f>SI!E10</f>
        <v>1</v>
      </c>
      <c r="G60" s="1" t="s">
        <v>133</v>
      </c>
      <c r="H60" s="1" t="s">
        <v>42</v>
      </c>
    </row>
    <row r="61" spans="1:12">
      <c r="A61" t="s">
        <v>7011</v>
      </c>
      <c r="B61" t="s">
        <v>7030</v>
      </c>
      <c r="C61" s="1" t="s">
        <v>4302</v>
      </c>
      <c r="D61" s="4" t="s">
        <v>62</v>
      </c>
      <c r="E61" s="12">
        <f>100*F61</f>
        <v>100</v>
      </c>
      <c r="F61" s="12">
        <f>SI!E10</f>
        <v>1</v>
      </c>
      <c r="G61" s="1" t="s">
        <v>133</v>
      </c>
      <c r="H61" s="1" t="s">
        <v>42</v>
      </c>
    </row>
    <row r="62" spans="1:12">
      <c r="A62" t="s">
        <v>7012</v>
      </c>
      <c r="B62" t="s">
        <v>7031</v>
      </c>
      <c r="C62" s="1" t="s">
        <v>4302</v>
      </c>
      <c r="D62" s="4" t="s">
        <v>62</v>
      </c>
      <c r="E62" s="12">
        <f>10*F62</f>
        <v>10</v>
      </c>
      <c r="F62" s="12">
        <f>SI!E10</f>
        <v>1</v>
      </c>
      <c r="G62" s="1" t="s">
        <v>133</v>
      </c>
      <c r="H62" s="1" t="s">
        <v>42</v>
      </c>
    </row>
    <row r="63" spans="1:12">
      <c r="A63" t="s">
        <v>7013</v>
      </c>
      <c r="B63" t="s">
        <v>7032</v>
      </c>
      <c r="C63" s="1" t="s">
        <v>4302</v>
      </c>
      <c r="D63" s="4" t="s">
        <v>62</v>
      </c>
      <c r="E63" s="12">
        <f>0.1*F63</f>
        <v>0.1</v>
      </c>
      <c r="F63" s="12">
        <f>SI!E10</f>
        <v>1</v>
      </c>
      <c r="G63" s="1" t="s">
        <v>133</v>
      </c>
      <c r="H63" s="1" t="s">
        <v>42</v>
      </c>
    </row>
    <row r="64" spans="1:12">
      <c r="A64" t="s">
        <v>7014</v>
      </c>
      <c r="B64" t="s">
        <v>7033</v>
      </c>
      <c r="C64" s="1" t="s">
        <v>4302</v>
      </c>
      <c r="D64" s="4" t="s">
        <v>62</v>
      </c>
      <c r="E64" s="12">
        <f>0.01*F64</f>
        <v>0.01</v>
      </c>
      <c r="F64" s="12">
        <f>SI!E10</f>
        <v>1</v>
      </c>
      <c r="G64" s="1" t="s">
        <v>133</v>
      </c>
      <c r="H64" s="1" t="s">
        <v>42</v>
      </c>
    </row>
    <row r="65" spans="1:8">
      <c r="A65" t="s">
        <v>2958</v>
      </c>
      <c r="B65" t="s">
        <v>7034</v>
      </c>
      <c r="C65" s="1" t="s">
        <v>4302</v>
      </c>
      <c r="D65" s="4" t="s">
        <v>62</v>
      </c>
      <c r="E65" s="12">
        <f>0.001*F65</f>
        <v>1E-3</v>
      </c>
      <c r="F65" s="12">
        <f>SI!E10</f>
        <v>1</v>
      </c>
      <c r="G65" s="1" t="s">
        <v>133</v>
      </c>
      <c r="H65" s="1" t="s">
        <v>42</v>
      </c>
    </row>
    <row r="66" spans="1:8">
      <c r="A66" t="s">
        <v>7015</v>
      </c>
      <c r="B66" t="s">
        <v>7035</v>
      </c>
      <c r="C66" s="1" t="s">
        <v>4302</v>
      </c>
      <c r="D66" s="4" t="s">
        <v>62</v>
      </c>
      <c r="E66" s="12">
        <f>0.000001*F66</f>
        <v>9.9999999999999995E-7</v>
      </c>
      <c r="F66" s="12">
        <f>SI!E10</f>
        <v>1</v>
      </c>
      <c r="G66" s="1" t="s">
        <v>133</v>
      </c>
      <c r="H66" s="1" t="s">
        <v>42</v>
      </c>
    </row>
    <row r="67" spans="1:8">
      <c r="A67" t="s">
        <v>7016</v>
      </c>
      <c r="B67" t="s">
        <v>7036</v>
      </c>
      <c r="C67" s="1" t="s">
        <v>4302</v>
      </c>
      <c r="D67" s="4" t="s">
        <v>62</v>
      </c>
      <c r="E67" s="12">
        <f>0.000000001*F67</f>
        <v>1.0000000000000001E-9</v>
      </c>
      <c r="F67" s="12">
        <f>SI!E10</f>
        <v>1</v>
      </c>
      <c r="G67" s="1" t="s">
        <v>133</v>
      </c>
      <c r="H67" s="1" t="s">
        <v>42</v>
      </c>
    </row>
    <row r="68" spans="1:8">
      <c r="A68" t="s">
        <v>7017</v>
      </c>
      <c r="B68" t="s">
        <v>7037</v>
      </c>
      <c r="C68" s="1" t="s">
        <v>4302</v>
      </c>
      <c r="D68" s="4" t="s">
        <v>62</v>
      </c>
      <c r="E68" s="12">
        <f>0.000000000001*F68</f>
        <v>9.9999999999999998E-13</v>
      </c>
      <c r="F68" s="12">
        <f>SI!E10</f>
        <v>1</v>
      </c>
      <c r="G68" s="1" t="s">
        <v>133</v>
      </c>
      <c r="H68" s="1" t="s">
        <v>42</v>
      </c>
    </row>
    <row r="69" spans="1:8">
      <c r="A69" t="s">
        <v>7018</v>
      </c>
      <c r="B69" t="s">
        <v>7038</v>
      </c>
      <c r="C69" s="1" t="s">
        <v>4302</v>
      </c>
      <c r="D69" s="4" t="s">
        <v>62</v>
      </c>
      <c r="E69" s="12">
        <f>0.000000000000001*F69</f>
        <v>1.0000000000000001E-15</v>
      </c>
      <c r="F69" s="12">
        <f>SI!E10</f>
        <v>1</v>
      </c>
      <c r="G69" s="1" t="s">
        <v>133</v>
      </c>
      <c r="H69" s="1" t="s">
        <v>42</v>
      </c>
    </row>
    <row r="70" spans="1:8">
      <c r="A70" t="s">
        <v>7019</v>
      </c>
      <c r="B70" t="s">
        <v>7039</v>
      </c>
      <c r="C70" s="1" t="s">
        <v>4302</v>
      </c>
      <c r="D70" s="4" t="s">
        <v>62</v>
      </c>
      <c r="E70" s="12">
        <f>0.000000000000000001*F70</f>
        <v>1.0000000000000001E-18</v>
      </c>
      <c r="F70" s="12">
        <f>SI!E10</f>
        <v>1</v>
      </c>
      <c r="G70" s="1" t="s">
        <v>133</v>
      </c>
      <c r="H70" s="1" t="s">
        <v>42</v>
      </c>
    </row>
    <row r="71" spans="1:8">
      <c r="A71" t="s">
        <v>7020</v>
      </c>
      <c r="B71" t="s">
        <v>7040</v>
      </c>
      <c r="C71" s="1" t="s">
        <v>4302</v>
      </c>
      <c r="D71" s="4" t="s">
        <v>62</v>
      </c>
      <c r="E71" s="12">
        <f>1E-21*F71</f>
        <v>9.9999999999999991E-22</v>
      </c>
      <c r="F71" s="12">
        <f>SI!E10</f>
        <v>1</v>
      </c>
      <c r="G71" s="1" t="s">
        <v>133</v>
      </c>
      <c r="H71" s="1" t="s">
        <v>42</v>
      </c>
    </row>
    <row r="72" spans="1:8">
      <c r="A72" t="s">
        <v>7021</v>
      </c>
      <c r="B72" t="s">
        <v>7041</v>
      </c>
      <c r="C72" s="1" t="s">
        <v>4302</v>
      </c>
      <c r="D72" s="4" t="s">
        <v>62</v>
      </c>
      <c r="E72" s="12">
        <f>1E-24*F72</f>
        <v>9.9999999999999992E-25</v>
      </c>
      <c r="F72" s="12">
        <f>SI!E10</f>
        <v>1</v>
      </c>
      <c r="G72" s="1" t="s">
        <v>133</v>
      </c>
      <c r="H72" s="1" t="s">
        <v>42</v>
      </c>
    </row>
    <row r="73" spans="1:8">
      <c r="A73" s="48"/>
      <c r="B73" s="48"/>
      <c r="C73" s="48"/>
      <c r="D73" s="48"/>
      <c r="E73" s="48"/>
      <c r="F73" s="48"/>
      <c r="G73" s="48"/>
      <c r="H73" s="48"/>
    </row>
    <row r="74" spans="1:8">
      <c r="A74" s="1" t="s">
        <v>567</v>
      </c>
      <c r="B74" s="1" t="s">
        <v>26</v>
      </c>
      <c r="C74" s="1" t="s">
        <v>4299</v>
      </c>
      <c r="D74" s="4" t="s">
        <v>315</v>
      </c>
      <c r="E74" s="12">
        <f>F74</f>
        <v>1.5707963267948966</v>
      </c>
      <c r="F74" s="12">
        <f>SI!E11*PI()/2</f>
        <v>1.5707963267948966</v>
      </c>
      <c r="G74" s="1" t="s">
        <v>391</v>
      </c>
      <c r="H74" s="1" t="s">
        <v>202</v>
      </c>
    </row>
    <row r="75" spans="1:8" ht="33.75" customHeight="1">
      <c r="A75" s="1" t="s">
        <v>599</v>
      </c>
      <c r="B75" s="1" t="s">
        <v>26</v>
      </c>
      <c r="C75" s="1" t="s">
        <v>4299</v>
      </c>
      <c r="D75" s="4" t="s">
        <v>315</v>
      </c>
      <c r="E75" s="12">
        <f>4*PI()*F75</f>
        <v>12.566370614359172</v>
      </c>
      <c r="F75" s="12">
        <f>SI!E11</f>
        <v>1</v>
      </c>
      <c r="G75" s="1" t="s">
        <v>391</v>
      </c>
      <c r="H75" s="1" t="s">
        <v>202</v>
      </c>
    </row>
    <row r="76" spans="1:8">
      <c r="A76" s="1" t="s">
        <v>5642</v>
      </c>
      <c r="B76" s="1" t="s">
        <v>2961</v>
      </c>
      <c r="C76" s="1" t="s">
        <v>4299</v>
      </c>
      <c r="D76" s="4" t="s">
        <v>315</v>
      </c>
      <c r="E76" s="12">
        <f>PI()*F76</f>
        <v>3.1415926535897931</v>
      </c>
      <c r="F76" s="12">
        <f>SI!E11</f>
        <v>1</v>
      </c>
      <c r="G76" s="1" t="s">
        <v>391</v>
      </c>
      <c r="H76" s="1" t="s">
        <v>202</v>
      </c>
    </row>
    <row r="77" spans="1:8" ht="48" customHeight="1">
      <c r="A77" s="1" t="s">
        <v>5643</v>
      </c>
      <c r="B77" s="5" t="s">
        <v>2931</v>
      </c>
      <c r="C77" s="1" t="s">
        <v>4299</v>
      </c>
      <c r="D77" s="4" t="s">
        <v>315</v>
      </c>
      <c r="E77" s="12">
        <f>F77</f>
        <v>3.0461741978670857E-4</v>
      </c>
      <c r="F77" s="12">
        <f>POWER(PI()/180,2)*SI!E11</f>
        <v>3.0461741978670857E-4</v>
      </c>
      <c r="G77" s="1" t="s">
        <v>391</v>
      </c>
      <c r="H77" s="1" t="s">
        <v>202</v>
      </c>
    </row>
    <row r="78" spans="1:8" ht="16.5">
      <c r="A78" s="1" t="s">
        <v>5644</v>
      </c>
      <c r="B78" s="1" t="s">
        <v>2932</v>
      </c>
      <c r="C78" s="1" t="s">
        <v>4299</v>
      </c>
      <c r="D78" s="4" t="s">
        <v>315</v>
      </c>
      <c r="E78" s="12">
        <f>F78</f>
        <v>8.4615949940752384E-6</v>
      </c>
      <c r="F78" s="12">
        <f>SI!E11*POWER(PI()/1080,2)</f>
        <v>8.4615949940752384E-6</v>
      </c>
      <c r="G78" s="1" t="s">
        <v>391</v>
      </c>
      <c r="H78" s="1" t="s">
        <v>202</v>
      </c>
    </row>
    <row r="79" spans="1:8" ht="16.5">
      <c r="A79" s="1" t="s">
        <v>5645</v>
      </c>
      <c r="B79" s="1" t="s">
        <v>4307</v>
      </c>
      <c r="C79" s="1" t="s">
        <v>4299</v>
      </c>
      <c r="D79" s="4" t="s">
        <v>315</v>
      </c>
      <c r="E79" s="12">
        <v>2.3504430538999998E-12</v>
      </c>
      <c r="F79" s="12">
        <f>POWER(PI()/648000,2)*SI!E11</f>
        <v>2.3504430539097885E-11</v>
      </c>
      <c r="G79" s="1" t="s">
        <v>391</v>
      </c>
      <c r="H79" s="1" t="s">
        <v>202</v>
      </c>
    </row>
    <row r="80" spans="1:8" ht="16.5">
      <c r="A80" s="1" t="s">
        <v>5646</v>
      </c>
      <c r="B80" s="5" t="s">
        <v>2937</v>
      </c>
      <c r="C80" s="1" t="s">
        <v>4299</v>
      </c>
      <c r="D80" s="4" t="s">
        <v>315</v>
      </c>
      <c r="E80" s="12">
        <f>F80</f>
        <v>2.4674011002723397E-4</v>
      </c>
      <c r="F80" s="12">
        <f>POWER(PI()/200,2)*SI!E11</f>
        <v>2.4674011002723397E-4</v>
      </c>
      <c r="G80" s="1" t="s">
        <v>391</v>
      </c>
      <c r="H80" s="1" t="s">
        <v>65</v>
      </c>
    </row>
    <row r="81" spans="1:8" ht="16.5">
      <c r="A81" s="1" t="s">
        <v>5647</v>
      </c>
      <c r="B81" s="5" t="s">
        <v>4115</v>
      </c>
      <c r="C81" s="1" t="s">
        <v>4299</v>
      </c>
      <c r="D81" s="4" t="s">
        <v>315</v>
      </c>
      <c r="E81" s="12">
        <f>F81</f>
        <v>2.4674011002723397E-4</v>
      </c>
      <c r="F81" s="12">
        <f>POWER(PI()/200,2)*SI!E11</f>
        <v>2.4674011002723397E-4</v>
      </c>
      <c r="G81" s="1" t="s">
        <v>391</v>
      </c>
      <c r="H81" s="1" t="s">
        <v>65</v>
      </c>
    </row>
    <row r="82" spans="1:8">
      <c r="A82" s="1" t="s">
        <v>389</v>
      </c>
      <c r="B82" s="1" t="s">
        <v>388</v>
      </c>
      <c r="C82" s="1" t="s">
        <v>4299</v>
      </c>
      <c r="D82" s="4" t="s">
        <v>315</v>
      </c>
      <c r="E82" s="12">
        <f>4*PI()*F82</f>
        <v>12.566370614359172</v>
      </c>
      <c r="F82" s="12">
        <f>SI!E11</f>
        <v>1</v>
      </c>
      <c r="G82" s="1" t="s">
        <v>391</v>
      </c>
      <c r="H82" s="1" t="s">
        <v>1148</v>
      </c>
    </row>
    <row r="83" spans="1:8">
      <c r="A83" s="1" t="s">
        <v>604</v>
      </c>
      <c r="B83" s="1" t="s">
        <v>600</v>
      </c>
      <c r="C83" s="1" t="s">
        <v>4299</v>
      </c>
      <c r="D83" s="4" t="s">
        <v>315</v>
      </c>
      <c r="E83" s="12">
        <f>F83</f>
        <v>1</v>
      </c>
      <c r="F83" s="12">
        <f>SI!E11</f>
        <v>1</v>
      </c>
      <c r="G83" s="1" t="s">
        <v>391</v>
      </c>
      <c r="H83" s="1" t="s">
        <v>42</v>
      </c>
    </row>
    <row r="84" spans="1:8">
      <c r="A84" s="1" t="s">
        <v>395</v>
      </c>
      <c r="B84" s="1" t="s">
        <v>391</v>
      </c>
      <c r="C84" s="1" t="s">
        <v>4299</v>
      </c>
      <c r="D84" s="4" t="s">
        <v>315</v>
      </c>
      <c r="E84" s="12">
        <f>F84</f>
        <v>1</v>
      </c>
      <c r="F84" s="12">
        <f>SI!E11</f>
        <v>1</v>
      </c>
      <c r="G84" s="1" t="s">
        <v>391</v>
      </c>
      <c r="H84" s="1" t="s">
        <v>42</v>
      </c>
    </row>
    <row r="85" spans="1:8">
      <c r="A85" t="s">
        <v>7042</v>
      </c>
      <c r="B85" t="s">
        <v>7062</v>
      </c>
      <c r="C85" s="1" t="s">
        <v>4299</v>
      </c>
      <c r="D85" s="4" t="s">
        <v>315</v>
      </c>
      <c r="E85" s="12">
        <f>1E+24*F85</f>
        <v>9.9999999999999998E+23</v>
      </c>
      <c r="F85" s="12">
        <f>SI!E11</f>
        <v>1</v>
      </c>
      <c r="G85" s="1" t="s">
        <v>391</v>
      </c>
      <c r="H85" s="1" t="s">
        <v>42</v>
      </c>
    </row>
    <row r="86" spans="1:8">
      <c r="A86" t="s">
        <v>7043</v>
      </c>
      <c r="B86" t="s">
        <v>7063</v>
      </c>
      <c r="C86" s="1" t="s">
        <v>4299</v>
      </c>
      <c r="D86" s="4" t="s">
        <v>315</v>
      </c>
      <c r="E86" s="12">
        <f>1E+21*F86</f>
        <v>1E+21</v>
      </c>
      <c r="F86" s="12">
        <f>SI!E11</f>
        <v>1</v>
      </c>
      <c r="G86" s="1" t="s">
        <v>391</v>
      </c>
      <c r="H86" s="1" t="s">
        <v>42</v>
      </c>
    </row>
    <row r="87" spans="1:8">
      <c r="A87" t="s">
        <v>7044</v>
      </c>
      <c r="B87" t="s">
        <v>7064</v>
      </c>
      <c r="C87" s="1" t="s">
        <v>4299</v>
      </c>
      <c r="D87" s="4" t="s">
        <v>315</v>
      </c>
      <c r="E87" s="12">
        <f>1000000000000000000*F87</f>
        <v>1E+18</v>
      </c>
      <c r="F87" s="12">
        <f>SI!E11</f>
        <v>1</v>
      </c>
      <c r="G87" s="1" t="s">
        <v>391</v>
      </c>
      <c r="H87" s="1" t="s">
        <v>42</v>
      </c>
    </row>
    <row r="88" spans="1:8">
      <c r="A88" t="s">
        <v>7045</v>
      </c>
      <c r="B88" t="s">
        <v>7065</v>
      </c>
      <c r="C88" s="1" t="s">
        <v>4299</v>
      </c>
      <c r="D88" s="4" t="s">
        <v>315</v>
      </c>
      <c r="E88" s="12">
        <f>1000000000000000*F88</f>
        <v>1000000000000000</v>
      </c>
      <c r="F88" s="12">
        <f>SI!E11</f>
        <v>1</v>
      </c>
      <c r="G88" s="1" t="s">
        <v>391</v>
      </c>
      <c r="H88" s="1" t="s">
        <v>42</v>
      </c>
    </row>
    <row r="89" spans="1:8">
      <c r="A89" t="s">
        <v>7046</v>
      </c>
      <c r="B89" t="s">
        <v>7066</v>
      </c>
      <c r="C89" s="1" t="s">
        <v>4299</v>
      </c>
      <c r="D89" s="4" t="s">
        <v>315</v>
      </c>
      <c r="E89" s="12">
        <f>1000000000000*F89</f>
        <v>1000000000000</v>
      </c>
      <c r="F89" s="12">
        <f>SI!E11</f>
        <v>1</v>
      </c>
      <c r="G89" s="1" t="s">
        <v>391</v>
      </c>
      <c r="H89" s="1" t="s">
        <v>42</v>
      </c>
    </row>
    <row r="90" spans="1:8">
      <c r="A90" t="s">
        <v>7047</v>
      </c>
      <c r="B90" t="s">
        <v>7067</v>
      </c>
      <c r="C90" s="1" t="s">
        <v>4299</v>
      </c>
      <c r="D90" s="4" t="s">
        <v>315</v>
      </c>
      <c r="E90" s="12">
        <f>1000000000*F90</f>
        <v>1000000000</v>
      </c>
      <c r="F90" s="12">
        <f>SI!E11</f>
        <v>1</v>
      </c>
      <c r="G90" s="1" t="s">
        <v>391</v>
      </c>
      <c r="H90" s="1" t="s">
        <v>42</v>
      </c>
    </row>
    <row r="91" spans="1:8">
      <c r="A91" t="s">
        <v>7048</v>
      </c>
      <c r="B91" t="s">
        <v>7068</v>
      </c>
      <c r="C91" s="1" t="s">
        <v>4299</v>
      </c>
      <c r="D91" s="4" t="s">
        <v>315</v>
      </c>
      <c r="E91" s="12">
        <f>1000000*F91</f>
        <v>1000000</v>
      </c>
      <c r="F91" s="12">
        <f>SI!E11</f>
        <v>1</v>
      </c>
      <c r="G91" s="1" t="s">
        <v>391</v>
      </c>
      <c r="H91" s="1" t="s">
        <v>42</v>
      </c>
    </row>
    <row r="92" spans="1:8">
      <c r="A92" t="s">
        <v>7049</v>
      </c>
      <c r="B92" t="s">
        <v>7069</v>
      </c>
      <c r="C92" s="1" t="s">
        <v>4299</v>
      </c>
      <c r="D92" s="4" t="s">
        <v>315</v>
      </c>
      <c r="E92" s="12">
        <f>1000*F92</f>
        <v>1000</v>
      </c>
      <c r="F92" s="12">
        <f>SI!E11</f>
        <v>1</v>
      </c>
      <c r="G92" s="1" t="s">
        <v>391</v>
      </c>
      <c r="H92" s="1" t="s">
        <v>42</v>
      </c>
    </row>
    <row r="93" spans="1:8">
      <c r="A93" t="s">
        <v>7050</v>
      </c>
      <c r="B93" t="s">
        <v>7070</v>
      </c>
      <c r="C93" s="1" t="s">
        <v>4299</v>
      </c>
      <c r="D93" s="4" t="s">
        <v>315</v>
      </c>
      <c r="E93" s="12">
        <f>100*F93</f>
        <v>100</v>
      </c>
      <c r="F93" s="12">
        <f>SI!E11</f>
        <v>1</v>
      </c>
      <c r="G93" s="1" t="s">
        <v>391</v>
      </c>
      <c r="H93" s="1" t="s">
        <v>42</v>
      </c>
    </row>
    <row r="94" spans="1:8">
      <c r="A94" t="s">
        <v>7051</v>
      </c>
      <c r="B94" t="s">
        <v>7071</v>
      </c>
      <c r="C94" s="1" t="s">
        <v>4299</v>
      </c>
      <c r="D94" s="4" t="s">
        <v>315</v>
      </c>
      <c r="E94" s="12">
        <f>10*F94</f>
        <v>10</v>
      </c>
      <c r="F94" s="12">
        <f>SI!E11</f>
        <v>1</v>
      </c>
      <c r="G94" s="1" t="s">
        <v>391</v>
      </c>
      <c r="H94" s="1" t="s">
        <v>42</v>
      </c>
    </row>
    <row r="95" spans="1:8">
      <c r="A95" t="s">
        <v>7052</v>
      </c>
      <c r="B95" t="s">
        <v>7072</v>
      </c>
      <c r="C95" s="1" t="s">
        <v>4299</v>
      </c>
      <c r="D95" s="4" t="s">
        <v>315</v>
      </c>
      <c r="E95" s="12">
        <f>0.1*F95</f>
        <v>0.1</v>
      </c>
      <c r="F95" s="12">
        <f>SI!E11</f>
        <v>1</v>
      </c>
      <c r="G95" s="1" t="s">
        <v>391</v>
      </c>
      <c r="H95" s="1" t="s">
        <v>42</v>
      </c>
    </row>
    <row r="96" spans="1:8">
      <c r="A96" t="s">
        <v>7053</v>
      </c>
      <c r="B96" t="s">
        <v>7073</v>
      </c>
      <c r="C96" s="1" t="s">
        <v>4299</v>
      </c>
      <c r="D96" s="4" t="s">
        <v>315</v>
      </c>
      <c r="E96" s="12">
        <f>0.01*F96</f>
        <v>0.01</v>
      </c>
      <c r="F96" s="12">
        <f>SI!E11</f>
        <v>1</v>
      </c>
      <c r="G96" s="1" t="s">
        <v>391</v>
      </c>
      <c r="H96" s="1" t="s">
        <v>42</v>
      </c>
    </row>
    <row r="97" spans="1:8">
      <c r="A97" t="s">
        <v>7054</v>
      </c>
      <c r="B97" t="s">
        <v>7074</v>
      </c>
      <c r="C97" s="1" t="s">
        <v>4299</v>
      </c>
      <c r="D97" s="4" t="s">
        <v>315</v>
      </c>
      <c r="E97" s="12">
        <f>0.001*F97</f>
        <v>1E-3</v>
      </c>
      <c r="F97" s="12">
        <f>SI!E11</f>
        <v>1</v>
      </c>
      <c r="G97" s="1" t="s">
        <v>391</v>
      </c>
      <c r="H97" s="1" t="s">
        <v>42</v>
      </c>
    </row>
    <row r="98" spans="1:8">
      <c r="A98" t="s">
        <v>7055</v>
      </c>
      <c r="B98" t="s">
        <v>7075</v>
      </c>
      <c r="C98" s="1" t="s">
        <v>4299</v>
      </c>
      <c r="D98" s="4" t="s">
        <v>315</v>
      </c>
      <c r="E98" s="12">
        <f>0.000001*F98</f>
        <v>9.9999999999999995E-7</v>
      </c>
      <c r="F98" s="12">
        <f>SI!E11</f>
        <v>1</v>
      </c>
      <c r="G98" s="1" t="s">
        <v>391</v>
      </c>
      <c r="H98" s="1" t="s">
        <v>42</v>
      </c>
    </row>
    <row r="99" spans="1:8">
      <c r="A99" t="s">
        <v>7056</v>
      </c>
      <c r="B99" t="s">
        <v>7076</v>
      </c>
      <c r="C99" s="1" t="s">
        <v>4299</v>
      </c>
      <c r="D99" s="4" t="s">
        <v>315</v>
      </c>
      <c r="E99" s="12">
        <f>0.000000001*F99</f>
        <v>1.0000000000000001E-9</v>
      </c>
      <c r="F99" s="12">
        <f>SI!E11</f>
        <v>1</v>
      </c>
      <c r="G99" s="1" t="s">
        <v>391</v>
      </c>
      <c r="H99" s="1" t="s">
        <v>42</v>
      </c>
    </row>
    <row r="100" spans="1:8">
      <c r="A100" t="s">
        <v>7057</v>
      </c>
      <c r="B100" t="s">
        <v>7077</v>
      </c>
      <c r="C100" s="1" t="s">
        <v>4299</v>
      </c>
      <c r="D100" s="4" t="s">
        <v>315</v>
      </c>
      <c r="E100" s="12">
        <f>0.000000000001*F100</f>
        <v>9.9999999999999998E-13</v>
      </c>
      <c r="F100" s="12">
        <f>SI!E11</f>
        <v>1</v>
      </c>
      <c r="G100" s="1" t="s">
        <v>391</v>
      </c>
      <c r="H100" s="1" t="s">
        <v>42</v>
      </c>
    </row>
    <row r="101" spans="1:8">
      <c r="A101" t="s">
        <v>7058</v>
      </c>
      <c r="B101" t="s">
        <v>7078</v>
      </c>
      <c r="C101" s="1" t="s">
        <v>4299</v>
      </c>
      <c r="D101" s="4" t="s">
        <v>315</v>
      </c>
      <c r="E101" s="12">
        <f>0.000000000000001*F101</f>
        <v>1.0000000000000001E-15</v>
      </c>
      <c r="F101" s="12">
        <f>SI!E11</f>
        <v>1</v>
      </c>
      <c r="G101" s="1" t="s">
        <v>391</v>
      </c>
      <c r="H101" s="1" t="s">
        <v>42</v>
      </c>
    </row>
    <row r="102" spans="1:8">
      <c r="A102" t="s">
        <v>7059</v>
      </c>
      <c r="B102" t="s">
        <v>7079</v>
      </c>
      <c r="C102" s="1" t="s">
        <v>4299</v>
      </c>
      <c r="D102" s="4" t="s">
        <v>315</v>
      </c>
      <c r="E102" s="12">
        <f>0.000000000000000001*F102</f>
        <v>1.0000000000000001E-18</v>
      </c>
      <c r="F102" s="12">
        <f>SI!E11</f>
        <v>1</v>
      </c>
      <c r="G102" s="1" t="s">
        <v>391</v>
      </c>
      <c r="H102" s="1" t="s">
        <v>42</v>
      </c>
    </row>
    <row r="103" spans="1:8">
      <c r="A103" t="s">
        <v>7060</v>
      </c>
      <c r="B103" t="s">
        <v>7080</v>
      </c>
      <c r="C103" s="1" t="s">
        <v>4299</v>
      </c>
      <c r="D103" s="4" t="s">
        <v>315</v>
      </c>
      <c r="E103" s="12">
        <f>1E-21*F103</f>
        <v>9.9999999999999991E-22</v>
      </c>
      <c r="F103" s="12">
        <f>SI!E11</f>
        <v>1</v>
      </c>
      <c r="G103" s="1" t="s">
        <v>391</v>
      </c>
      <c r="H103" s="1" t="s">
        <v>42</v>
      </c>
    </row>
    <row r="104" spans="1:8">
      <c r="A104" t="s">
        <v>7061</v>
      </c>
      <c r="B104" t="s">
        <v>7081</v>
      </c>
      <c r="C104" s="1" t="s">
        <v>4299</v>
      </c>
      <c r="D104" s="4" t="s">
        <v>315</v>
      </c>
      <c r="E104" s="12">
        <f>1E-24*F104</f>
        <v>9.9999999999999992E-25</v>
      </c>
      <c r="F104" s="12">
        <f>SI!E11</f>
        <v>1</v>
      </c>
      <c r="G104" s="1" t="s">
        <v>391</v>
      </c>
      <c r="H104" s="1" t="s">
        <v>42</v>
      </c>
    </row>
    <row r="105" spans="1:8">
      <c r="A105" s="48"/>
      <c r="B105" s="48"/>
      <c r="C105" s="48"/>
      <c r="D105" s="48"/>
      <c r="E105" s="48"/>
      <c r="F105" s="48"/>
      <c r="G105" s="48"/>
      <c r="H105" s="48"/>
    </row>
    <row r="106" spans="1:8" ht="28.8">
      <c r="A106" s="1" t="s">
        <v>5648</v>
      </c>
      <c r="B106" s="1" t="s">
        <v>5660</v>
      </c>
      <c r="C106" s="1" t="s">
        <v>4300</v>
      </c>
      <c r="D106" s="4" t="s">
        <v>2911</v>
      </c>
      <c r="E106" s="12">
        <f t="shared" ref="E106:E124" si="3">F106</f>
        <v>5.5344027523919632E-10</v>
      </c>
      <c r="F106" s="12">
        <f>PI()*SI!E10/(180*'Physical Definitions'!E7)</f>
        <v>5.5344027523919632E-10</v>
      </c>
      <c r="G106" s="1" t="s">
        <v>1123</v>
      </c>
      <c r="H106" s="1" t="s">
        <v>982</v>
      </c>
    </row>
    <row r="107" spans="1:8" ht="28.8">
      <c r="A107" s="1" t="s">
        <v>5649</v>
      </c>
      <c r="B107" s="1" t="s">
        <v>5661</v>
      </c>
      <c r="C107" s="1" t="s">
        <v>4300</v>
      </c>
      <c r="D107" s="4" t="s">
        <v>2911</v>
      </c>
      <c r="E107" s="12">
        <f>F107</f>
        <v>6.7335233487435552E-9</v>
      </c>
      <c r="F107" s="12">
        <f>PI()*SI!E10/(180*30*'Physical Definitions'!E6)</f>
        <v>6.7335233487435552E-9</v>
      </c>
      <c r="G107" s="1" t="s">
        <v>1123</v>
      </c>
      <c r="H107" s="1" t="s">
        <v>982</v>
      </c>
    </row>
    <row r="108" spans="1:8" ht="28.8">
      <c r="A108" s="1" t="s">
        <v>5650</v>
      </c>
      <c r="B108" s="1" t="s">
        <v>5662</v>
      </c>
      <c r="C108" s="1" t="s">
        <v>4300</v>
      </c>
      <c r="D108" s="4" t="s">
        <v>2911</v>
      </c>
      <c r="E108" s="12">
        <f t="shared" si="3"/>
        <v>2.0200570046230665E-7</v>
      </c>
      <c r="F108" s="12">
        <f>PI()*SI!E10/(180*'Physical Definitions'!E6)</f>
        <v>2.0200570046230665E-7</v>
      </c>
      <c r="G108" s="1" t="s">
        <v>1123</v>
      </c>
      <c r="H108" s="1" t="s">
        <v>982</v>
      </c>
    </row>
    <row r="109" spans="1:8" ht="28.8">
      <c r="A109" s="1" t="s">
        <v>5651</v>
      </c>
      <c r="B109" s="1" t="s">
        <v>5664</v>
      </c>
      <c r="C109" s="1" t="s">
        <v>4300</v>
      </c>
      <c r="D109" s="4" t="s">
        <v>2911</v>
      </c>
      <c r="E109" s="12">
        <f t="shared" si="3"/>
        <v>4.8481368110953598E-6</v>
      </c>
      <c r="F109" s="12">
        <f>PI()*SI!E10/(180*'Physical Definitions'!E5)</f>
        <v>4.8481368110953598E-6</v>
      </c>
      <c r="G109" s="1" t="s">
        <v>1123</v>
      </c>
      <c r="H109" s="1" t="s">
        <v>982</v>
      </c>
    </row>
    <row r="110" spans="1:8" ht="28.8">
      <c r="A110" s="1" t="s">
        <v>5652</v>
      </c>
      <c r="B110" s="1" t="s">
        <v>5663</v>
      </c>
      <c r="C110" s="1" t="s">
        <v>4300</v>
      </c>
      <c r="D110" s="4" t="s">
        <v>2911</v>
      </c>
      <c r="E110" s="12">
        <f t="shared" si="3"/>
        <v>2.9088820866572158E-4</v>
      </c>
      <c r="F110" s="12">
        <f>PI()*SI!E10/(180*'Physical Definitions'!E4)</f>
        <v>2.9088820866572158E-4</v>
      </c>
      <c r="G110" s="1" t="s">
        <v>1123</v>
      </c>
      <c r="H110" s="1" t="s">
        <v>982</v>
      </c>
    </row>
    <row r="111" spans="1:8" ht="28.8">
      <c r="A111" s="1" t="s">
        <v>5653</v>
      </c>
      <c r="B111" s="1" t="s">
        <v>5665</v>
      </c>
      <c r="C111" s="1" t="s">
        <v>4300</v>
      </c>
      <c r="D111" s="4" t="s">
        <v>2911</v>
      </c>
      <c r="E111" s="12">
        <f t="shared" si="3"/>
        <v>1.7453292519943295E-2</v>
      </c>
      <c r="F111" s="12">
        <f>PI()*SI!E10/(180*SI!E4)</f>
        <v>1.7453292519943295E-2</v>
      </c>
      <c r="G111" s="1" t="s">
        <v>1123</v>
      </c>
      <c r="H111" s="1" t="s">
        <v>982</v>
      </c>
    </row>
    <row r="112" spans="1:8" ht="28.8">
      <c r="A112" s="1" t="s">
        <v>5654</v>
      </c>
      <c r="B112" s="1" t="s">
        <v>2956</v>
      </c>
      <c r="C112" s="1" t="s">
        <v>4300</v>
      </c>
      <c r="D112" s="4" t="s">
        <v>2911</v>
      </c>
      <c r="E112" s="12">
        <f t="shared" si="3"/>
        <v>3.1709791983764586E-8</v>
      </c>
      <c r="F112" s="12">
        <f>SI!E10/'Physical Definitions'!E7</f>
        <v>3.1709791983764586E-8</v>
      </c>
      <c r="G112" s="1" t="s">
        <v>1123</v>
      </c>
      <c r="H112" s="1" t="s">
        <v>42</v>
      </c>
    </row>
    <row r="113" spans="1:8" ht="28.8">
      <c r="A113" s="1" t="s">
        <v>5655</v>
      </c>
      <c r="B113" s="1" t="s">
        <v>3954</v>
      </c>
      <c r="C113" s="1" t="s">
        <v>4300</v>
      </c>
      <c r="D113" s="4" t="s">
        <v>2911</v>
      </c>
      <c r="E113" s="12">
        <f>F113</f>
        <v>3.8580246913580245E-7</v>
      </c>
      <c r="F113" s="12">
        <f>SI!E10/(30*'Physical Definitions'!E6)</f>
        <v>3.8580246913580245E-7</v>
      </c>
      <c r="G113" s="1" t="s">
        <v>1123</v>
      </c>
      <c r="H113" s="1" t="s">
        <v>42</v>
      </c>
    </row>
    <row r="114" spans="1:8" ht="28.8">
      <c r="A114" s="1" t="s">
        <v>5656</v>
      </c>
      <c r="B114" s="1" t="s">
        <v>6255</v>
      </c>
      <c r="C114" s="1" t="s">
        <v>4300</v>
      </c>
      <c r="D114" s="4" t="s">
        <v>2911</v>
      </c>
      <c r="E114" s="12">
        <f t="shared" si="3"/>
        <v>1.1574074074074073E-5</v>
      </c>
      <c r="F114" s="12">
        <f>SI!E10/'Physical Definitions'!E6</f>
        <v>1.1574074074074073E-5</v>
      </c>
      <c r="G114" s="1" t="s">
        <v>1123</v>
      </c>
      <c r="H114" s="1" t="s">
        <v>42</v>
      </c>
    </row>
    <row r="115" spans="1:8" ht="28.8">
      <c r="A115" s="1" t="s">
        <v>5657</v>
      </c>
      <c r="B115" s="1" t="s">
        <v>2955</v>
      </c>
      <c r="C115" s="1" t="s">
        <v>4300</v>
      </c>
      <c r="D115" s="4" t="s">
        <v>2911</v>
      </c>
      <c r="E115" s="12">
        <f t="shared" si="3"/>
        <v>2.7777777777777778E-4</v>
      </c>
      <c r="F115" s="12">
        <f>SI!E10/'Physical Definitions'!E5</f>
        <v>2.7777777777777778E-4</v>
      </c>
      <c r="G115" s="1" t="s">
        <v>1123</v>
      </c>
      <c r="H115" s="1" t="s">
        <v>42</v>
      </c>
    </row>
    <row r="116" spans="1:8" ht="28.8">
      <c r="A116" s="1" t="s">
        <v>5658</v>
      </c>
      <c r="B116" s="1" t="s">
        <v>2363</v>
      </c>
      <c r="C116" s="1" t="s">
        <v>4300</v>
      </c>
      <c r="D116" s="4" t="s">
        <v>2911</v>
      </c>
      <c r="E116" s="12">
        <f t="shared" si="3"/>
        <v>1.6666666666666666E-2</v>
      </c>
      <c r="F116" s="12">
        <f>SI!E10/'Physical Definitions'!E4</f>
        <v>1.6666666666666666E-2</v>
      </c>
      <c r="G116" s="1" t="s">
        <v>1123</v>
      </c>
      <c r="H116" s="1" t="s">
        <v>42</v>
      </c>
    </row>
    <row r="117" spans="1:8" ht="28.8">
      <c r="A117" s="1" t="s">
        <v>5659</v>
      </c>
      <c r="B117" s="1" t="s">
        <v>6256</v>
      </c>
      <c r="C117" s="1" t="s">
        <v>4300</v>
      </c>
      <c r="D117" s="4" t="s">
        <v>2911</v>
      </c>
      <c r="E117" s="12">
        <f t="shared" si="3"/>
        <v>1</v>
      </c>
      <c r="F117" s="12">
        <f>SI!E10/SI!E4</f>
        <v>1</v>
      </c>
      <c r="G117" s="1" t="s">
        <v>1123</v>
      </c>
      <c r="H117" s="1" t="s">
        <v>42</v>
      </c>
    </row>
    <row r="118" spans="1:8" ht="41.7" customHeight="1">
      <c r="A118" s="1" t="s">
        <v>606</v>
      </c>
      <c r="B118" s="1" t="s">
        <v>26</v>
      </c>
      <c r="C118" s="1" t="s">
        <v>4300</v>
      </c>
      <c r="D118" s="4" t="s">
        <v>2911</v>
      </c>
      <c r="E118" s="12">
        <f t="shared" si="3"/>
        <v>1</v>
      </c>
      <c r="F118" s="12">
        <f>SI!E10/SI!E4</f>
        <v>1</v>
      </c>
      <c r="G118" s="1" t="s">
        <v>1123</v>
      </c>
      <c r="H118" s="1" t="s">
        <v>982</v>
      </c>
    </row>
    <row r="119" spans="1:8" ht="28.8">
      <c r="A119" s="1" t="s">
        <v>5666</v>
      </c>
      <c r="B119" s="1" t="s">
        <v>3962</v>
      </c>
      <c r="C119" s="1" t="s">
        <v>4300</v>
      </c>
      <c r="D119" s="8" t="s">
        <v>2899</v>
      </c>
      <c r="E119" s="12">
        <f>F119</f>
        <v>1.9923849908611068E-7</v>
      </c>
      <c r="F119" s="12">
        <f>2*PI()*SI!E10/('Physical Definitions'!E7*SI!E4)</f>
        <v>1.9923849908611068E-7</v>
      </c>
      <c r="G119" s="1" t="s">
        <v>1123</v>
      </c>
      <c r="H119" s="1" t="s">
        <v>1148</v>
      </c>
    </row>
    <row r="120" spans="1:8" ht="28.8">
      <c r="A120" s="1" t="s">
        <v>5667</v>
      </c>
      <c r="B120" s="1" t="s">
        <v>3955</v>
      </c>
      <c r="C120" s="1" t="s">
        <v>4300</v>
      </c>
      <c r="D120" s="8" t="s">
        <v>2899</v>
      </c>
      <c r="E120" s="12">
        <f>F120</f>
        <v>2.4240684055476799E-6</v>
      </c>
      <c r="F120" s="12">
        <f>2*PI()*SI!E10/(30*'Physical Definitions'!E6*SI!E4)</f>
        <v>2.4240684055476799E-6</v>
      </c>
      <c r="G120" s="1" t="s">
        <v>1123</v>
      </c>
      <c r="H120" s="1" t="s">
        <v>1148</v>
      </c>
    </row>
    <row r="121" spans="1:8" ht="28.8">
      <c r="A121" s="1" t="s">
        <v>5668</v>
      </c>
      <c r="B121" s="1" t="s">
        <v>5669</v>
      </c>
      <c r="C121" s="1" t="s">
        <v>4300</v>
      </c>
      <c r="D121" s="8" t="s">
        <v>2899</v>
      </c>
      <c r="E121" s="12">
        <f t="shared" si="3"/>
        <v>7.2722052166430395E-5</v>
      </c>
      <c r="F121" s="12">
        <f>2*PI()*SI!E10/('Physical Definitions'!E6*SI!E4)</f>
        <v>7.2722052166430395E-5</v>
      </c>
      <c r="G121" s="1" t="s">
        <v>1123</v>
      </c>
      <c r="H121" s="1" t="s">
        <v>1148</v>
      </c>
    </row>
    <row r="122" spans="1:8" ht="28.8">
      <c r="A122" s="1" t="s">
        <v>5670</v>
      </c>
      <c r="B122" s="1" t="s">
        <v>3953</v>
      </c>
      <c r="C122" s="1" t="s">
        <v>4300</v>
      </c>
      <c r="D122" s="8" t="s">
        <v>2899</v>
      </c>
      <c r="E122" s="12">
        <f>F122</f>
        <v>1.7453292519943296E-3</v>
      </c>
      <c r="F122" s="12">
        <f>2*PI()*SI!E10/('Physical Definitions'!E5*SI!E4)</f>
        <v>1.7453292519943296E-3</v>
      </c>
      <c r="G122" s="1" t="s">
        <v>1123</v>
      </c>
      <c r="H122" s="1" t="s">
        <v>1148</v>
      </c>
    </row>
    <row r="123" spans="1:8" ht="28.8">
      <c r="A123" s="1" t="s">
        <v>5671</v>
      </c>
      <c r="B123" s="1" t="s">
        <v>2378</v>
      </c>
      <c r="C123" s="1" t="s">
        <v>4300</v>
      </c>
      <c r="D123" s="8" t="s">
        <v>2899</v>
      </c>
      <c r="E123" s="12">
        <f t="shared" si="3"/>
        <v>0.10471975511965977</v>
      </c>
      <c r="F123" s="12">
        <f>2*PI()*SI!E10/('Physical Definitions'!E4*SI!E4)</f>
        <v>0.10471975511965977</v>
      </c>
      <c r="G123" s="1" t="s">
        <v>1123</v>
      </c>
      <c r="H123" s="1" t="s">
        <v>1148</v>
      </c>
    </row>
    <row r="124" spans="1:8" ht="28.8">
      <c r="A124" s="1" t="s">
        <v>5672</v>
      </c>
      <c r="B124" s="1" t="s">
        <v>6257</v>
      </c>
      <c r="C124" s="1" t="s">
        <v>4300</v>
      </c>
      <c r="D124" s="8" t="s">
        <v>2899</v>
      </c>
      <c r="E124" s="12">
        <f t="shared" si="3"/>
        <v>6.2831853071795862</v>
      </c>
      <c r="F124" s="12">
        <f>2*PI()*SI!E10/SI!E4</f>
        <v>6.2831853071795862</v>
      </c>
      <c r="G124" s="1" t="s">
        <v>1123</v>
      </c>
      <c r="H124" s="1" t="s">
        <v>1148</v>
      </c>
    </row>
    <row r="125" spans="1:8" ht="28.8">
      <c r="A125" s="1" t="s">
        <v>5673</v>
      </c>
      <c r="B125" s="1" t="s">
        <v>6258</v>
      </c>
      <c r="C125" s="1" t="s">
        <v>4300</v>
      </c>
      <c r="D125" s="8" t="s">
        <v>2899</v>
      </c>
      <c r="E125" s="12">
        <f t="shared" ref="E125:E130" si="4">F125</f>
        <v>6.2831853071795862</v>
      </c>
      <c r="F125" s="12">
        <f>2*PI()*SI!E10/SI!E4</f>
        <v>6.2831853071795862</v>
      </c>
      <c r="G125" s="1" t="s">
        <v>1123</v>
      </c>
      <c r="H125" s="1" t="s">
        <v>1148</v>
      </c>
    </row>
    <row r="126" spans="1:8" ht="28.8">
      <c r="A126" s="1" t="s">
        <v>5674</v>
      </c>
      <c r="B126" s="1" t="s">
        <v>3951</v>
      </c>
      <c r="C126" s="1" t="s">
        <v>4300</v>
      </c>
      <c r="D126" s="8" t="s">
        <v>2899</v>
      </c>
      <c r="E126" s="12">
        <f t="shared" si="4"/>
        <v>0.10471975511965977</v>
      </c>
      <c r="F126" s="12">
        <f>2*PI()*SI!E10/('Physical Definitions'!E4*SI!E4)</f>
        <v>0.10471975511965977</v>
      </c>
      <c r="G126" s="1" t="s">
        <v>1123</v>
      </c>
      <c r="H126" s="1" t="s">
        <v>1148</v>
      </c>
    </row>
    <row r="127" spans="1:8" ht="28.8">
      <c r="A127" s="1" t="s">
        <v>5675</v>
      </c>
      <c r="B127" s="1" t="s">
        <v>3956</v>
      </c>
      <c r="C127" s="1" t="s">
        <v>4300</v>
      </c>
      <c r="D127" s="8" t="s">
        <v>2899</v>
      </c>
      <c r="E127" s="12">
        <f t="shared" si="4"/>
        <v>1.7453292519943296E-3</v>
      </c>
      <c r="F127" s="12">
        <f>2*PI()*SI!E10/('Physical Definitions'!E5*SI!E4)</f>
        <v>1.7453292519943296E-3</v>
      </c>
      <c r="G127" s="1" t="s">
        <v>1123</v>
      </c>
      <c r="H127" s="1" t="s">
        <v>1148</v>
      </c>
    </row>
    <row r="128" spans="1:8" ht="28.8">
      <c r="A128" s="1" t="s">
        <v>5676</v>
      </c>
      <c r="B128" s="1" t="s">
        <v>5677</v>
      </c>
      <c r="C128" s="1" t="s">
        <v>4300</v>
      </c>
      <c r="D128" s="8" t="s">
        <v>2899</v>
      </c>
      <c r="E128" s="12">
        <f t="shared" si="4"/>
        <v>7.2722052166430395E-5</v>
      </c>
      <c r="F128" s="12">
        <f>2*PI()*SI!E10/('Physical Definitions'!E6*SI!E4)</f>
        <v>7.2722052166430395E-5</v>
      </c>
      <c r="G128" s="1" t="s">
        <v>1123</v>
      </c>
      <c r="H128" s="1" t="s">
        <v>1148</v>
      </c>
    </row>
    <row r="129" spans="1:8" ht="28.8">
      <c r="A129" s="1" t="s">
        <v>5678</v>
      </c>
      <c r="B129" s="1" t="s">
        <v>3957</v>
      </c>
      <c r="C129" s="1" t="s">
        <v>4300</v>
      </c>
      <c r="D129" s="8" t="s">
        <v>2899</v>
      </c>
      <c r="E129" s="12">
        <f t="shared" si="4"/>
        <v>2.4240684055476799E-6</v>
      </c>
      <c r="F129" s="12">
        <f>2*PI()*SI!E10/(30*'Physical Definitions'!E6*SI!E4)</f>
        <v>2.4240684055476799E-6</v>
      </c>
      <c r="G129" s="1" t="s">
        <v>1123</v>
      </c>
      <c r="H129" s="1" t="s">
        <v>1148</v>
      </c>
    </row>
    <row r="130" spans="1:8" ht="28.8">
      <c r="A130" s="1" t="s">
        <v>5679</v>
      </c>
      <c r="B130" s="1" t="s">
        <v>3961</v>
      </c>
      <c r="C130" s="1" t="s">
        <v>4300</v>
      </c>
      <c r="D130" s="8" t="s">
        <v>2899</v>
      </c>
      <c r="E130" s="12">
        <f t="shared" si="4"/>
        <v>1.9923849908611068E-7</v>
      </c>
      <c r="F130" s="12">
        <f>2*PI()*SI!E10/('Physical Definitions'!E7*SI!E4)</f>
        <v>1.9923849908611068E-7</v>
      </c>
      <c r="G130" s="1" t="s">
        <v>1123</v>
      </c>
      <c r="H130" s="1" t="s">
        <v>1148</v>
      </c>
    </row>
    <row r="131" spans="1:8" ht="28.8">
      <c r="A131" s="1" t="s">
        <v>5680</v>
      </c>
      <c r="B131" s="1" t="s">
        <v>6259</v>
      </c>
      <c r="C131" s="1" t="s">
        <v>4300</v>
      </c>
      <c r="D131" s="8" t="s">
        <v>2899</v>
      </c>
      <c r="E131" s="12">
        <f t="shared" ref="E131:E136" si="5">F131</f>
        <v>1.5707963267948967E-2</v>
      </c>
      <c r="F131" s="26">
        <f>PI()*SI!E10/(200*SI!E4)</f>
        <v>1.5707963267948967E-2</v>
      </c>
      <c r="G131" s="1" t="s">
        <v>1123</v>
      </c>
      <c r="H131" s="1" t="s">
        <v>58</v>
      </c>
    </row>
    <row r="132" spans="1:8" ht="28.8">
      <c r="A132" s="1" t="s">
        <v>5681</v>
      </c>
      <c r="B132" s="1" t="s">
        <v>3952</v>
      </c>
      <c r="C132" s="1" t="s">
        <v>4300</v>
      </c>
      <c r="D132" s="8" t="s">
        <v>2899</v>
      </c>
      <c r="E132" s="12">
        <f t="shared" si="5"/>
        <v>2.6179938779914941E-4</v>
      </c>
      <c r="F132" s="26">
        <f>PI()*SI!E10/(200*SI!E4*'Physical Definitions'!E4)</f>
        <v>2.6179938779914941E-4</v>
      </c>
      <c r="G132" s="1" t="s">
        <v>1123</v>
      </c>
      <c r="H132" s="1" t="s">
        <v>58</v>
      </c>
    </row>
    <row r="133" spans="1:8" ht="28.8">
      <c r="A133" s="1" t="s">
        <v>5682</v>
      </c>
      <c r="B133" s="1" t="s">
        <v>3958</v>
      </c>
      <c r="C133" s="1" t="s">
        <v>4300</v>
      </c>
      <c r="D133" s="8" t="s">
        <v>2899</v>
      </c>
      <c r="E133" s="12">
        <f t="shared" si="5"/>
        <v>4.3633231299858241E-6</v>
      </c>
      <c r="F133" s="26">
        <f>PI()*SI!E10/(200*SI!E4*'Physical Definitions'!E5)</f>
        <v>4.3633231299858241E-6</v>
      </c>
      <c r="G133" s="1" t="s">
        <v>1123</v>
      </c>
      <c r="H133" s="1" t="s">
        <v>58</v>
      </c>
    </row>
    <row r="134" spans="1:8" ht="28.8">
      <c r="A134" s="1" t="s">
        <v>5683</v>
      </c>
      <c r="B134" s="1" t="s">
        <v>5684</v>
      </c>
      <c r="C134" s="1" t="s">
        <v>4300</v>
      </c>
      <c r="D134" s="8" t="s">
        <v>2899</v>
      </c>
      <c r="E134" s="12">
        <f t="shared" si="5"/>
        <v>1.8180513041607598E-7</v>
      </c>
      <c r="F134" s="26">
        <f>PI()*SI!E10/(200*SI!E4*'Physical Definitions'!E6)</f>
        <v>1.8180513041607598E-7</v>
      </c>
      <c r="G134" s="1" t="s">
        <v>1123</v>
      </c>
      <c r="H134" s="1" t="s">
        <v>58</v>
      </c>
    </row>
    <row r="135" spans="1:8" ht="28.8">
      <c r="A135" s="1" t="s">
        <v>5685</v>
      </c>
      <c r="B135" s="1" t="s">
        <v>3959</v>
      </c>
      <c r="C135" s="1" t="s">
        <v>4300</v>
      </c>
      <c r="D135" s="8" t="s">
        <v>2899</v>
      </c>
      <c r="E135" s="12">
        <f t="shared" si="5"/>
        <v>6.0601710138691993E-9</v>
      </c>
      <c r="F135" s="26">
        <f>PI()*SI!E10/(200*30*SI!E4*'Physical Definitions'!E6)</f>
        <v>6.0601710138691993E-9</v>
      </c>
      <c r="G135" s="1" t="s">
        <v>1123</v>
      </c>
      <c r="H135" s="1" t="s">
        <v>58</v>
      </c>
    </row>
    <row r="136" spans="1:8" ht="28.8">
      <c r="A136" s="1" t="s">
        <v>5686</v>
      </c>
      <c r="B136" s="1" t="s">
        <v>3960</v>
      </c>
      <c r="C136" s="1" t="s">
        <v>4300</v>
      </c>
      <c r="D136" s="8" t="s">
        <v>2899</v>
      </c>
      <c r="E136" s="12">
        <f t="shared" si="5"/>
        <v>4.980962477152767E-10</v>
      </c>
      <c r="F136" s="26">
        <f>PI()*SI!E10/(200*SI!E4*'Physical Definitions'!E7)</f>
        <v>4.980962477152767E-10</v>
      </c>
      <c r="G136" s="1" t="s">
        <v>1123</v>
      </c>
      <c r="H136" s="1" t="s">
        <v>58</v>
      </c>
    </row>
    <row r="137" spans="1:8">
      <c r="A137" s="48"/>
      <c r="B137" s="48"/>
      <c r="C137" s="48"/>
      <c r="D137" s="48"/>
      <c r="E137" s="48"/>
      <c r="F137" s="48"/>
      <c r="G137" s="48"/>
      <c r="H137" s="48"/>
    </row>
    <row r="138" spans="1:8" ht="16.5">
      <c r="A138" s="1" t="s">
        <v>5687</v>
      </c>
      <c r="B138" s="1" t="s">
        <v>6260</v>
      </c>
      <c r="C138" s="1" t="s">
        <v>4301</v>
      </c>
      <c r="D138" s="8" t="s">
        <v>2921</v>
      </c>
      <c r="E138" s="12">
        <f>F138</f>
        <v>1</v>
      </c>
      <c r="F138" s="12">
        <f>SI!E10/POWER(SI!E4,2)</f>
        <v>1</v>
      </c>
      <c r="G138" s="1" t="s">
        <v>1141</v>
      </c>
      <c r="H138" s="1" t="s">
        <v>42</v>
      </c>
    </row>
    <row r="139" spans="1:8" ht="16.5">
      <c r="A139" s="1" t="s">
        <v>5688</v>
      </c>
      <c r="B139" s="1" t="s">
        <v>6261</v>
      </c>
      <c r="C139" s="1" t="s">
        <v>4301</v>
      </c>
      <c r="D139" s="8" t="s">
        <v>2921</v>
      </c>
      <c r="E139" s="12">
        <f>PI()*F139/180</f>
        <v>1.7453292519943295E-2</v>
      </c>
      <c r="F139" s="12">
        <f>SI!E10/POWER(SI!E4,2)</f>
        <v>1</v>
      </c>
      <c r="G139" s="1" t="s">
        <v>1141</v>
      </c>
      <c r="H139" s="1" t="s">
        <v>982</v>
      </c>
    </row>
    <row r="140" spans="1:8">
      <c r="A140" s="48"/>
      <c r="B140" s="48"/>
      <c r="C140" s="48"/>
      <c r="D140" s="48"/>
      <c r="E140" s="48"/>
      <c r="F140" s="48"/>
      <c r="G140" s="48"/>
      <c r="H140" s="48"/>
    </row>
  </sheetData>
  <sortState xmlns:xlrd2="http://schemas.microsoft.com/office/spreadsheetml/2017/richdata2" ref="A2:L52">
    <sortCondition ref="A3:A52"/>
  </sortState>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D6EC6-D412-4923-A001-284DEDA82D69}">
  <sheetPr codeName="Sheet13"/>
  <dimension ref="A1:H19"/>
  <sheetViews>
    <sheetView topLeftCell="A7" workbookViewId="0">
      <selection activeCell="N12" sqref="N12"/>
    </sheetView>
  </sheetViews>
  <sheetFormatPr defaultRowHeight="14.4"/>
  <cols>
    <col min="1" max="1" width="9" bestFit="1" customWidth="1"/>
    <col min="2" max="2" width="16.89453125" bestFit="1" customWidth="1"/>
    <col min="3" max="3" width="22.68359375" bestFit="1" customWidth="1"/>
    <col min="4" max="4" width="18.89453125" customWidth="1"/>
    <col min="5" max="6" width="21.20703125" bestFit="1" customWidth="1"/>
    <col min="7" max="7" width="15.05078125" customWidth="1"/>
    <col min="8" max="8" width="9" bestFit="1" customWidth="1"/>
  </cols>
  <sheetData>
    <row r="1" spans="1:8" ht="28.8">
      <c r="A1" s="2" t="s">
        <v>11</v>
      </c>
      <c r="B1" s="2" t="s">
        <v>1</v>
      </c>
      <c r="C1" s="2" t="s">
        <v>2</v>
      </c>
      <c r="D1" s="2" t="s">
        <v>3</v>
      </c>
      <c r="E1" s="2" t="s">
        <v>4</v>
      </c>
      <c r="F1" s="128" t="s">
        <v>937</v>
      </c>
      <c r="G1" s="2" t="s">
        <v>0</v>
      </c>
      <c r="H1" s="2" t="s">
        <v>5</v>
      </c>
    </row>
    <row r="2" spans="1:8" ht="28.8">
      <c r="A2" s="1" t="s">
        <v>96</v>
      </c>
      <c r="B2" s="1" t="s">
        <v>80</v>
      </c>
      <c r="C2" s="1" t="s">
        <v>4303</v>
      </c>
      <c r="D2" s="1" t="s">
        <v>694</v>
      </c>
      <c r="E2" s="12">
        <f>0.125*F2</f>
        <v>0.125</v>
      </c>
      <c r="F2" s="12">
        <f>SI!E14</f>
        <v>1</v>
      </c>
      <c r="G2" s="1" t="s">
        <v>694</v>
      </c>
      <c r="H2" s="1" t="s">
        <v>562</v>
      </c>
    </row>
    <row r="3" spans="1:8" ht="28.8">
      <c r="A3" s="1" t="s">
        <v>694</v>
      </c>
      <c r="B3" s="1" t="s">
        <v>1327</v>
      </c>
      <c r="C3" s="1" t="s">
        <v>4303</v>
      </c>
      <c r="D3" s="1" t="s">
        <v>694</v>
      </c>
      <c r="E3" s="12">
        <f>F3</f>
        <v>1</v>
      </c>
      <c r="F3" s="12">
        <f>SI!E14</f>
        <v>1</v>
      </c>
      <c r="G3" s="1" t="s">
        <v>694</v>
      </c>
      <c r="H3" s="1" t="s">
        <v>562</v>
      </c>
    </row>
    <row r="4" spans="1:8" ht="32.4" customHeight="1">
      <c r="A4" s="1" t="s">
        <v>500</v>
      </c>
      <c r="B4" s="1" t="s">
        <v>132</v>
      </c>
      <c r="C4" s="1" t="s">
        <v>4303</v>
      </c>
      <c r="D4" s="1" t="s">
        <v>694</v>
      </c>
      <c r="E4" s="12">
        <f>F4</f>
        <v>1</v>
      </c>
      <c r="F4" s="12">
        <f>SI!E14</f>
        <v>1</v>
      </c>
      <c r="G4" s="1" t="s">
        <v>694</v>
      </c>
      <c r="H4" s="1" t="s">
        <v>562</v>
      </c>
    </row>
    <row r="5" spans="1:8" ht="28.8">
      <c r="A5" s="1" t="s">
        <v>693</v>
      </c>
      <c r="B5" s="1" t="s">
        <v>565</v>
      </c>
      <c r="C5" s="1" t="s">
        <v>4303</v>
      </c>
      <c r="D5" s="1" t="s">
        <v>694</v>
      </c>
      <c r="E5" s="12">
        <f>0.5*F5</f>
        <v>0.5</v>
      </c>
      <c r="F5" s="12">
        <f>SI!E14</f>
        <v>1</v>
      </c>
      <c r="G5" s="1" t="s">
        <v>694</v>
      </c>
      <c r="H5" s="1" t="s">
        <v>562</v>
      </c>
    </row>
    <row r="6" spans="1:8" ht="28.8">
      <c r="A6" s="1" t="s">
        <v>2147</v>
      </c>
      <c r="B6" s="1" t="s">
        <v>4117</v>
      </c>
      <c r="C6" s="1" t="s">
        <v>4303</v>
      </c>
      <c r="D6" s="1" t="s">
        <v>694</v>
      </c>
      <c r="E6" s="12">
        <f>0.5*F6</f>
        <v>0.5</v>
      </c>
      <c r="F6" s="12">
        <f>SI!E14</f>
        <v>1</v>
      </c>
      <c r="G6" s="1" t="s">
        <v>694</v>
      </c>
      <c r="H6" s="1" t="s">
        <v>562</v>
      </c>
    </row>
    <row r="7" spans="1:8" ht="28.8">
      <c r="A7" s="1" t="s">
        <v>352</v>
      </c>
      <c r="B7" s="1" t="s">
        <v>354</v>
      </c>
      <c r="C7" s="1" t="s">
        <v>4303</v>
      </c>
      <c r="D7" s="1" t="s">
        <v>694</v>
      </c>
      <c r="E7" s="12">
        <f>4*F7</f>
        <v>4</v>
      </c>
      <c r="F7" s="12">
        <f>SI!E14</f>
        <v>1</v>
      </c>
      <c r="G7" s="1" t="s">
        <v>694</v>
      </c>
      <c r="H7" s="1" t="s">
        <v>562</v>
      </c>
    </row>
    <row r="8" spans="1:8" ht="28.8">
      <c r="A8" s="1" t="s">
        <v>586</v>
      </c>
      <c r="B8" s="1" t="s">
        <v>587</v>
      </c>
      <c r="C8" s="1" t="s">
        <v>4303</v>
      </c>
      <c r="D8" s="1" t="s">
        <v>694</v>
      </c>
      <c r="E8" s="12">
        <f>2*F8</f>
        <v>2</v>
      </c>
      <c r="F8" s="12">
        <f>SI!E14</f>
        <v>1</v>
      </c>
      <c r="G8" s="1" t="s">
        <v>694</v>
      </c>
      <c r="H8" s="1" t="s">
        <v>562</v>
      </c>
    </row>
    <row r="9" spans="1:8" ht="28.8">
      <c r="A9" s="1" t="s">
        <v>620</v>
      </c>
      <c r="B9" s="1" t="s">
        <v>4116</v>
      </c>
      <c r="C9" s="1" t="s">
        <v>4303</v>
      </c>
      <c r="D9" s="1" t="s">
        <v>694</v>
      </c>
      <c r="E9" s="12">
        <f>4*F9</f>
        <v>4</v>
      </c>
      <c r="F9" s="12">
        <f>SI!E14</f>
        <v>1</v>
      </c>
      <c r="G9" s="1" t="s">
        <v>694</v>
      </c>
      <c r="H9" s="1" t="s">
        <v>562</v>
      </c>
    </row>
    <row r="10" spans="1:8" ht="28.8">
      <c r="A10" s="1" t="s">
        <v>4118</v>
      </c>
      <c r="B10" s="1" t="s">
        <v>4121</v>
      </c>
      <c r="C10" s="1" t="s">
        <v>4303</v>
      </c>
      <c r="D10" s="1" t="s">
        <v>694</v>
      </c>
      <c r="E10" s="12">
        <f>1024*F10</f>
        <v>1024</v>
      </c>
      <c r="F10" s="12">
        <f>SI!E14</f>
        <v>1</v>
      </c>
      <c r="G10" s="1" t="s">
        <v>694</v>
      </c>
      <c r="H10" s="1" t="s">
        <v>562</v>
      </c>
    </row>
    <row r="11" spans="1:8" ht="28.8">
      <c r="A11" s="1" t="s">
        <v>4119</v>
      </c>
      <c r="B11" s="1" t="s">
        <v>4120</v>
      </c>
      <c r="C11" s="1" t="s">
        <v>4303</v>
      </c>
      <c r="D11" s="1" t="s">
        <v>694</v>
      </c>
      <c r="E11" s="12">
        <f>POWER(1024,2)*F11</f>
        <v>1048576</v>
      </c>
      <c r="F11" s="12">
        <f>SI!E14</f>
        <v>1</v>
      </c>
      <c r="G11" s="1" t="s">
        <v>694</v>
      </c>
      <c r="H11" s="1" t="s">
        <v>562</v>
      </c>
    </row>
    <row r="12" spans="1:8" ht="28.8">
      <c r="A12" s="1" t="s">
        <v>4122</v>
      </c>
      <c r="B12" s="1" t="s">
        <v>4123</v>
      </c>
      <c r="C12" s="1" t="s">
        <v>4303</v>
      </c>
      <c r="D12" s="1" t="s">
        <v>694</v>
      </c>
      <c r="E12" s="12">
        <f>POWER(1024,3)*F12</f>
        <v>1073741824</v>
      </c>
      <c r="F12" s="12">
        <f>SI!E14</f>
        <v>1</v>
      </c>
      <c r="G12" s="1" t="s">
        <v>694</v>
      </c>
      <c r="H12" s="1" t="s">
        <v>562</v>
      </c>
    </row>
    <row r="13" spans="1:8" ht="28.8">
      <c r="A13" s="1" t="s">
        <v>4124</v>
      </c>
      <c r="B13" s="1" t="s">
        <v>4125</v>
      </c>
      <c r="C13" s="1" t="s">
        <v>4303</v>
      </c>
      <c r="D13" s="1" t="s">
        <v>694</v>
      </c>
      <c r="E13" s="12">
        <f>POWER(1024,4)*F13</f>
        <v>1099511627776</v>
      </c>
      <c r="F13" s="12">
        <f>SI!E14</f>
        <v>1</v>
      </c>
      <c r="G13" s="1" t="s">
        <v>694</v>
      </c>
      <c r="H13" s="1" t="s">
        <v>562</v>
      </c>
    </row>
    <row r="14" spans="1:8" ht="28.8">
      <c r="A14" s="1" t="s">
        <v>4126</v>
      </c>
      <c r="B14" s="1" t="s">
        <v>4127</v>
      </c>
      <c r="C14" s="1" t="s">
        <v>4303</v>
      </c>
      <c r="D14" s="1" t="s">
        <v>694</v>
      </c>
      <c r="E14" s="12">
        <f>POWER(1024,5)*F14</f>
        <v>1125899906842624</v>
      </c>
      <c r="F14" s="12">
        <f>SI!E14</f>
        <v>1</v>
      </c>
      <c r="G14" s="1" t="s">
        <v>694</v>
      </c>
      <c r="H14" s="1" t="s">
        <v>562</v>
      </c>
    </row>
    <row r="15" spans="1:8">
      <c r="A15" s="248"/>
      <c r="B15" s="248"/>
      <c r="C15" s="248"/>
      <c r="D15" s="248"/>
      <c r="E15" s="250"/>
      <c r="F15" s="250"/>
      <c r="G15" s="248"/>
      <c r="H15" s="248"/>
    </row>
    <row r="16" spans="1:8">
      <c r="A16" s="1" t="s">
        <v>333</v>
      </c>
      <c r="B16" s="1" t="s">
        <v>26</v>
      </c>
      <c r="C16" s="1" t="s">
        <v>4304</v>
      </c>
      <c r="D16" s="1" t="s">
        <v>333</v>
      </c>
      <c r="E16" s="12">
        <f>F16</f>
        <v>1</v>
      </c>
      <c r="F16" s="12">
        <f>SI!E15</f>
        <v>1</v>
      </c>
      <c r="G16" s="1" t="s">
        <v>333</v>
      </c>
      <c r="H16" s="1" t="s">
        <v>562</v>
      </c>
    </row>
    <row r="17" spans="1:8">
      <c r="A17" s="248"/>
      <c r="B17" s="248"/>
      <c r="C17" s="248"/>
      <c r="D17" s="248"/>
      <c r="E17" s="250"/>
      <c r="F17" s="250"/>
      <c r="G17" s="248"/>
      <c r="H17" s="248"/>
    </row>
    <row r="18" spans="1:8" ht="28.8">
      <c r="A18" s="1" t="s">
        <v>617</v>
      </c>
      <c r="B18" s="1" t="s">
        <v>26</v>
      </c>
      <c r="C18" s="1" t="s">
        <v>4305</v>
      </c>
      <c r="D18" s="1" t="s">
        <v>617</v>
      </c>
      <c r="E18" s="12">
        <f>F18</f>
        <v>1</v>
      </c>
      <c r="F18" s="12">
        <f>SI!E16</f>
        <v>1</v>
      </c>
      <c r="G18" s="1" t="s">
        <v>617</v>
      </c>
      <c r="H18" s="1" t="s">
        <v>562</v>
      </c>
    </row>
    <row r="19" spans="1:8">
      <c r="A19" s="248"/>
      <c r="B19" s="248"/>
      <c r="C19" s="248"/>
      <c r="D19" s="248"/>
      <c r="E19" s="250"/>
      <c r="F19" s="250"/>
      <c r="G19" s="248"/>
      <c r="H19" s="24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665BA-4638-4298-BEB8-6FB137F58D47}">
  <sheetPr codeName="Sheet14"/>
  <dimension ref="A1:H42"/>
  <sheetViews>
    <sheetView workbookViewId="0">
      <selection activeCell="G6" sqref="G6"/>
    </sheetView>
  </sheetViews>
  <sheetFormatPr defaultRowHeight="14.4"/>
  <cols>
    <col min="1" max="1" width="19.3671875" customWidth="1"/>
    <col min="2" max="2" width="14.62890625" customWidth="1"/>
    <col min="3" max="3" width="21.62890625" customWidth="1"/>
    <col min="4" max="4" width="24.5234375" customWidth="1"/>
    <col min="5" max="5" width="23.20703125" customWidth="1"/>
    <col min="6" max="6" width="21.3671875" customWidth="1"/>
    <col min="7" max="7" width="23.20703125" customWidth="1"/>
    <col min="8" max="8" width="17.5234375" customWidth="1"/>
  </cols>
  <sheetData>
    <row r="1" spans="1:8">
      <c r="A1" s="2" t="s">
        <v>11</v>
      </c>
      <c r="B1" s="2" t="s">
        <v>1</v>
      </c>
      <c r="C1" s="2" t="s">
        <v>2</v>
      </c>
      <c r="D1" s="2" t="s">
        <v>3</v>
      </c>
      <c r="E1" s="2" t="s">
        <v>4</v>
      </c>
      <c r="F1" s="128" t="s">
        <v>937</v>
      </c>
      <c r="G1" s="2" t="s">
        <v>0</v>
      </c>
      <c r="H1" s="2" t="s">
        <v>5</v>
      </c>
    </row>
    <row r="2" spans="1:8" ht="28.8">
      <c r="A2" s="1" t="s">
        <v>5908</v>
      </c>
      <c r="B2" s="1" t="s">
        <v>26</v>
      </c>
      <c r="C2" s="1" t="s">
        <v>4267</v>
      </c>
      <c r="D2" s="4" t="s">
        <v>2870</v>
      </c>
      <c r="E2" s="12">
        <f>13*F2</f>
        <v>13</v>
      </c>
      <c r="F2" s="12">
        <f>SI!E13</f>
        <v>1</v>
      </c>
      <c r="G2" s="4" t="s">
        <v>2870</v>
      </c>
      <c r="H2" s="1" t="s">
        <v>1148</v>
      </c>
    </row>
    <row r="3" spans="1:8" ht="28.8">
      <c r="A3" s="15" t="s">
        <v>1250</v>
      </c>
      <c r="B3" s="1" t="s">
        <v>459</v>
      </c>
      <c r="C3" s="1" t="s">
        <v>4268</v>
      </c>
      <c r="D3" s="4" t="s">
        <v>2870</v>
      </c>
      <c r="E3" s="12">
        <f>10*F3</f>
        <v>4800</v>
      </c>
      <c r="F3" s="12">
        <f>'Physical Definitions'!E12*SI!E13</f>
        <v>480</v>
      </c>
      <c r="G3" s="4" t="s">
        <v>2870</v>
      </c>
      <c r="H3" s="1" t="s">
        <v>1148</v>
      </c>
    </row>
    <row r="4" spans="1:8" ht="28.8">
      <c r="A4" s="18" t="s">
        <v>1250</v>
      </c>
      <c r="B4" s="1" t="s">
        <v>459</v>
      </c>
      <c r="C4" s="1" t="s">
        <v>4268</v>
      </c>
      <c r="D4" s="4" t="s">
        <v>2870</v>
      </c>
      <c r="E4" s="12">
        <f>10*F4</f>
        <v>5000</v>
      </c>
      <c r="F4" s="12">
        <f>'Physical Definitions'!E11*SI!E13</f>
        <v>500</v>
      </c>
      <c r="G4" s="4" t="s">
        <v>2870</v>
      </c>
      <c r="H4" s="1" t="s">
        <v>58</v>
      </c>
    </row>
    <row r="5" spans="1:8" ht="43.2">
      <c r="A5" s="1" t="s">
        <v>1312</v>
      </c>
      <c r="B5" s="1" t="s">
        <v>26</v>
      </c>
      <c r="C5" s="1" t="s">
        <v>4269</v>
      </c>
      <c r="D5" s="4" t="s">
        <v>2870</v>
      </c>
      <c r="E5" s="12">
        <f>2*F5</f>
        <v>2</v>
      </c>
      <c r="F5" s="12">
        <f>SI!E13</f>
        <v>1</v>
      </c>
      <c r="G5" s="4" t="s">
        <v>2870</v>
      </c>
      <c r="H5" s="1" t="s">
        <v>46</v>
      </c>
    </row>
    <row r="6" spans="1:8" ht="28.8">
      <c r="A6" s="1" t="s">
        <v>1320</v>
      </c>
      <c r="B6" s="1" t="s">
        <v>485</v>
      </c>
      <c r="C6" s="1" t="s">
        <v>4270</v>
      </c>
      <c r="D6" s="4" t="s">
        <v>2870</v>
      </c>
      <c r="E6" s="12">
        <f>2*F6</f>
        <v>1000</v>
      </c>
      <c r="F6" s="12">
        <f>'Physical Definitions'!E11*SI!E13</f>
        <v>500</v>
      </c>
      <c r="G6" s="4" t="s">
        <v>2870</v>
      </c>
      <c r="H6" s="1" t="s">
        <v>1148</v>
      </c>
    </row>
    <row r="7" spans="1:8" ht="28.8">
      <c r="A7" s="1" t="s">
        <v>5909</v>
      </c>
      <c r="B7" s="1" t="s">
        <v>5910</v>
      </c>
      <c r="C7" s="1" t="s">
        <v>4270</v>
      </c>
      <c r="D7" s="4" t="s">
        <v>2870</v>
      </c>
      <c r="E7" s="12">
        <f>2*F7</f>
        <v>960</v>
      </c>
      <c r="F7" s="12">
        <f>'Physical Definitions'!E12*SI!E13</f>
        <v>480</v>
      </c>
      <c r="G7" s="4" t="s">
        <v>2870</v>
      </c>
      <c r="H7" s="1" t="s">
        <v>1148</v>
      </c>
    </row>
    <row r="8" spans="1:8" ht="43.2">
      <c r="A8" s="1" t="s">
        <v>162</v>
      </c>
      <c r="B8" s="1" t="s">
        <v>26</v>
      </c>
      <c r="C8" s="1" t="s">
        <v>4269</v>
      </c>
      <c r="D8" s="4" t="s">
        <v>2870</v>
      </c>
      <c r="E8" s="12">
        <f>10*F8</f>
        <v>10</v>
      </c>
      <c r="F8" s="12">
        <f>SI!E13</f>
        <v>1</v>
      </c>
      <c r="G8" s="4" t="s">
        <v>2870</v>
      </c>
      <c r="H8" s="1" t="s">
        <v>1148</v>
      </c>
    </row>
    <row r="9" spans="1:8" ht="43.2">
      <c r="A9" s="1" t="s">
        <v>1524</v>
      </c>
      <c r="B9" s="1" t="s">
        <v>26</v>
      </c>
      <c r="C9" s="1" t="s">
        <v>4271</v>
      </c>
      <c r="D9" s="4" t="s">
        <v>2870</v>
      </c>
      <c r="E9" s="12">
        <f>10*F9</f>
        <v>10</v>
      </c>
      <c r="F9" s="12">
        <f>SI!E13</f>
        <v>1</v>
      </c>
      <c r="G9" s="4" t="s">
        <v>2870</v>
      </c>
      <c r="H9" s="1" t="s">
        <v>46</v>
      </c>
    </row>
    <row r="10" spans="1:8" ht="43.2">
      <c r="A10" s="1" t="s">
        <v>513</v>
      </c>
      <c r="B10" s="1" t="s">
        <v>514</v>
      </c>
      <c r="C10" s="1" t="s">
        <v>4269</v>
      </c>
      <c r="D10" s="4" t="s">
        <v>2870</v>
      </c>
      <c r="E10" s="12">
        <f>F10</f>
        <v>12</v>
      </c>
      <c r="F10" s="12">
        <f>'Physical Definitions'!E20*SI!E13</f>
        <v>12</v>
      </c>
      <c r="G10" s="1" t="s">
        <v>2870</v>
      </c>
      <c r="H10" s="1" t="s">
        <v>1148</v>
      </c>
    </row>
    <row r="11" spans="1:8" ht="43.2">
      <c r="A11" s="1" t="s">
        <v>1627</v>
      </c>
      <c r="B11" s="1" t="s">
        <v>26</v>
      </c>
      <c r="C11" s="1" t="s">
        <v>4269</v>
      </c>
      <c r="D11" s="1" t="s">
        <v>2870</v>
      </c>
      <c r="E11" s="12">
        <f>2*F11</f>
        <v>40</v>
      </c>
      <c r="F11" s="12">
        <f>20*SI!E13</f>
        <v>20</v>
      </c>
      <c r="G11" s="1" t="s">
        <v>2870</v>
      </c>
      <c r="H11" s="1" t="s">
        <v>46</v>
      </c>
    </row>
    <row r="12" spans="1:8" ht="43.2">
      <c r="A12" s="1" t="s">
        <v>5911</v>
      </c>
      <c r="B12" s="1" t="s">
        <v>26</v>
      </c>
      <c r="C12" s="1" t="s">
        <v>4269</v>
      </c>
      <c r="D12" s="4" t="s">
        <v>2870</v>
      </c>
      <c r="E12" s="12">
        <f>144*F12</f>
        <v>1728</v>
      </c>
      <c r="F12" s="12">
        <f>'Physical Definitions'!E20*SI!E13</f>
        <v>12</v>
      </c>
      <c r="G12" s="1" t="s">
        <v>2870</v>
      </c>
      <c r="H12" s="1" t="s">
        <v>1148</v>
      </c>
    </row>
    <row r="13" spans="1:8" ht="43.2">
      <c r="A13" s="1" t="s">
        <v>5912</v>
      </c>
      <c r="B13" s="1" t="s">
        <v>26</v>
      </c>
      <c r="C13" s="1" t="s">
        <v>4269</v>
      </c>
      <c r="D13" s="4" t="s">
        <v>2870</v>
      </c>
      <c r="E13" s="12">
        <f>10*F13</f>
        <v>120</v>
      </c>
      <c r="F13" s="12">
        <f>'Physical Definitions'!E20*SI!E13</f>
        <v>12</v>
      </c>
      <c r="G13" s="1" t="s">
        <v>2870</v>
      </c>
      <c r="H13" s="1" t="s">
        <v>1148</v>
      </c>
    </row>
    <row r="14" spans="1:8" ht="28.8">
      <c r="A14" s="1" t="s">
        <v>535</v>
      </c>
      <c r="B14" s="1" t="s">
        <v>26</v>
      </c>
      <c r="C14" s="1" t="s">
        <v>4272</v>
      </c>
      <c r="D14" s="4" t="s">
        <v>2870</v>
      </c>
      <c r="E14" s="12">
        <f>12*F14</f>
        <v>144</v>
      </c>
      <c r="F14" s="12">
        <f>'Physical Definitions'!E20*SI!E13</f>
        <v>12</v>
      </c>
      <c r="G14" s="1" t="s">
        <v>2870</v>
      </c>
      <c r="H14" s="1" t="s">
        <v>46</v>
      </c>
    </row>
    <row r="15" spans="1:8" ht="28.8">
      <c r="A15" s="1" t="s">
        <v>5913</v>
      </c>
      <c r="B15" s="1" t="s">
        <v>1725</v>
      </c>
      <c r="C15" s="1" t="s">
        <v>4272</v>
      </c>
      <c r="D15" s="4" t="s">
        <v>2870</v>
      </c>
      <c r="E15" s="12">
        <f>3*F15</f>
        <v>3</v>
      </c>
      <c r="F15" s="12">
        <f>SI!E13</f>
        <v>1</v>
      </c>
      <c r="G15" s="1" t="s">
        <v>2870</v>
      </c>
      <c r="H15" s="1" t="s">
        <v>1148</v>
      </c>
    </row>
    <row r="16" spans="1:8" ht="28.8">
      <c r="A16" s="1" t="s">
        <v>1727</v>
      </c>
      <c r="B16" s="1" t="s">
        <v>26</v>
      </c>
      <c r="C16" s="1" t="s">
        <v>4272</v>
      </c>
      <c r="D16" s="4" t="s">
        <v>2870</v>
      </c>
      <c r="E16" s="12">
        <f>100*F16</f>
        <v>100</v>
      </c>
      <c r="F16" s="12">
        <f>SI!E13</f>
        <v>1</v>
      </c>
      <c r="G16" s="4" t="s">
        <v>2870</v>
      </c>
      <c r="H16" s="1" t="s">
        <v>40</v>
      </c>
    </row>
    <row r="17" spans="1:8" ht="28.8">
      <c r="A17" s="1" t="s">
        <v>537</v>
      </c>
      <c r="B17" s="1" t="s">
        <v>26</v>
      </c>
      <c r="C17" s="1" t="s">
        <v>4272</v>
      </c>
      <c r="D17" s="1" t="s">
        <v>2870</v>
      </c>
      <c r="E17" s="12">
        <f>10000000*F17</f>
        <v>10000000</v>
      </c>
      <c r="F17" s="12">
        <f>SI!E13</f>
        <v>1</v>
      </c>
      <c r="G17" s="1" t="s">
        <v>2870</v>
      </c>
      <c r="H17" s="1" t="s">
        <v>538</v>
      </c>
    </row>
    <row r="18" spans="1:8" ht="28.8">
      <c r="A18" s="1" t="s">
        <v>1729</v>
      </c>
      <c r="B18" s="1" t="s">
        <v>26</v>
      </c>
      <c r="C18" s="1" t="s">
        <v>4272</v>
      </c>
      <c r="D18" s="1" t="s">
        <v>2870</v>
      </c>
      <c r="E18" s="12">
        <f>100*F18</f>
        <v>100</v>
      </c>
      <c r="F18" s="12">
        <f>SI!E13</f>
        <v>1</v>
      </c>
      <c r="G18" s="1" t="s">
        <v>2870</v>
      </c>
      <c r="H18" s="1" t="s">
        <v>373</v>
      </c>
    </row>
    <row r="19" spans="1:8" ht="28.8">
      <c r="A19" s="1" t="s">
        <v>988</v>
      </c>
      <c r="B19" s="1" t="s">
        <v>26</v>
      </c>
      <c r="C19" s="1" t="s">
        <v>4272</v>
      </c>
      <c r="D19" s="4" t="s">
        <v>2870</v>
      </c>
      <c r="E19" s="12">
        <f>100*F19</f>
        <v>100</v>
      </c>
      <c r="F19" s="12">
        <f>SI!E13</f>
        <v>1</v>
      </c>
      <c r="G19" s="1" t="s">
        <v>2870</v>
      </c>
      <c r="H19" s="1" t="s">
        <v>1148</v>
      </c>
    </row>
    <row r="20" spans="1:8" ht="28.8">
      <c r="A20" s="1" t="s">
        <v>1924</v>
      </c>
      <c r="B20" s="1" t="s">
        <v>26</v>
      </c>
      <c r="C20" s="1" t="s">
        <v>4272</v>
      </c>
      <c r="D20" s="4" t="s">
        <v>2870</v>
      </c>
      <c r="E20" s="12">
        <f>100000*F20</f>
        <v>100000</v>
      </c>
      <c r="F20" s="12">
        <f>SI!E13</f>
        <v>1</v>
      </c>
      <c r="G20" s="4" t="s">
        <v>2870</v>
      </c>
      <c r="H20" s="1" t="s">
        <v>41</v>
      </c>
    </row>
    <row r="21" spans="1:8">
      <c r="A21" s="1" t="s">
        <v>1932</v>
      </c>
      <c r="B21" s="1" t="s">
        <v>26</v>
      </c>
      <c r="C21" s="1" t="s">
        <v>4273</v>
      </c>
      <c r="D21" s="1" t="s">
        <v>2870</v>
      </c>
      <c r="E21" s="12">
        <f>13200*F21</f>
        <v>13200</v>
      </c>
      <c r="F21" s="12">
        <f>SI!E13</f>
        <v>1</v>
      </c>
      <c r="G21" s="1" t="s">
        <v>2870</v>
      </c>
      <c r="H21" s="1" t="s">
        <v>46</v>
      </c>
    </row>
    <row r="22" spans="1:8">
      <c r="A22" s="1" t="s">
        <v>5914</v>
      </c>
      <c r="B22" s="1" t="s">
        <v>26</v>
      </c>
      <c r="C22" s="1" t="s">
        <v>4273</v>
      </c>
      <c r="D22" s="1" t="s">
        <v>2870</v>
      </c>
      <c r="E22" s="12">
        <f>132*F22</f>
        <v>132</v>
      </c>
      <c r="F22" s="12">
        <f>SI!E13</f>
        <v>1</v>
      </c>
      <c r="G22" s="1" t="s">
        <v>2870</v>
      </c>
      <c r="H22" s="1" t="s">
        <v>46</v>
      </c>
    </row>
    <row r="23" spans="1:8" ht="43.2">
      <c r="A23" s="1" t="s">
        <v>554</v>
      </c>
      <c r="B23" s="1"/>
      <c r="C23" s="1" t="s">
        <v>4269</v>
      </c>
      <c r="D23" s="1" t="s">
        <v>2870</v>
      </c>
      <c r="E23" s="12">
        <f>1000000000*F23</f>
        <v>1000000000</v>
      </c>
      <c r="F23" s="12">
        <f>SI!E13</f>
        <v>1</v>
      </c>
      <c r="G23" s="1" t="s">
        <v>2870</v>
      </c>
      <c r="H23" s="1" t="s">
        <v>65</v>
      </c>
    </row>
    <row r="24" spans="1:8" ht="43.2">
      <c r="A24" s="1" t="s">
        <v>2204</v>
      </c>
      <c r="B24" s="1" t="s">
        <v>26</v>
      </c>
      <c r="C24" s="1" t="s">
        <v>4269</v>
      </c>
      <c r="D24" s="1" t="s">
        <v>2870</v>
      </c>
      <c r="E24" s="12">
        <f>2*F24</f>
        <v>2</v>
      </c>
      <c r="F24" s="12">
        <f>SI!E13</f>
        <v>1</v>
      </c>
      <c r="G24" s="1" t="s">
        <v>2870</v>
      </c>
      <c r="H24" s="1" t="s">
        <v>46</v>
      </c>
    </row>
    <row r="25" spans="1:8" ht="28.8">
      <c r="A25" s="1" t="s">
        <v>5915</v>
      </c>
      <c r="B25" s="1" t="s">
        <v>26</v>
      </c>
      <c r="C25" s="1" t="s">
        <v>4274</v>
      </c>
      <c r="D25" s="1" t="s">
        <v>2870</v>
      </c>
      <c r="E25" s="12">
        <f>F25</f>
        <v>512</v>
      </c>
      <c r="F25" s="12">
        <f>'Physical Definitions'!E30*SI!E13</f>
        <v>512</v>
      </c>
      <c r="G25" s="1" t="s">
        <v>2870</v>
      </c>
      <c r="H25" s="1" t="s">
        <v>46</v>
      </c>
    </row>
    <row r="26" spans="1:8" ht="43.2">
      <c r="A26" s="1" t="s">
        <v>577</v>
      </c>
      <c r="B26" s="1" t="s">
        <v>319</v>
      </c>
      <c r="C26" s="1" t="s">
        <v>4269</v>
      </c>
      <c r="D26" s="1" t="s">
        <v>2870</v>
      </c>
      <c r="E26" s="12">
        <f>F26</f>
        <v>1</v>
      </c>
      <c r="F26" s="12">
        <f>SI!E13</f>
        <v>1</v>
      </c>
      <c r="G26" s="1" t="s">
        <v>2870</v>
      </c>
      <c r="H26" s="1" t="s">
        <v>46</v>
      </c>
    </row>
    <row r="27" spans="1:8" ht="43.2">
      <c r="A27" s="1" t="s">
        <v>990</v>
      </c>
      <c r="B27" s="1" t="s">
        <v>26</v>
      </c>
      <c r="C27" s="1" t="s">
        <v>4269</v>
      </c>
      <c r="D27" s="1" t="s">
        <v>2870</v>
      </c>
      <c r="E27" s="12">
        <f>1*F27</f>
        <v>1</v>
      </c>
      <c r="F27" s="12">
        <f>SI!E13</f>
        <v>1</v>
      </c>
      <c r="G27" s="1" t="s">
        <v>2870</v>
      </c>
      <c r="H27" s="1" t="s">
        <v>46</v>
      </c>
    </row>
    <row r="28" spans="1:8" ht="28.8">
      <c r="A28" s="1" t="s">
        <v>5916</v>
      </c>
      <c r="B28" s="1" t="s">
        <v>26</v>
      </c>
      <c r="C28" s="1" t="s">
        <v>4270</v>
      </c>
      <c r="D28" s="1" t="s">
        <v>2870</v>
      </c>
      <c r="E28" s="12">
        <f>F28/20</f>
        <v>25</v>
      </c>
      <c r="F28" s="12">
        <f>'Physical Definitions'!E11*SI!E13</f>
        <v>500</v>
      </c>
      <c r="G28" s="1" t="s">
        <v>2870</v>
      </c>
      <c r="H28" s="1" t="s">
        <v>47</v>
      </c>
    </row>
    <row r="29" spans="1:8" ht="28.8">
      <c r="A29" s="1" t="s">
        <v>5917</v>
      </c>
      <c r="B29" s="1" t="s">
        <v>26</v>
      </c>
      <c r="C29" s="1" t="s">
        <v>4270</v>
      </c>
      <c r="D29" s="1" t="s">
        <v>2870</v>
      </c>
      <c r="E29" s="12">
        <f>F29/20</f>
        <v>24</v>
      </c>
      <c r="F29" s="12">
        <f>'Physical Definitions'!E12*SI!E13</f>
        <v>480</v>
      </c>
      <c r="G29" s="1" t="s">
        <v>2870</v>
      </c>
      <c r="H29" s="1" t="s">
        <v>47</v>
      </c>
    </row>
    <row r="30" spans="1:8" ht="28.8">
      <c r="A30" s="1" t="s">
        <v>359</v>
      </c>
      <c r="B30" s="1" t="s">
        <v>26</v>
      </c>
      <c r="C30" s="1" t="s">
        <v>4274</v>
      </c>
      <c r="D30" s="1" t="s">
        <v>2870</v>
      </c>
      <c r="E30" s="12">
        <f>F30</f>
        <v>500</v>
      </c>
      <c r="F30" s="12">
        <f>'Physical Definitions'!E11*SI!E13</f>
        <v>500</v>
      </c>
      <c r="G30" s="1" t="s">
        <v>2870</v>
      </c>
      <c r="H30" s="1" t="s">
        <v>58</v>
      </c>
    </row>
    <row r="31" spans="1:8" ht="28.8">
      <c r="A31" s="1" t="s">
        <v>5918</v>
      </c>
      <c r="B31" s="1" t="s">
        <v>26</v>
      </c>
      <c r="C31" s="1" t="s">
        <v>4270</v>
      </c>
      <c r="D31" s="1" t="s">
        <v>2870</v>
      </c>
      <c r="E31" s="12">
        <f>F31</f>
        <v>480</v>
      </c>
      <c r="F31" s="12">
        <f>'Physical Definitions'!E12*SI!E13</f>
        <v>480</v>
      </c>
      <c r="G31" s="1" t="s">
        <v>2870</v>
      </c>
      <c r="H31" s="1" t="s">
        <v>1148</v>
      </c>
    </row>
    <row r="32" spans="1:8" ht="28.8">
      <c r="A32" s="1" t="s">
        <v>2451</v>
      </c>
      <c r="B32" s="1" t="s">
        <v>26</v>
      </c>
      <c r="C32" s="1" t="s">
        <v>4272</v>
      </c>
      <c r="D32" s="1" t="s">
        <v>2870</v>
      </c>
      <c r="E32" s="12">
        <f>20*F32</f>
        <v>20</v>
      </c>
      <c r="F32" s="12">
        <f>SI!E13</f>
        <v>1</v>
      </c>
      <c r="G32" s="1" t="s">
        <v>2870</v>
      </c>
      <c r="H32" s="1" t="s">
        <v>46</v>
      </c>
    </row>
    <row r="33" spans="1:8" ht="28.8">
      <c r="A33" s="1" t="s">
        <v>2506</v>
      </c>
      <c r="B33" s="1" t="s">
        <v>26</v>
      </c>
      <c r="C33" s="1" t="s">
        <v>4275</v>
      </c>
      <c r="D33" s="1" t="s">
        <v>2870</v>
      </c>
      <c r="E33" s="12">
        <f>5*F33</f>
        <v>60</v>
      </c>
      <c r="F33" s="12">
        <f>'Physical Definitions'!E20*SI!E13</f>
        <v>12</v>
      </c>
      <c r="G33" s="1" t="s">
        <v>2870</v>
      </c>
      <c r="H33" s="1" t="s">
        <v>46</v>
      </c>
    </row>
    <row r="34" spans="1:8" ht="28.8">
      <c r="A34" s="1" t="s">
        <v>2505</v>
      </c>
      <c r="B34" s="1" t="s">
        <v>26</v>
      </c>
      <c r="C34" s="1" t="s">
        <v>4275</v>
      </c>
      <c r="D34" s="1" t="s">
        <v>2870</v>
      </c>
      <c r="E34" s="12">
        <f>5*F34</f>
        <v>60</v>
      </c>
      <c r="F34" s="12">
        <f>'Physical Definitions'!E20*SI!E13</f>
        <v>12</v>
      </c>
      <c r="G34" s="1" t="s">
        <v>2870</v>
      </c>
      <c r="H34" s="1" t="s">
        <v>46</v>
      </c>
    </row>
    <row r="35" spans="1:8">
      <c r="A35" s="1" t="s">
        <v>5919</v>
      </c>
      <c r="B35" s="1" t="s">
        <v>26</v>
      </c>
      <c r="C35" s="1" t="s">
        <v>4273</v>
      </c>
      <c r="D35" s="1" t="s">
        <v>2870</v>
      </c>
      <c r="E35" s="12">
        <f>1320*F35</f>
        <v>1320</v>
      </c>
      <c r="F35" s="12">
        <f>SI!E13</f>
        <v>1</v>
      </c>
      <c r="G35" s="4" t="s">
        <v>2870</v>
      </c>
      <c r="H35" s="1" t="s">
        <v>46</v>
      </c>
    </row>
    <row r="36" spans="1:8" ht="43.2">
      <c r="A36" s="1" t="s">
        <v>2651</v>
      </c>
      <c r="B36" s="1" t="s">
        <v>26</v>
      </c>
      <c r="C36" s="1" t="s">
        <v>4269</v>
      </c>
      <c r="D36" s="1" t="s">
        <v>2870</v>
      </c>
      <c r="E36" s="12">
        <f>1000*F36</f>
        <v>1000</v>
      </c>
      <c r="F36" s="12">
        <f>SI!E13</f>
        <v>1</v>
      </c>
      <c r="G36" s="1" t="s">
        <v>2870</v>
      </c>
      <c r="H36" s="1" t="s">
        <v>1148</v>
      </c>
    </row>
    <row r="37" spans="1:8" ht="43.2">
      <c r="A37" s="1" t="s">
        <v>611</v>
      </c>
      <c r="B37" s="1" t="s">
        <v>26</v>
      </c>
      <c r="C37" s="1" t="s">
        <v>4269</v>
      </c>
      <c r="D37" s="1" t="s">
        <v>2870</v>
      </c>
      <c r="E37" s="12">
        <f>40*F37</f>
        <v>40</v>
      </c>
      <c r="F37" s="12">
        <f>SI!E13</f>
        <v>1</v>
      </c>
      <c r="G37" s="1" t="s">
        <v>2870</v>
      </c>
      <c r="H37" s="1" t="s">
        <v>1148</v>
      </c>
    </row>
    <row r="38" spans="1:8" ht="43.2">
      <c r="A38" s="1" t="s">
        <v>2660</v>
      </c>
      <c r="B38" s="1" t="s">
        <v>26</v>
      </c>
      <c r="C38" s="1" t="s">
        <v>4269</v>
      </c>
      <c r="D38" s="1" t="s">
        <v>2870</v>
      </c>
      <c r="E38" s="12">
        <f>40*F38</f>
        <v>40</v>
      </c>
      <c r="F38" s="12">
        <f>SI!E13</f>
        <v>1</v>
      </c>
      <c r="G38" s="1" t="s">
        <v>2870</v>
      </c>
      <c r="H38" s="1" t="s">
        <v>46</v>
      </c>
    </row>
    <row r="39" spans="1:8" ht="43.2">
      <c r="A39" s="1" t="s">
        <v>989</v>
      </c>
      <c r="B39" s="1" t="s">
        <v>26</v>
      </c>
      <c r="C39" s="1" t="s">
        <v>4269</v>
      </c>
      <c r="D39" s="1" t="s">
        <v>2870</v>
      </c>
      <c r="E39" s="12">
        <f>1*F39</f>
        <v>1</v>
      </c>
      <c r="F39" s="12">
        <f>SI!E13</f>
        <v>1</v>
      </c>
      <c r="G39" s="1" t="s">
        <v>2870</v>
      </c>
      <c r="H39" s="1" t="s">
        <v>46</v>
      </c>
    </row>
    <row r="40" spans="1:8">
      <c r="A40" s="1" t="s">
        <v>2787</v>
      </c>
      <c r="B40" s="1" t="s">
        <v>26</v>
      </c>
      <c r="C40" s="1" t="s">
        <v>4273</v>
      </c>
      <c r="D40" s="1" t="s">
        <v>2870</v>
      </c>
      <c r="E40" s="12">
        <f>4*F40</f>
        <v>4</v>
      </c>
      <c r="F40" s="12">
        <f>SI!E13</f>
        <v>1</v>
      </c>
      <c r="G40" s="1" t="s">
        <v>2870</v>
      </c>
      <c r="H40" s="1" t="s">
        <v>46</v>
      </c>
    </row>
    <row r="41" spans="1:8" ht="43.2">
      <c r="A41" s="1" t="s">
        <v>621</v>
      </c>
      <c r="B41" s="1" t="s">
        <v>26</v>
      </c>
      <c r="C41" s="1" t="s">
        <v>4276</v>
      </c>
      <c r="D41" s="1" t="s">
        <v>2870</v>
      </c>
      <c r="E41" s="12">
        <f>2*F41</f>
        <v>2</v>
      </c>
      <c r="F41" s="12">
        <f>SI!E13</f>
        <v>1</v>
      </c>
      <c r="G41" s="1" t="s">
        <v>2870</v>
      </c>
      <c r="H41" s="1" t="s">
        <v>46</v>
      </c>
    </row>
    <row r="42" spans="1:8">
      <c r="A42" s="248"/>
      <c r="B42" s="248"/>
      <c r="C42" s="248"/>
      <c r="D42" s="248"/>
      <c r="E42" s="250"/>
      <c r="F42" s="250"/>
      <c r="G42" s="248"/>
      <c r="H42" s="248"/>
    </row>
  </sheetData>
  <sortState xmlns:xlrd2="http://schemas.microsoft.com/office/spreadsheetml/2017/richdata2" ref="A3:H41">
    <sortCondition ref="A2:A4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A529A-F757-4ED1-A34B-E62D4D0DDB38}">
  <sheetPr codeName="Sheet19"/>
  <dimension ref="A1:H81"/>
  <sheetViews>
    <sheetView topLeftCell="A46" workbookViewId="0">
      <selection activeCell="K54" sqref="K54"/>
    </sheetView>
  </sheetViews>
  <sheetFormatPr defaultRowHeight="14.4"/>
  <cols>
    <col min="1" max="1" width="30.578125" customWidth="1"/>
    <col min="2" max="2" width="12.15625" customWidth="1"/>
    <col min="3" max="3" width="25.83984375" customWidth="1"/>
    <col min="4" max="4" width="13.05078125" customWidth="1"/>
    <col min="5" max="5" width="23.89453125" customWidth="1"/>
    <col min="6" max="6" width="23.1015625" customWidth="1"/>
  </cols>
  <sheetData>
    <row r="1" spans="1:8">
      <c r="A1" s="2" t="s">
        <v>11</v>
      </c>
      <c r="B1" s="2" t="s">
        <v>1</v>
      </c>
      <c r="C1" s="2" t="s">
        <v>2</v>
      </c>
      <c r="D1" s="2" t="s">
        <v>3</v>
      </c>
      <c r="E1" s="2" t="s">
        <v>4</v>
      </c>
      <c r="F1" s="128" t="s">
        <v>937</v>
      </c>
      <c r="G1" s="2" t="s">
        <v>0</v>
      </c>
      <c r="H1" s="2" t="s">
        <v>5</v>
      </c>
    </row>
    <row r="2" spans="1:8">
      <c r="A2" s="1" t="s">
        <v>180</v>
      </c>
      <c r="B2" s="1" t="s">
        <v>26</v>
      </c>
      <c r="C2" s="1" t="s">
        <v>4296</v>
      </c>
      <c r="D2" s="1" t="s">
        <v>2884</v>
      </c>
      <c r="E2" s="12">
        <f>F2</f>
        <v>9.9999999999999995E-8</v>
      </c>
      <c r="F2" s="12">
        <f>'Physical Definitions'!E26*SI!E2/(10000*SI!E3)</f>
        <v>9.9999999999999995E-8</v>
      </c>
      <c r="G2" s="1" t="s">
        <v>1075</v>
      </c>
      <c r="H2" s="1" t="s">
        <v>214</v>
      </c>
    </row>
    <row r="3" spans="1:8">
      <c r="A3" s="1" t="s">
        <v>176</v>
      </c>
      <c r="B3" s="1" t="s">
        <v>1653</v>
      </c>
      <c r="C3" s="1" t="s">
        <v>4296</v>
      </c>
      <c r="D3" s="1" t="s">
        <v>2884</v>
      </c>
      <c r="E3" s="12">
        <f>F3</f>
        <v>1.1111111111111111E-7</v>
      </c>
      <c r="F3" s="12">
        <f>'Physical Definitions'!E26*SI!E2/(9000*SI!E3)</f>
        <v>1.1111111111111111E-7</v>
      </c>
      <c r="G3" s="1" t="s">
        <v>1075</v>
      </c>
      <c r="H3" s="1" t="s">
        <v>65</v>
      </c>
    </row>
    <row r="4" spans="1:8">
      <c r="A4" s="1" t="s">
        <v>5689</v>
      </c>
      <c r="B4" s="1" t="s">
        <v>4183</v>
      </c>
      <c r="C4" s="1" t="s">
        <v>4296</v>
      </c>
      <c r="D4" s="1" t="s">
        <v>2884</v>
      </c>
      <c r="E4" s="12">
        <f>F4</f>
        <v>17.857967322834646</v>
      </c>
      <c r="F4" s="12">
        <f>(12*Systems!L6/Systems!D6)*SI!E2/SI!E3</f>
        <v>17.857967322834646</v>
      </c>
      <c r="G4" s="1" t="s">
        <v>1075</v>
      </c>
      <c r="H4" s="1" t="s">
        <v>1148</v>
      </c>
    </row>
    <row r="5" spans="1:8">
      <c r="A5" s="1" t="s">
        <v>5690</v>
      </c>
      <c r="B5" s="1" t="s">
        <v>3039</v>
      </c>
      <c r="C5" s="1" t="s">
        <v>4296</v>
      </c>
      <c r="D5" s="1" t="s">
        <v>2884</v>
      </c>
      <c r="E5" s="12">
        <f>F5</f>
        <v>1.4881639435695537</v>
      </c>
      <c r="F5" s="12">
        <f>(Systems!L6/Systems!D6)*SI!E2/SI!E3</f>
        <v>1.4881639435695537</v>
      </c>
      <c r="G5" s="1" t="s">
        <v>1075</v>
      </c>
      <c r="H5" s="1" t="s">
        <v>1148</v>
      </c>
    </row>
    <row r="6" spans="1:8">
      <c r="A6" s="1" t="s">
        <v>5691</v>
      </c>
      <c r="B6" s="1" t="s">
        <v>3041</v>
      </c>
      <c r="C6" s="1" t="s">
        <v>4296</v>
      </c>
      <c r="D6" s="1" t="s">
        <v>2884</v>
      </c>
      <c r="E6" s="12">
        <f>(Systems!L6/(3*Systems!D6))*F6</f>
        <v>0.49605464785651793</v>
      </c>
      <c r="F6" s="12">
        <f>SI!E2/SI!E3</f>
        <v>1</v>
      </c>
      <c r="G6" s="1" t="s">
        <v>1075</v>
      </c>
      <c r="H6" s="1" t="s">
        <v>1148</v>
      </c>
    </row>
    <row r="7" spans="1:8">
      <c r="A7" s="1" t="s">
        <v>5692</v>
      </c>
      <c r="B7" s="1" t="s">
        <v>1075</v>
      </c>
      <c r="C7" s="1" t="s">
        <v>4296</v>
      </c>
      <c r="D7" s="1" t="s">
        <v>2884</v>
      </c>
      <c r="E7" s="12">
        <f>F7</f>
        <v>1</v>
      </c>
      <c r="F7" s="12">
        <f>SI!E2/SI!E3</f>
        <v>1</v>
      </c>
      <c r="G7" s="1" t="s">
        <v>1075</v>
      </c>
      <c r="H7" s="1" t="s">
        <v>42</v>
      </c>
    </row>
    <row r="8" spans="1:8">
      <c r="A8" s="1" t="s">
        <v>5693</v>
      </c>
      <c r="B8" s="1" t="s">
        <v>3037</v>
      </c>
      <c r="C8" s="1" t="s">
        <v>4296</v>
      </c>
      <c r="D8" s="1" t="s">
        <v>2884</v>
      </c>
      <c r="E8" s="12">
        <f>100*F8</f>
        <v>100</v>
      </c>
      <c r="F8" s="12">
        <f>SI!E2/SI!E3</f>
        <v>1</v>
      </c>
      <c r="G8" s="1" t="s">
        <v>1075</v>
      </c>
      <c r="H8" s="1" t="s">
        <v>42</v>
      </c>
    </row>
    <row r="9" spans="1:8">
      <c r="A9" s="1" t="s">
        <v>5694</v>
      </c>
      <c r="B9" s="1" t="s">
        <v>3038</v>
      </c>
      <c r="C9" s="1" t="s">
        <v>4296</v>
      </c>
      <c r="D9" s="1" t="s">
        <v>2884</v>
      </c>
      <c r="E9" s="12">
        <f>10*F9</f>
        <v>10</v>
      </c>
      <c r="F9" s="12">
        <f>SI!E2/SI!E3</f>
        <v>1</v>
      </c>
      <c r="G9" s="1" t="s">
        <v>1075</v>
      </c>
      <c r="H9" s="1" t="s">
        <v>42</v>
      </c>
    </row>
    <row r="10" spans="1:8">
      <c r="A10" s="1" t="s">
        <v>5695</v>
      </c>
      <c r="B10" s="1" t="s">
        <v>4186</v>
      </c>
      <c r="C10" s="1" t="s">
        <v>4296</v>
      </c>
      <c r="D10" s="1" t="s">
        <v>2884</v>
      </c>
      <c r="E10" s="12">
        <f>F10/1000</f>
        <v>1E-3</v>
      </c>
      <c r="F10" s="12">
        <f>SI!E2/SI!E3</f>
        <v>1</v>
      </c>
      <c r="G10" s="1" t="s">
        <v>1075</v>
      </c>
      <c r="H10" s="1" t="s">
        <v>982</v>
      </c>
    </row>
    <row r="11" spans="1:8">
      <c r="A11" s="1" t="s">
        <v>5696</v>
      </c>
      <c r="B11" s="1" t="s">
        <v>4188</v>
      </c>
      <c r="C11" s="1" t="s">
        <v>4296</v>
      </c>
      <c r="D11" s="1" t="s">
        <v>2884</v>
      </c>
      <c r="E11" s="12">
        <f>F11/(1000*10)</f>
        <v>1E-4</v>
      </c>
      <c r="F11" s="12">
        <f>SI!E2/SI!E3</f>
        <v>1</v>
      </c>
      <c r="G11" s="1" t="s">
        <v>1075</v>
      </c>
      <c r="H11" s="1" t="s">
        <v>982</v>
      </c>
    </row>
    <row r="12" spans="1:8">
      <c r="A12" s="1" t="s">
        <v>5697</v>
      </c>
      <c r="B12" s="1" t="s">
        <v>4187</v>
      </c>
      <c r="C12" s="1" t="s">
        <v>4296</v>
      </c>
      <c r="D12" s="1" t="s">
        <v>2884</v>
      </c>
      <c r="E12" s="12">
        <f>F12/(1000*100)</f>
        <v>1.0000000000000001E-5</v>
      </c>
      <c r="F12" s="12">
        <f>SI!E2/SI!E3</f>
        <v>1</v>
      </c>
      <c r="G12" s="1" t="s">
        <v>1075</v>
      </c>
      <c r="H12" s="1" t="s">
        <v>982</v>
      </c>
    </row>
    <row r="13" spans="1:8">
      <c r="A13" s="1" t="s">
        <v>5698</v>
      </c>
      <c r="B13" s="1" t="s">
        <v>4189</v>
      </c>
      <c r="C13" s="1" t="s">
        <v>4296</v>
      </c>
      <c r="D13" s="1" t="s">
        <v>2884</v>
      </c>
      <c r="E13" s="12">
        <f>F13/(1000*1000)</f>
        <v>9.9999999999999995E-7</v>
      </c>
      <c r="F13" s="12">
        <f>SI!E2/SI!E3</f>
        <v>1</v>
      </c>
      <c r="G13" s="1" t="s">
        <v>1075</v>
      </c>
      <c r="H13" s="1" t="s">
        <v>982</v>
      </c>
    </row>
    <row r="14" spans="1:8">
      <c r="A14" s="1" t="s">
        <v>7430</v>
      </c>
      <c r="B14" s="1" t="s">
        <v>26</v>
      </c>
      <c r="C14" s="1" t="s">
        <v>4296</v>
      </c>
      <c r="D14" s="1" t="s">
        <v>2884</v>
      </c>
      <c r="E14" s="12">
        <f>F14/1000</f>
        <v>1.937713468189523E-6</v>
      </c>
      <c r="F14" s="12">
        <f>Systems!L6*SI!E2/(256*3*Systems!D6*SI!E3)</f>
        <v>1.9377134681895232E-3</v>
      </c>
      <c r="G14" s="1" t="s">
        <v>1075</v>
      </c>
      <c r="H14" s="1" t="s">
        <v>46</v>
      </c>
    </row>
    <row r="15" spans="1:8">
      <c r="A15" s="1" t="s">
        <v>405</v>
      </c>
      <c r="B15" s="1" t="s">
        <v>26</v>
      </c>
      <c r="C15" s="1" t="s">
        <v>4296</v>
      </c>
      <c r="D15" s="1" t="s">
        <v>2884</v>
      </c>
      <c r="E15" s="12">
        <f>0.000001*F15</f>
        <v>9.9999999999999995E-7</v>
      </c>
      <c r="F15" s="12">
        <f>SI!E2/SI!E3</f>
        <v>1</v>
      </c>
      <c r="G15" s="1" t="s">
        <v>1075</v>
      </c>
      <c r="H15" s="1" t="s">
        <v>42</v>
      </c>
    </row>
    <row r="16" spans="1:8">
      <c r="A16" s="1" t="s">
        <v>340</v>
      </c>
      <c r="B16" s="1" t="s">
        <v>26</v>
      </c>
      <c r="C16" s="1" t="s">
        <v>4296</v>
      </c>
      <c r="D16" s="1" t="s">
        <v>2884</v>
      </c>
      <c r="E16" s="12">
        <f>0.000001*F16</f>
        <v>4.9605464785651794E-7</v>
      </c>
      <c r="F16" s="12">
        <f>Systems!L6*SI!E2/(3*Systems!D6*SI!E3)</f>
        <v>0.49605464785651793</v>
      </c>
      <c r="G16" s="1" t="s">
        <v>1075</v>
      </c>
      <c r="H16" s="1" t="s">
        <v>46</v>
      </c>
    </row>
    <row r="17" spans="1:8">
      <c r="A17" s="1" t="s">
        <v>5699</v>
      </c>
      <c r="B17" s="1" t="s">
        <v>26</v>
      </c>
      <c r="C17" s="1" t="s">
        <v>4296</v>
      </c>
      <c r="D17" s="1" t="s">
        <v>2884</v>
      </c>
      <c r="E17" s="12">
        <f>F17/1000</f>
        <v>1.937713468189523E-6</v>
      </c>
      <c r="F17" s="12">
        <f>Systems!L6*SI!E2/(256*3*Systems!D6*SI!E3)</f>
        <v>1.9377134681895232E-3</v>
      </c>
      <c r="G17" s="1" t="s">
        <v>1075</v>
      </c>
      <c r="H17" s="1" t="s">
        <v>46</v>
      </c>
    </row>
    <row r="18" spans="1:8">
      <c r="A18" s="1" t="s">
        <v>180</v>
      </c>
      <c r="B18" s="1" t="s">
        <v>26</v>
      </c>
      <c r="C18" s="1" t="s">
        <v>4296</v>
      </c>
      <c r="D18" s="1" t="s">
        <v>2884</v>
      </c>
      <c r="E18" s="12">
        <f>F18</f>
        <v>9.9999999999999995E-8</v>
      </c>
      <c r="F18" s="12">
        <f>'Physical Definitions'!E26*SI!E2/(10000*SI!E3)</f>
        <v>9.9999999999999995E-8</v>
      </c>
      <c r="G18" s="1" t="s">
        <v>1075</v>
      </c>
      <c r="H18" s="1" t="s">
        <v>47</v>
      </c>
    </row>
    <row r="19" spans="1:8">
      <c r="A19" s="1" t="s">
        <v>5700</v>
      </c>
      <c r="B19" s="1" t="s">
        <v>5701</v>
      </c>
      <c r="C19" s="1" t="s">
        <v>4296</v>
      </c>
      <c r="D19" s="1" t="s">
        <v>2884</v>
      </c>
      <c r="E19" s="12">
        <f>F19/7000</f>
        <v>7.086494969378828E-7</v>
      </c>
      <c r="F19" s="12">
        <f>Systems!L6*SI!E2/(300*Systems!D6*SI!E3)</f>
        <v>4.9605464785651794E-3</v>
      </c>
      <c r="G19" s="1" t="s">
        <v>1075</v>
      </c>
      <c r="H19" s="1" t="s">
        <v>1148</v>
      </c>
    </row>
    <row r="20" spans="1:8">
      <c r="A20" s="1" t="s">
        <v>5704</v>
      </c>
      <c r="B20" s="1" t="s">
        <v>5702</v>
      </c>
      <c r="C20" s="1" t="s">
        <v>4296</v>
      </c>
      <c r="D20" s="1" t="s">
        <v>2884</v>
      </c>
      <c r="E20" s="12">
        <f>F20/7000</f>
        <v>5.9054124744823566E-7</v>
      </c>
      <c r="F20" s="12">
        <f>Systems!L6*SI!E2/(360*Systems!D6*SI!E3)</f>
        <v>4.1337887321376493E-3</v>
      </c>
      <c r="G20" s="1" t="s">
        <v>1075</v>
      </c>
      <c r="H20" s="1" t="s">
        <v>1148</v>
      </c>
    </row>
    <row r="21" spans="1:8">
      <c r="A21" s="1" t="s">
        <v>5705</v>
      </c>
      <c r="B21" s="1" t="s">
        <v>5703</v>
      </c>
      <c r="C21" s="1" t="s">
        <v>4296</v>
      </c>
      <c r="D21" s="1" t="s">
        <v>2884</v>
      </c>
      <c r="E21" s="12">
        <f>2240*F21/(3000*Systems!D6)</f>
        <v>1.1111624111986003</v>
      </c>
      <c r="F21" s="12">
        <f>Systems!L6*SI!E2/SI!E3</f>
        <v>0.45359237000000002</v>
      </c>
      <c r="G21" s="1" t="s">
        <v>1075</v>
      </c>
      <c r="H21" s="1" t="s">
        <v>46</v>
      </c>
    </row>
    <row r="22" spans="1:8">
      <c r="A22" s="1" t="s">
        <v>5706</v>
      </c>
      <c r="B22" s="1" t="s">
        <v>3042</v>
      </c>
      <c r="C22" s="1" t="s">
        <v>4296</v>
      </c>
      <c r="D22" s="1" t="s">
        <v>2884</v>
      </c>
      <c r="E22" s="12">
        <f>2240*F21/(5280*Systems!D6)</f>
        <v>0.63134227909011376</v>
      </c>
      <c r="F22" s="12">
        <f>Systems!L6*SI!E2/SI!E3</f>
        <v>0.45359237000000002</v>
      </c>
      <c r="G22" s="1" t="s">
        <v>1075</v>
      </c>
      <c r="H22" s="1" t="s">
        <v>46</v>
      </c>
    </row>
    <row r="23" spans="1:8">
      <c r="A23" s="1" t="s">
        <v>5707</v>
      </c>
      <c r="B23" s="1" t="s">
        <v>4185</v>
      </c>
      <c r="C23" s="1" t="s">
        <v>4296</v>
      </c>
      <c r="D23" s="1" t="s">
        <v>2884</v>
      </c>
      <c r="E23" s="12">
        <f>2240*F22/(3*Systems!D6)</f>
        <v>1111.1624111986002</v>
      </c>
      <c r="F23" s="12">
        <f>Systems!L6*SI!E2/SI!E3</f>
        <v>0.45359237000000002</v>
      </c>
      <c r="G23" s="1" t="s">
        <v>1075</v>
      </c>
      <c r="H23" s="1" t="s">
        <v>46</v>
      </c>
    </row>
    <row r="24" spans="1:8">
      <c r="A24" s="1" t="s">
        <v>5708</v>
      </c>
      <c r="B24" s="1" t="s">
        <v>4190</v>
      </c>
      <c r="C24" s="1" t="s">
        <v>4296</v>
      </c>
      <c r="D24" s="1" t="s">
        <v>2884</v>
      </c>
      <c r="E24" s="12">
        <f>2240*F23/Systems!D6</f>
        <v>3333.4872335958007</v>
      </c>
      <c r="F24" s="12">
        <f>Systems!L6*SI!E2/SI!E3</f>
        <v>0.45359237000000002</v>
      </c>
      <c r="G24" s="1" t="s">
        <v>1075</v>
      </c>
      <c r="H24" s="1" t="s">
        <v>46</v>
      </c>
    </row>
    <row r="25" spans="1:8">
      <c r="A25" s="1" t="s">
        <v>5709</v>
      </c>
      <c r="B25" s="1" t="s">
        <v>3036</v>
      </c>
      <c r="C25" s="1" t="s">
        <v>4296</v>
      </c>
      <c r="D25" s="1" t="s">
        <v>2884</v>
      </c>
      <c r="E25" s="12">
        <f>1000*F25</f>
        <v>1000</v>
      </c>
      <c r="F25" s="12">
        <f>SI!E2/SI!E3</f>
        <v>1</v>
      </c>
      <c r="G25" s="1" t="s">
        <v>1075</v>
      </c>
      <c r="H25" s="1" t="s">
        <v>46</v>
      </c>
    </row>
    <row r="26" spans="1:8">
      <c r="A26" s="1" t="s">
        <v>5710</v>
      </c>
      <c r="B26" s="1" t="s">
        <v>3040</v>
      </c>
      <c r="C26" s="1" t="s">
        <v>4296</v>
      </c>
      <c r="D26" s="1" t="s">
        <v>2884</v>
      </c>
      <c r="E26" s="12">
        <f>F26</f>
        <v>1</v>
      </c>
      <c r="F26" s="12">
        <f>SI!E2/SI!E3</f>
        <v>1</v>
      </c>
      <c r="G26" s="1" t="s">
        <v>1075</v>
      </c>
      <c r="H26" s="1" t="s">
        <v>42</v>
      </c>
    </row>
    <row r="27" spans="1:8">
      <c r="A27" s="48"/>
      <c r="B27" s="48"/>
      <c r="C27" s="48"/>
      <c r="D27" s="48"/>
      <c r="E27" s="48"/>
      <c r="F27" s="48"/>
      <c r="G27" s="48"/>
      <c r="H27" s="48"/>
    </row>
    <row r="28" spans="1:8" ht="16.5">
      <c r="A28" s="1" t="s">
        <v>5711</v>
      </c>
      <c r="B28" s="1" t="s">
        <v>26</v>
      </c>
      <c r="C28" s="1" t="s">
        <v>4297</v>
      </c>
      <c r="D28" s="1" t="s">
        <v>2903</v>
      </c>
      <c r="E28" s="12">
        <f>F28/31360</f>
        <v>2.241931057522829E-2</v>
      </c>
      <c r="F28" s="12">
        <f>(Systems!L6/POWER(Systems!D6/12,2))*SI!E2/POWER(SI!E3,2)</f>
        <v>703.0695796391592</v>
      </c>
      <c r="G28" s="1" t="s">
        <v>1103</v>
      </c>
      <c r="H28" s="1" t="s">
        <v>1148</v>
      </c>
    </row>
    <row r="29" spans="1:8" ht="16.5">
      <c r="A29" s="1" t="s">
        <v>6890</v>
      </c>
      <c r="B29" s="1" t="s">
        <v>26</v>
      </c>
      <c r="C29" s="1" t="s">
        <v>4297</v>
      </c>
      <c r="D29" s="1" t="s">
        <v>2903</v>
      </c>
      <c r="E29" s="12">
        <f>F29/31360</f>
        <v>2.241931057522829E-2</v>
      </c>
      <c r="F29" s="12">
        <f>(Systems!L6/POWER(Systems!D6/12,2))*SI!E2/POWER(SI!E3,2)</f>
        <v>703.0695796391592</v>
      </c>
      <c r="G29" s="1" t="s">
        <v>1103</v>
      </c>
      <c r="H29" s="1" t="s">
        <v>1148</v>
      </c>
    </row>
    <row r="30" spans="1:8" ht="16.5">
      <c r="A30" s="264" t="s">
        <v>5712</v>
      </c>
      <c r="B30" t="s">
        <v>4191</v>
      </c>
      <c r="C30" s="1" t="s">
        <v>4297</v>
      </c>
      <c r="D30" s="1" t="s">
        <v>2903</v>
      </c>
      <c r="E30" s="12">
        <f>F31/(1000*POWER(0.001,2))</f>
        <v>1000</v>
      </c>
      <c r="F30" s="12">
        <f>SI!E2/POWER(SI!E3,2)</f>
        <v>1</v>
      </c>
      <c r="G30" s="1" t="s">
        <v>1103</v>
      </c>
      <c r="H30" s="1" t="s">
        <v>982</v>
      </c>
    </row>
    <row r="31" spans="1:8" ht="16.5">
      <c r="A31" s="264" t="s">
        <v>5713</v>
      </c>
      <c r="B31" t="s">
        <v>3046</v>
      </c>
      <c r="C31" s="1" t="s">
        <v>4297</v>
      </c>
      <c r="D31" s="1" t="s">
        <v>2903</v>
      </c>
      <c r="E31" s="12">
        <f>F30/(1000*POWER(0.01,2))</f>
        <v>10</v>
      </c>
      <c r="F31" s="12">
        <f>SI!E2/POWER(SI!E3,2)</f>
        <v>1</v>
      </c>
      <c r="G31" s="1" t="s">
        <v>1103</v>
      </c>
      <c r="H31" s="1" t="s">
        <v>982</v>
      </c>
    </row>
    <row r="32" spans="1:8" ht="16.5">
      <c r="A32" s="264" t="s">
        <v>5714</v>
      </c>
      <c r="B32" t="s">
        <v>6262</v>
      </c>
      <c r="C32" s="1" t="s">
        <v>4297</v>
      </c>
      <c r="D32" s="1" t="s">
        <v>2903</v>
      </c>
      <c r="E32" s="12">
        <f>F32/1000</f>
        <v>1E-3</v>
      </c>
      <c r="F32" s="12">
        <f>SI!E2/POWER(SI!E3,2)</f>
        <v>1</v>
      </c>
      <c r="G32" s="1" t="s">
        <v>1103</v>
      </c>
      <c r="H32" s="1" t="s">
        <v>982</v>
      </c>
    </row>
    <row r="33" spans="1:8" ht="16.5">
      <c r="A33" s="1" t="s">
        <v>5715</v>
      </c>
      <c r="B33" s="1" t="s">
        <v>26</v>
      </c>
      <c r="C33" s="1" t="s">
        <v>4297</v>
      </c>
      <c r="D33" s="1" t="s">
        <v>2903</v>
      </c>
      <c r="E33" s="12">
        <f>F33</f>
        <v>25.395923300000003</v>
      </c>
      <c r="F33" s="12">
        <f>('Physical Measurements'!E6*Systems!D6/12)*SI!E2/POWER(SI!E3,2)</f>
        <v>25.395923300000003</v>
      </c>
      <c r="G33" s="1" t="s">
        <v>1103</v>
      </c>
      <c r="H33" s="1" t="s">
        <v>1148</v>
      </c>
    </row>
    <row r="34" spans="1:8" ht="16.5">
      <c r="A34" s="264" t="s">
        <v>6891</v>
      </c>
      <c r="B34" t="s">
        <v>3052</v>
      </c>
      <c r="C34" s="1" t="s">
        <v>4297</v>
      </c>
      <c r="D34" s="1" t="s">
        <v>2903</v>
      </c>
      <c r="E34" s="12">
        <f>F34/10000</f>
        <v>1E-4</v>
      </c>
      <c r="F34" s="12">
        <f>SI!E2/POWER(SI!E3,2)</f>
        <v>1</v>
      </c>
      <c r="G34" s="1" t="s">
        <v>1103</v>
      </c>
      <c r="H34" s="1" t="s">
        <v>982</v>
      </c>
    </row>
    <row r="35" spans="1:8" ht="16.5">
      <c r="A35" s="1" t="s">
        <v>5716</v>
      </c>
      <c r="B35" s="1" t="s">
        <v>4197</v>
      </c>
      <c r="C35" s="1" t="s">
        <v>4297</v>
      </c>
      <c r="D35" s="1" t="s">
        <v>2903</v>
      </c>
      <c r="E35" s="12">
        <f>F35/POWER(1000,2)</f>
        <v>9.9999999999999995E-7</v>
      </c>
      <c r="F35" s="12">
        <f>SI!E2/POWER(SI!E3,2)</f>
        <v>1</v>
      </c>
      <c r="G35" s="1" t="s">
        <v>1103</v>
      </c>
      <c r="H35" s="1" t="s">
        <v>42</v>
      </c>
    </row>
    <row r="36" spans="1:8" ht="16.5">
      <c r="A36" s="1" t="s">
        <v>5717</v>
      </c>
      <c r="B36" s="1" t="s">
        <v>1103</v>
      </c>
      <c r="C36" s="1" t="s">
        <v>4297</v>
      </c>
      <c r="D36" s="1" t="s">
        <v>2903</v>
      </c>
      <c r="E36" s="12">
        <f>F36</f>
        <v>1</v>
      </c>
      <c r="F36" s="12">
        <f>SI!E2/POWER(SI!E3,2)</f>
        <v>1</v>
      </c>
      <c r="G36" s="1" t="s">
        <v>1103</v>
      </c>
      <c r="H36" s="1" t="s">
        <v>42</v>
      </c>
    </row>
    <row r="37" spans="1:8" ht="16.5">
      <c r="A37" s="1" t="s">
        <v>5718</v>
      </c>
      <c r="B37" s="1" t="s">
        <v>1843</v>
      </c>
      <c r="C37" s="1" t="s">
        <v>4297</v>
      </c>
      <c r="D37" s="1" t="s">
        <v>2903</v>
      </c>
      <c r="E37" s="12">
        <f>F37/POWER(0.01,2)</f>
        <v>10000</v>
      </c>
      <c r="F37" s="12">
        <f>SI!E2/POWER(SI!E3,2)</f>
        <v>1</v>
      </c>
      <c r="G37" s="1" t="s">
        <v>1103</v>
      </c>
      <c r="H37" s="1" t="s">
        <v>42</v>
      </c>
    </row>
    <row r="38" spans="1:8" ht="16.5">
      <c r="A38" s="264" t="s">
        <v>6892</v>
      </c>
      <c r="B38" t="s">
        <v>3050</v>
      </c>
      <c r="C38" s="1" t="s">
        <v>4297</v>
      </c>
      <c r="D38" s="1" t="s">
        <v>2903</v>
      </c>
      <c r="E38" s="12">
        <f>F38/100</f>
        <v>0.01</v>
      </c>
      <c r="F38" s="12">
        <f>SI!E2/POWER(SI!E3,2)</f>
        <v>1</v>
      </c>
      <c r="G38" s="1" t="s">
        <v>1103</v>
      </c>
      <c r="H38" s="1" t="s">
        <v>982</v>
      </c>
    </row>
    <row r="39" spans="1:8" ht="16.5">
      <c r="A39" s="264" t="s">
        <v>6893</v>
      </c>
      <c r="B39" t="s">
        <v>4196</v>
      </c>
      <c r="C39" s="1" t="s">
        <v>4297</v>
      </c>
      <c r="D39" s="1" t="s">
        <v>2903</v>
      </c>
      <c r="E39" s="12">
        <f>F39</f>
        <v>1</v>
      </c>
      <c r="F39" s="12">
        <f>SI!E2/POWER(SI!E3,2)</f>
        <v>1</v>
      </c>
      <c r="G39" s="1" t="s">
        <v>1103</v>
      </c>
      <c r="H39" s="1" t="s">
        <v>982</v>
      </c>
    </row>
    <row r="40" spans="1:8" ht="16.5">
      <c r="A40" s="264" t="s">
        <v>6894</v>
      </c>
      <c r="B40" t="s">
        <v>3048</v>
      </c>
      <c r="C40" s="1" t="s">
        <v>4297</v>
      </c>
      <c r="D40" s="1" t="s">
        <v>2903</v>
      </c>
      <c r="E40" s="12">
        <f>Systems!L7/(16*POWER(Systems!D6,2))*F40</f>
        <v>0.30515170574611977</v>
      </c>
      <c r="F40" s="12">
        <f>SI!E2/POWER(SI!E3,2)</f>
        <v>1</v>
      </c>
      <c r="G40" s="1" t="s">
        <v>1103</v>
      </c>
      <c r="H40" s="1" t="s">
        <v>46</v>
      </c>
    </row>
    <row r="41" spans="1:8" ht="16.5">
      <c r="A41" s="264" t="s">
        <v>6895</v>
      </c>
      <c r="B41" t="s">
        <v>3045</v>
      </c>
      <c r="C41" s="1" t="s">
        <v>4297</v>
      </c>
      <c r="D41" s="1" t="s">
        <v>2903</v>
      </c>
      <c r="E41" s="12">
        <f>Systems!L7/(16*POWER(Systems!D6/12,2))*F41</f>
        <v>43.941845627441246</v>
      </c>
      <c r="F41" s="12">
        <f>SI!E2/POWER(SI!E3,2)</f>
        <v>1</v>
      </c>
      <c r="G41" s="1" t="s">
        <v>1103</v>
      </c>
      <c r="H41" s="1" t="s">
        <v>46</v>
      </c>
    </row>
    <row r="42" spans="1:8" ht="16.5">
      <c r="A42" s="264" t="s">
        <v>6896</v>
      </c>
      <c r="B42" t="s">
        <v>3049</v>
      </c>
      <c r="C42" s="1" t="s">
        <v>4297</v>
      </c>
      <c r="D42" s="1" t="s">
        <v>2903</v>
      </c>
      <c r="E42" s="12">
        <f>Systems!L7/(16*POWER(3*Systems!D6,2))*F42</f>
        <v>3.3905745082902193E-2</v>
      </c>
      <c r="F42" s="12">
        <f>SI!E2/POWER(SI!E3,2)</f>
        <v>1</v>
      </c>
      <c r="G42" s="1" t="s">
        <v>1103</v>
      </c>
      <c r="H42" s="1" t="s">
        <v>46</v>
      </c>
    </row>
    <row r="43" spans="1:8" ht="16.5">
      <c r="A43" s="264" t="s">
        <v>6897</v>
      </c>
      <c r="B43" t="s">
        <v>3051</v>
      </c>
      <c r="C43" s="1" t="s">
        <v>4297</v>
      </c>
      <c r="D43" s="1" t="s">
        <v>2903</v>
      </c>
      <c r="E43" s="12">
        <f>Systems!L6/(4840*POWER(3*Systems!D6,2))*F43</f>
        <v>1.1208511561944559E-4</v>
      </c>
      <c r="F43" s="12">
        <f>SI!E2/POWER(SI!E3,2)</f>
        <v>1</v>
      </c>
      <c r="G43" s="1" t="s">
        <v>1103</v>
      </c>
      <c r="H43" s="1" t="s">
        <v>1148</v>
      </c>
    </row>
    <row r="44" spans="1:8" ht="16.5">
      <c r="A44" s="264" t="s">
        <v>5719</v>
      </c>
      <c r="B44" t="s">
        <v>4195</v>
      </c>
      <c r="C44" s="1" t="s">
        <v>4297</v>
      </c>
      <c r="D44" s="1" t="s">
        <v>2903</v>
      </c>
      <c r="E44" s="12">
        <f>Systems!L6/POWER(5280*Systems!D6,2)*F44</f>
        <v>1.7513299315538376E-7</v>
      </c>
      <c r="F44" s="12">
        <f>SI!E2/POWER(SI!E3,2)</f>
        <v>1</v>
      </c>
      <c r="G44" s="1" t="s">
        <v>1103</v>
      </c>
      <c r="H44" s="1" t="s">
        <v>1148</v>
      </c>
    </row>
    <row r="45" spans="1:8" ht="16.5">
      <c r="A45" s="264" t="s">
        <v>6898</v>
      </c>
      <c r="B45" t="s">
        <v>3047</v>
      </c>
      <c r="C45" s="1" t="s">
        <v>4297</v>
      </c>
      <c r="D45" s="1" t="s">
        <v>2903</v>
      </c>
      <c r="E45" s="12">
        <f>Systems!L6/POWER(Systems!D6,2)*F45</f>
        <v>4.8824276363830501</v>
      </c>
      <c r="F45" s="12">
        <f>SI!E2/POWER(SI!E3,2)</f>
        <v>1</v>
      </c>
      <c r="G45" s="1" t="s">
        <v>1103</v>
      </c>
      <c r="H45" s="1" t="s">
        <v>1148</v>
      </c>
    </row>
    <row r="46" spans="1:8" ht="16.5">
      <c r="A46" s="264" t="s">
        <v>6899</v>
      </c>
      <c r="B46" t="s">
        <v>3044</v>
      </c>
      <c r="C46" s="1" t="s">
        <v>4297</v>
      </c>
      <c r="D46" s="1" t="s">
        <v>2903</v>
      </c>
      <c r="E46" s="12">
        <f>Systems!L6/POWER(Systems!D6/12,2)*F46</f>
        <v>703.0695796391592</v>
      </c>
      <c r="F46" s="12">
        <f>SI!E2/POWER(SI!E3,2)</f>
        <v>1</v>
      </c>
      <c r="G46" s="1" t="s">
        <v>1103</v>
      </c>
      <c r="H46" s="1" t="s">
        <v>1148</v>
      </c>
    </row>
    <row r="47" spans="1:8" ht="16.5">
      <c r="A47" s="264" t="s">
        <v>5720</v>
      </c>
      <c r="B47" t="s">
        <v>4184</v>
      </c>
      <c r="C47" s="1" t="s">
        <v>4297</v>
      </c>
      <c r="D47" s="1" t="s">
        <v>2903</v>
      </c>
      <c r="E47" s="12">
        <f>Systems!L6/POWER(3*Systems!D6,2)*F47</f>
        <v>0.54249195959811658</v>
      </c>
      <c r="F47" s="12">
        <f>SI!E2/POWER(SI!E3,2)</f>
        <v>1</v>
      </c>
      <c r="G47" s="1" t="s">
        <v>1103</v>
      </c>
      <c r="H47" s="1" t="s">
        <v>1148</v>
      </c>
    </row>
    <row r="48" spans="1:8" ht="16.5">
      <c r="A48" s="264" t="s">
        <v>5721</v>
      </c>
      <c r="B48" t="s">
        <v>3053</v>
      </c>
      <c r="C48" s="1" t="s">
        <v>4297</v>
      </c>
      <c r="D48" s="1" t="s">
        <v>2903</v>
      </c>
      <c r="E48" s="12">
        <f>2240*Systems!L6/POWER(5280*Systems!D6,2)*F48</f>
        <v>3.9229790466805965E-4</v>
      </c>
      <c r="F48" s="12">
        <f>SI!E2/POWER(SI!E3,2)</f>
        <v>1</v>
      </c>
      <c r="G48" s="1" t="s">
        <v>1103</v>
      </c>
      <c r="H48" s="1" t="s">
        <v>46</v>
      </c>
    </row>
    <row r="49" spans="1:8" ht="16.5">
      <c r="A49" s="264" t="s">
        <v>5722</v>
      </c>
      <c r="B49" t="s">
        <v>4192</v>
      </c>
      <c r="C49" s="1" t="s">
        <v>4297</v>
      </c>
      <c r="D49" s="1" t="s">
        <v>2903</v>
      </c>
      <c r="E49" s="12">
        <f>2240*Systems!L6/POWER(3*Systems!D6,2)*F49</f>
        <v>1215.1819894997814</v>
      </c>
      <c r="F49" s="12">
        <f>SI!E2/POWER(SI!E3,2)</f>
        <v>1</v>
      </c>
      <c r="G49" s="1" t="s">
        <v>1103</v>
      </c>
      <c r="H49" s="1" t="s">
        <v>46</v>
      </c>
    </row>
    <row r="50" spans="1:8" ht="16.5">
      <c r="A50" s="264" t="s">
        <v>5723</v>
      </c>
      <c r="B50" t="s">
        <v>4193</v>
      </c>
      <c r="C50" s="1" t="s">
        <v>4297</v>
      </c>
      <c r="D50" s="1" t="s">
        <v>2903</v>
      </c>
      <c r="E50" s="12">
        <f>2240*Systems!L6/POWER(Systems!D6,2)*F50</f>
        <v>10936.637905498033</v>
      </c>
      <c r="F50" s="12">
        <f>SI!E2/POWER(SI!E3,2)</f>
        <v>1</v>
      </c>
      <c r="G50" s="1" t="s">
        <v>1103</v>
      </c>
      <c r="H50" s="1" t="s">
        <v>46</v>
      </c>
    </row>
    <row r="51" spans="1:8" ht="16.5">
      <c r="A51" s="264" t="s">
        <v>5724</v>
      </c>
      <c r="B51" t="s">
        <v>4194</v>
      </c>
      <c r="C51" s="1" t="s">
        <v>4297</v>
      </c>
      <c r="D51" s="1" t="s">
        <v>2903</v>
      </c>
      <c r="E51" s="12">
        <f>2240*Systems!L6/POWER(Systems!D6/12,2)*F51</f>
        <v>1574875.8583917166</v>
      </c>
      <c r="F51" s="12">
        <f>SI!E2/POWER(SI!E3,2)</f>
        <v>1</v>
      </c>
      <c r="G51" s="1" t="s">
        <v>1103</v>
      </c>
      <c r="H51" s="1" t="s">
        <v>46</v>
      </c>
    </row>
    <row r="52" spans="1:8">
      <c r="A52" s="248"/>
      <c r="B52" s="248"/>
      <c r="C52" s="248"/>
      <c r="D52" s="248"/>
      <c r="E52" s="250"/>
      <c r="F52" s="250"/>
      <c r="G52" s="248"/>
      <c r="H52" s="248"/>
    </row>
    <row r="53" spans="1:8" ht="33">
      <c r="A53" s="1" t="s">
        <v>7431</v>
      </c>
      <c r="B53" s="1" t="s">
        <v>503</v>
      </c>
      <c r="C53" s="1" t="s">
        <v>3043</v>
      </c>
      <c r="D53" s="1" t="s">
        <v>2840</v>
      </c>
      <c r="E53" s="12">
        <f>F53</f>
        <v>1.4253761252521946E-2</v>
      </c>
      <c r="F53" s="12">
        <f>(Systems!L6/(7000*Systems!P6))*SI!E2/POWER(SI!E3,3)</f>
        <v>1.4253761252521946E-2</v>
      </c>
      <c r="G53" s="1" t="s">
        <v>1072</v>
      </c>
      <c r="H53" s="1" t="s">
        <v>982</v>
      </c>
    </row>
    <row r="54" spans="1:8" ht="43.2">
      <c r="A54" s="1" t="s">
        <v>5725</v>
      </c>
      <c r="B54" s="1" t="s">
        <v>4309</v>
      </c>
      <c r="C54" s="1" t="s">
        <v>4298</v>
      </c>
      <c r="D54" s="1" t="s">
        <v>2840</v>
      </c>
      <c r="E54" s="12">
        <f>F54</f>
        <v>9.9999999999999985E-3</v>
      </c>
      <c r="F54" s="12">
        <f>((10*'Physical Definitions'!E26*0.001)/(1000*POWER('Physical Definitions'!E22,3)))*SI!E2/POWER(SI!E3,3)</f>
        <v>9.9999999999999985E-3</v>
      </c>
      <c r="G54" s="1" t="s">
        <v>1072</v>
      </c>
      <c r="H54" s="1" t="s">
        <v>65</v>
      </c>
    </row>
    <row r="55" spans="1:8" ht="16.5">
      <c r="A55" s="1" t="s">
        <v>531</v>
      </c>
      <c r="B55" s="1" t="s">
        <v>26</v>
      </c>
      <c r="C55" s="1" t="s">
        <v>3043</v>
      </c>
      <c r="D55" s="1" t="s">
        <v>2840</v>
      </c>
      <c r="E55" s="12">
        <f>0.001*F55</f>
        <v>1E-3</v>
      </c>
      <c r="F55" s="12">
        <f>SI!E2/POWER(SI!E3,3)</f>
        <v>1</v>
      </c>
      <c r="G55" s="1" t="s">
        <v>1072</v>
      </c>
      <c r="H55" s="1" t="s">
        <v>982</v>
      </c>
    </row>
    <row r="56" spans="1:8" ht="16.8">
      <c r="A56" s="264" t="s">
        <v>6900</v>
      </c>
      <c r="B56" s="265" t="s">
        <v>3062</v>
      </c>
      <c r="C56" s="1" t="s">
        <v>3043</v>
      </c>
      <c r="D56" s="1" t="s">
        <v>2840</v>
      </c>
      <c r="E56" s="12">
        <f>Systems!L6/(7000*POWER(Systems!D6,3))*F56</f>
        <v>2.288351910565734E-3</v>
      </c>
      <c r="F56" s="12">
        <f>SI!E2/POWER(SI!E3,3)</f>
        <v>1</v>
      </c>
      <c r="G56" s="1" t="s">
        <v>1072</v>
      </c>
      <c r="H56" s="1" t="s">
        <v>1148</v>
      </c>
    </row>
    <row r="57" spans="1:8" ht="16.8">
      <c r="A57" s="264" t="s">
        <v>5726</v>
      </c>
      <c r="B57" s="265" t="s">
        <v>4198</v>
      </c>
      <c r="C57" s="1" t="s">
        <v>3043</v>
      </c>
      <c r="D57" s="1" t="s">
        <v>2840</v>
      </c>
      <c r="E57" s="12">
        <f>Systems!L6/(7000*POWER(Systems!D6/12,3))*F57</f>
        <v>3.9542721014575881</v>
      </c>
      <c r="F57" s="12">
        <f>SI!E2/POWER(SI!E3,3)</f>
        <v>1</v>
      </c>
      <c r="G57" s="1" t="s">
        <v>1072</v>
      </c>
      <c r="H57" s="1" t="s">
        <v>1148</v>
      </c>
    </row>
    <row r="58" spans="1:8" ht="16.5">
      <c r="A58" s="264" t="s">
        <v>6901</v>
      </c>
      <c r="B58" s="265" t="s">
        <v>3059</v>
      </c>
      <c r="C58" s="1" t="s">
        <v>3043</v>
      </c>
      <c r="D58" s="1" t="s">
        <v>2840</v>
      </c>
      <c r="E58" s="12">
        <f>Systems!L6/(7000*Systems!P8)*F58</f>
        <v>1.7118061045270944E-2</v>
      </c>
      <c r="F58" s="12">
        <f>SI!E2/POWER(SI!E3,3)</f>
        <v>1</v>
      </c>
      <c r="G58" s="1" t="s">
        <v>1072</v>
      </c>
      <c r="H58" s="1" t="s">
        <v>47</v>
      </c>
    </row>
    <row r="59" spans="1:8" ht="17.399999999999999" customHeight="1">
      <c r="A59" s="264" t="s">
        <v>6901</v>
      </c>
      <c r="B59" s="265" t="s">
        <v>3059</v>
      </c>
      <c r="C59" s="1" t="s">
        <v>3043</v>
      </c>
      <c r="D59" s="1" t="s">
        <v>2840</v>
      </c>
      <c r="E59" s="12">
        <f>Systems!L6/(7000*Systems!P6)*F59</f>
        <v>1.4253761252521946E-2</v>
      </c>
      <c r="F59" s="12">
        <f>SI!E2/POWER(SI!E3,3)</f>
        <v>1</v>
      </c>
      <c r="G59" s="1" t="s">
        <v>1072</v>
      </c>
      <c r="H59" s="1" t="s">
        <v>46</v>
      </c>
    </row>
    <row r="60" spans="1:8" ht="16.8">
      <c r="A60" s="264" t="s">
        <v>6902</v>
      </c>
      <c r="B60" s="265" t="s">
        <v>3055</v>
      </c>
      <c r="C60" s="1" t="s">
        <v>3043</v>
      </c>
      <c r="D60" s="1" t="s">
        <v>2840</v>
      </c>
      <c r="E60" s="12">
        <f>1000000*F60</f>
        <v>1000000</v>
      </c>
      <c r="F60" s="12">
        <f>SI!E2/POWER(SI!E3,3)</f>
        <v>1</v>
      </c>
      <c r="G60" s="1" t="s">
        <v>1072</v>
      </c>
      <c r="H60" s="1" t="s">
        <v>982</v>
      </c>
    </row>
    <row r="61" spans="1:8" ht="16.8">
      <c r="A61" s="264" t="s">
        <v>6903</v>
      </c>
      <c r="B61" s="265" t="s">
        <v>3054</v>
      </c>
      <c r="C61" s="1" t="s">
        <v>3043</v>
      </c>
      <c r="D61" s="1" t="s">
        <v>2840</v>
      </c>
      <c r="E61" s="12">
        <f>1000*F61</f>
        <v>1000</v>
      </c>
      <c r="F61" s="12">
        <f>SI!E2/POWER(SI!E3,3)</f>
        <v>1</v>
      </c>
      <c r="G61" s="1" t="s">
        <v>1072</v>
      </c>
      <c r="H61" s="1" t="s">
        <v>982</v>
      </c>
    </row>
    <row r="62" spans="1:8" ht="16.8">
      <c r="A62" s="264" t="s">
        <v>6904</v>
      </c>
      <c r="B62" s="265" t="s">
        <v>3058</v>
      </c>
      <c r="C62" s="1" t="s">
        <v>3043</v>
      </c>
      <c r="D62" s="1" t="s">
        <v>2840</v>
      </c>
      <c r="E62" s="12">
        <f>F62</f>
        <v>1</v>
      </c>
      <c r="F62" s="12">
        <f>SI!E2/POWER(SI!E3,3)</f>
        <v>1</v>
      </c>
      <c r="G62" s="1" t="s">
        <v>1072</v>
      </c>
      <c r="H62" s="1" t="s">
        <v>982</v>
      </c>
    </row>
    <row r="63" spans="1:8" ht="16.8">
      <c r="A63" s="264" t="s">
        <v>5727</v>
      </c>
      <c r="B63" s="265" t="s">
        <v>3060</v>
      </c>
      <c r="C63" s="1" t="s">
        <v>3043</v>
      </c>
      <c r="D63" s="1" t="s">
        <v>2840</v>
      </c>
      <c r="E63" s="12">
        <f>F63/1000</f>
        <v>1E-3</v>
      </c>
      <c r="F63" s="12">
        <f>SI!E2/POWER(SI!E3,3)</f>
        <v>1</v>
      </c>
      <c r="G63" s="1" t="s">
        <v>1072</v>
      </c>
      <c r="H63" s="1" t="s">
        <v>982</v>
      </c>
    </row>
    <row r="64" spans="1:8" ht="43.2">
      <c r="A64" s="1" t="s">
        <v>5728</v>
      </c>
      <c r="B64" s="1" t="s">
        <v>173</v>
      </c>
      <c r="C64" s="1" t="s">
        <v>4298</v>
      </c>
      <c r="D64" s="1" t="s">
        <v>2840</v>
      </c>
      <c r="E64" s="12">
        <f>0.01*F64</f>
        <v>9.9999999999999991E-5</v>
      </c>
      <c r="F64" s="12">
        <f>((10*'Physical Definitions'!E26*0.001)/(1000*POWER('Physical Definitions'!E22,3)))*SI!E2/POWER(SI!E3,3)</f>
        <v>9.9999999999999985E-3</v>
      </c>
      <c r="G64" s="1" t="s">
        <v>1072</v>
      </c>
      <c r="H64" s="1" t="s">
        <v>65</v>
      </c>
    </row>
    <row r="65" spans="1:8" ht="16.5">
      <c r="A65" s="1" t="s">
        <v>5729</v>
      </c>
      <c r="B65" s="1" t="s">
        <v>4199</v>
      </c>
      <c r="C65" s="1" t="s">
        <v>3043</v>
      </c>
      <c r="D65" s="1" t="s">
        <v>2840</v>
      </c>
      <c r="E65" s="12">
        <f>F65</f>
        <v>999999.99999999988</v>
      </c>
      <c r="F65" s="12">
        <f>(1/POWER('Physical Definitions'!E22,3))*SI!E2/POWER(SI!E3,3)</f>
        <v>999999.99999999988</v>
      </c>
      <c r="G65" s="1" t="s">
        <v>1072</v>
      </c>
      <c r="H65" s="1" t="s">
        <v>982</v>
      </c>
    </row>
    <row r="66" spans="1:8" ht="16.5">
      <c r="A66" s="1" t="s">
        <v>5730</v>
      </c>
      <c r="B66" s="1" t="s">
        <v>3061</v>
      </c>
      <c r="C66" s="1" t="s">
        <v>3043</v>
      </c>
      <c r="D66" s="1" t="s">
        <v>2840</v>
      </c>
      <c r="E66" s="12">
        <f>F66</f>
        <v>999.99999999999977</v>
      </c>
      <c r="F66" s="12">
        <f>(1/POWER('Physical Definitions'!E25,3))*SI!E2/POWER(SI!E3,3)</f>
        <v>999.99999999999977</v>
      </c>
      <c r="G66" s="1" t="s">
        <v>1072</v>
      </c>
      <c r="H66" s="1" t="s">
        <v>982</v>
      </c>
    </row>
    <row r="67" spans="1:8" ht="16.5">
      <c r="A67" s="1" t="s">
        <v>5731</v>
      </c>
      <c r="B67" s="1" t="s">
        <v>1072</v>
      </c>
      <c r="C67" s="1" t="s">
        <v>3043</v>
      </c>
      <c r="D67" s="1" t="s">
        <v>2840</v>
      </c>
      <c r="E67" s="12">
        <f>F67</f>
        <v>1</v>
      </c>
      <c r="F67" s="12">
        <f>SI!E2/POWER(SI!E3,3)</f>
        <v>1</v>
      </c>
      <c r="G67" s="1" t="s">
        <v>1072</v>
      </c>
      <c r="H67" s="1" t="s">
        <v>42</v>
      </c>
    </row>
    <row r="68" spans="1:8" ht="16.5">
      <c r="A68" s="267" t="s">
        <v>5732</v>
      </c>
      <c r="B68" s="32" t="s">
        <v>3057</v>
      </c>
      <c r="C68" s="1" t="s">
        <v>3043</v>
      </c>
      <c r="D68" s="1" t="s">
        <v>2840</v>
      </c>
      <c r="E68" s="12">
        <f>Systems!L6/(16*Systems!P8)*F68</f>
        <v>7.4891517073060383</v>
      </c>
      <c r="F68" s="12">
        <f>SI!E2/POWER(SI!E3,3)</f>
        <v>1</v>
      </c>
      <c r="G68" s="1" t="s">
        <v>1072</v>
      </c>
      <c r="H68" s="1" t="s">
        <v>47</v>
      </c>
    </row>
    <row r="69" spans="1:8" ht="16.5">
      <c r="A69" s="267" t="s">
        <v>5732</v>
      </c>
      <c r="B69" s="32" t="s">
        <v>3057</v>
      </c>
      <c r="C69" s="1" t="s">
        <v>3043</v>
      </c>
      <c r="D69" s="1" t="s">
        <v>2840</v>
      </c>
      <c r="E69" s="12">
        <f>Systems!L6/(16*Systems!T6)</f>
        <v>6.2360205479783524</v>
      </c>
      <c r="F69" s="12">
        <f>SI!E2/POWER(SI!E3,3)</f>
        <v>1</v>
      </c>
      <c r="G69" s="1" t="s">
        <v>1072</v>
      </c>
      <c r="H69" s="1" t="s">
        <v>46</v>
      </c>
    </row>
    <row r="70" spans="1:8" ht="16.5">
      <c r="A70" s="1" t="s">
        <v>5733</v>
      </c>
      <c r="B70" s="1" t="s">
        <v>4203</v>
      </c>
      <c r="C70" s="1" t="s">
        <v>3043</v>
      </c>
      <c r="D70" s="1" t="s">
        <v>2840</v>
      </c>
      <c r="E70" s="12">
        <f>F70</f>
        <v>0.59327642125778279</v>
      </c>
      <c r="F70" s="12">
        <f>(Systems!L6/POWER(3*Systems!D6,3))*SI!E2/POWER(SI!E3,3)</f>
        <v>0.59327642125778279</v>
      </c>
      <c r="G70" s="1" t="s">
        <v>1072</v>
      </c>
      <c r="H70" s="1" t="s">
        <v>1148</v>
      </c>
    </row>
    <row r="71" spans="1:8" ht="16.5">
      <c r="A71" s="1" t="s">
        <v>5734</v>
      </c>
      <c r="B71" s="1" t="s">
        <v>2299</v>
      </c>
      <c r="C71" s="1" t="s">
        <v>3043</v>
      </c>
      <c r="D71" s="1" t="s">
        <v>2840</v>
      </c>
      <c r="E71" s="12">
        <f>F71</f>
        <v>16.018463373960138</v>
      </c>
      <c r="F71" s="12">
        <f>(Systems!L15/POWER(Systems!D15,3))*SI!E2/POWER(SI!E3,3)</f>
        <v>16.018463373960138</v>
      </c>
      <c r="G71" s="1" t="s">
        <v>1072</v>
      </c>
      <c r="H71" s="1" t="s">
        <v>117</v>
      </c>
    </row>
    <row r="72" spans="1:8" ht="16.5">
      <c r="A72" s="267" t="s">
        <v>5735</v>
      </c>
      <c r="B72" s="32" t="s">
        <v>4200</v>
      </c>
      <c r="C72" s="1" t="s">
        <v>3043</v>
      </c>
      <c r="D72" s="1" t="s">
        <v>2840</v>
      </c>
      <c r="E72" s="12">
        <f>Systems!L6/POWER(Systems!D6/12,3)*F73</f>
        <v>27679.904710203118</v>
      </c>
      <c r="F72" s="12">
        <f>SI!E2/POWER(SI!E3,3)</f>
        <v>1</v>
      </c>
      <c r="G72" s="1" t="s">
        <v>1072</v>
      </c>
      <c r="H72" s="1" t="s">
        <v>1148</v>
      </c>
    </row>
    <row r="73" spans="1:8" ht="16.5">
      <c r="A73" s="267" t="s">
        <v>6905</v>
      </c>
      <c r="B73" s="32" t="s">
        <v>3056</v>
      </c>
      <c r="C73" s="1" t="s">
        <v>3043</v>
      </c>
      <c r="D73" s="1" t="s">
        <v>2840</v>
      </c>
      <c r="E73" s="12">
        <f>Systems!L6/Systems!P8*F73</f>
        <v>119.82642731689661</v>
      </c>
      <c r="F73" s="12">
        <f>SI!E2/POWER(SI!E3,3)</f>
        <v>1</v>
      </c>
      <c r="G73" s="1" t="s">
        <v>1072</v>
      </c>
      <c r="H73" s="1" t="s">
        <v>47</v>
      </c>
    </row>
    <row r="74" spans="1:8" ht="16.5">
      <c r="A74" s="267" t="s">
        <v>6905</v>
      </c>
      <c r="B74" s="32" t="s">
        <v>3056</v>
      </c>
      <c r="C74" s="1" t="s">
        <v>3043</v>
      </c>
      <c r="D74" s="1" t="s">
        <v>2840</v>
      </c>
      <c r="E74" s="12">
        <f>Systems!L6/Systems!P6*F74</f>
        <v>99.776328767653638</v>
      </c>
      <c r="F74" s="12">
        <f>SI!E2/POWER(SI!E3,3)</f>
        <v>1</v>
      </c>
      <c r="G74" s="1" t="s">
        <v>1072</v>
      </c>
      <c r="H74" s="1" t="s">
        <v>46</v>
      </c>
    </row>
    <row r="75" spans="1:8" ht="16.5">
      <c r="A75" s="267" t="s">
        <v>6906</v>
      </c>
      <c r="B75" s="32" t="s">
        <v>4201</v>
      </c>
      <c r="C75" s="1" t="s">
        <v>3043</v>
      </c>
      <c r="D75" s="1" t="s">
        <v>2840</v>
      </c>
      <c r="E75" s="12">
        <f>1000*F75</f>
        <v>1000</v>
      </c>
      <c r="F75" s="12">
        <f>SI!E2/POWER(SI!E3,3)</f>
        <v>1</v>
      </c>
      <c r="G75" s="1" t="s">
        <v>1072</v>
      </c>
      <c r="H75" s="1" t="s">
        <v>982</v>
      </c>
    </row>
    <row r="76" spans="1:8" ht="16.5">
      <c r="A76" s="267" t="s">
        <v>6907</v>
      </c>
      <c r="B76" s="32" t="s">
        <v>4207</v>
      </c>
      <c r="C76" s="1" t="s">
        <v>3043</v>
      </c>
      <c r="D76" s="1" t="s">
        <v>2840</v>
      </c>
      <c r="E76" s="12">
        <f>1000*F76/POWER('Physical Definitions'!E25,3)</f>
        <v>999999.99999999977</v>
      </c>
      <c r="F76" s="12">
        <f>SI!E2/POWER(SI!E3,3)</f>
        <v>1</v>
      </c>
      <c r="G76" s="1" t="s">
        <v>1072</v>
      </c>
      <c r="H76" s="1" t="s">
        <v>982</v>
      </c>
    </row>
    <row r="77" spans="1:8" ht="16.5">
      <c r="A77" s="267" t="s">
        <v>6908</v>
      </c>
      <c r="B77" s="32" t="s">
        <v>4204</v>
      </c>
      <c r="C77" s="1" t="s">
        <v>3043</v>
      </c>
      <c r="D77" s="1" t="s">
        <v>2840</v>
      </c>
      <c r="E77" s="12">
        <f>1000*F77/POWER('Physical Definitions'!E22,3)</f>
        <v>999999999.99999988</v>
      </c>
      <c r="F77" s="12">
        <f>SI!E2/POWER(SI!E3,3)</f>
        <v>1</v>
      </c>
      <c r="G77" s="1" t="s">
        <v>1072</v>
      </c>
      <c r="H77" s="1" t="s">
        <v>982</v>
      </c>
    </row>
    <row r="78" spans="1:8" ht="16.5">
      <c r="A78" s="267" t="s">
        <v>5736</v>
      </c>
      <c r="B78" s="32" t="s">
        <v>4202</v>
      </c>
      <c r="C78" s="1" t="s">
        <v>3043</v>
      </c>
      <c r="D78" s="1" t="s">
        <v>2840</v>
      </c>
      <c r="E78" s="12">
        <f>2240*Systems!L6/POWER(3*Systems!D6,3)*F78</f>
        <v>1328.9391836174334</v>
      </c>
      <c r="F78" s="12">
        <f>SI!E2/POWER(SI!E3,3)</f>
        <v>1</v>
      </c>
      <c r="G78" s="1" t="s">
        <v>1072</v>
      </c>
      <c r="H78" s="1" t="s">
        <v>46</v>
      </c>
    </row>
    <row r="79" spans="1:8" ht="16.5">
      <c r="A79" s="267" t="s">
        <v>5737</v>
      </c>
      <c r="B79" s="32" t="s">
        <v>4205</v>
      </c>
      <c r="C79" s="1" t="s">
        <v>3043</v>
      </c>
      <c r="D79" s="1" t="s">
        <v>2840</v>
      </c>
      <c r="E79" s="12">
        <f>2240*Systems!L6/POWER(Systems!D6,3)*F79</f>
        <v>35881.357957670712</v>
      </c>
      <c r="F79" s="12">
        <f>SI!E2/POWER(SI!E3,3)</f>
        <v>1</v>
      </c>
      <c r="G79" s="1" t="s">
        <v>1072</v>
      </c>
      <c r="H79" s="1" t="s">
        <v>46</v>
      </c>
    </row>
    <row r="80" spans="1:8" ht="16.5">
      <c r="A80" s="267" t="s">
        <v>5738</v>
      </c>
      <c r="B80" s="32" t="s">
        <v>4206</v>
      </c>
      <c r="C80" s="1" t="s">
        <v>3043</v>
      </c>
      <c r="D80" s="1" t="s">
        <v>2840</v>
      </c>
      <c r="E80" s="12">
        <f>2240*Systems!L6/POWER(Systems!D6/12,3)*F80</f>
        <v>62002986.550854988</v>
      </c>
      <c r="F80" s="12">
        <f>SI!E2/POWER(SI!E3,3)</f>
        <v>1</v>
      </c>
      <c r="G80" s="1" t="s">
        <v>1072</v>
      </c>
      <c r="H80" s="1" t="s">
        <v>46</v>
      </c>
    </row>
    <row r="81" spans="1:8">
      <c r="A81" s="248"/>
      <c r="B81" s="248"/>
      <c r="C81" s="248"/>
      <c r="D81" s="248"/>
      <c r="E81" s="250"/>
      <c r="F81" s="250"/>
      <c r="G81" s="248"/>
      <c r="H81" s="248"/>
    </row>
  </sheetData>
  <sortState xmlns:xlrd2="http://schemas.microsoft.com/office/spreadsheetml/2017/richdata2" ref="A53:H78">
    <sortCondition ref="A53:A78"/>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27820-2F19-46D9-AF91-BB0E9F8C93D2}">
  <sheetPr codeName="Sheet18"/>
  <dimension ref="A1:H418"/>
  <sheetViews>
    <sheetView topLeftCell="A10" workbookViewId="0">
      <selection activeCell="B12" sqref="B12"/>
    </sheetView>
  </sheetViews>
  <sheetFormatPr defaultRowHeight="14.4"/>
  <cols>
    <col min="1" max="1" width="34.5234375" customWidth="1"/>
    <col min="2" max="2" width="19.5234375" customWidth="1"/>
    <col min="3" max="3" width="23.3125" customWidth="1"/>
    <col min="4" max="4" width="28.578125" customWidth="1"/>
    <col min="5" max="5" width="30.05078125" customWidth="1"/>
    <col min="6" max="6" width="37.41796875" customWidth="1"/>
    <col min="7" max="7" width="19.3671875" customWidth="1"/>
    <col min="8" max="8" width="17.7890625" customWidth="1"/>
  </cols>
  <sheetData>
    <row r="1" spans="1:8">
      <c r="A1" s="2" t="s">
        <v>11</v>
      </c>
      <c r="B1" s="2" t="s">
        <v>1</v>
      </c>
      <c r="C1" s="2" t="s">
        <v>2</v>
      </c>
      <c r="D1" s="2" t="s">
        <v>3</v>
      </c>
      <c r="E1" s="2" t="s">
        <v>4</v>
      </c>
      <c r="F1" s="128" t="s">
        <v>937</v>
      </c>
      <c r="G1" s="2" t="s">
        <v>0</v>
      </c>
      <c r="H1" s="2" t="s">
        <v>5</v>
      </c>
    </row>
    <row r="2" spans="1:8" ht="28.8">
      <c r="A2" s="1" t="s">
        <v>1149</v>
      </c>
      <c r="B2" s="1" t="s">
        <v>2999</v>
      </c>
      <c r="C2" s="1" t="s">
        <v>4277</v>
      </c>
      <c r="D2" s="1" t="s">
        <v>10</v>
      </c>
      <c r="E2" s="12">
        <f>10*F2</f>
        <v>10</v>
      </c>
      <c r="F2" s="12">
        <f>SI!E7</f>
        <v>1</v>
      </c>
      <c r="G2" s="1" t="s">
        <v>13</v>
      </c>
      <c r="H2" s="1" t="s">
        <v>36</v>
      </c>
    </row>
    <row r="3" spans="1:8" ht="28.8">
      <c r="A3" s="1" t="s">
        <v>53</v>
      </c>
      <c r="B3" s="1" t="s">
        <v>26</v>
      </c>
      <c r="C3" s="1" t="s">
        <v>4277</v>
      </c>
      <c r="D3" s="1" t="s">
        <v>10</v>
      </c>
      <c r="E3" s="12">
        <f>0.999835*F3</f>
        <v>0.99983500000000003</v>
      </c>
      <c r="F3" s="12">
        <f>SI!E7</f>
        <v>1</v>
      </c>
      <c r="G3" s="1" t="s">
        <v>13</v>
      </c>
      <c r="H3" s="1" t="s">
        <v>141</v>
      </c>
    </row>
    <row r="4" spans="1:8" ht="28.8">
      <c r="A4" s="1" t="s">
        <v>53</v>
      </c>
      <c r="B4" s="1" t="s">
        <v>26</v>
      </c>
      <c r="C4" s="1" t="s">
        <v>4277</v>
      </c>
      <c r="D4" s="1" t="s">
        <v>10</v>
      </c>
      <c r="E4" s="12">
        <f>0.999835*F4</f>
        <v>0.99983500000000003</v>
      </c>
      <c r="F4" s="12">
        <f>SI!E7</f>
        <v>1</v>
      </c>
      <c r="G4" s="1" t="s">
        <v>13</v>
      </c>
      <c r="H4" s="1" t="s">
        <v>58</v>
      </c>
    </row>
    <row r="5" spans="1:8" ht="28.8">
      <c r="A5" s="1" t="s">
        <v>53</v>
      </c>
      <c r="B5" s="1" t="s">
        <v>13</v>
      </c>
      <c r="C5" s="1" t="s">
        <v>4277</v>
      </c>
      <c r="D5" s="1" t="s">
        <v>10</v>
      </c>
      <c r="E5" s="12">
        <f>F5</f>
        <v>1</v>
      </c>
      <c r="F5" s="12">
        <f>SI!E7</f>
        <v>1</v>
      </c>
      <c r="G5" s="1" t="s">
        <v>13</v>
      </c>
      <c r="H5" s="1" t="s">
        <v>309</v>
      </c>
    </row>
    <row r="6" spans="1:8" ht="28.8">
      <c r="A6" s="1" t="s">
        <v>53</v>
      </c>
      <c r="B6" s="1" t="s">
        <v>13</v>
      </c>
      <c r="C6" s="1" t="s">
        <v>4277</v>
      </c>
      <c r="D6" s="1" t="s">
        <v>10</v>
      </c>
      <c r="E6" s="12">
        <f>F6</f>
        <v>1</v>
      </c>
      <c r="F6" s="12">
        <f>SI!E7</f>
        <v>1</v>
      </c>
      <c r="G6" s="1" t="s">
        <v>13</v>
      </c>
      <c r="H6" s="1" t="s">
        <v>42</v>
      </c>
    </row>
    <row r="7" spans="1:8" ht="28.8">
      <c r="A7" s="1" t="s">
        <v>5739</v>
      </c>
      <c r="B7" s="1" t="s">
        <v>26</v>
      </c>
      <c r="C7" s="1" t="s">
        <v>4277</v>
      </c>
      <c r="D7" s="1" t="s">
        <v>10</v>
      </c>
      <c r="E7" s="12">
        <f>0.99985*F7</f>
        <v>0.99985000000000002</v>
      </c>
      <c r="F7" s="12">
        <f>SI!E7</f>
        <v>1</v>
      </c>
      <c r="G7" s="1" t="s">
        <v>13</v>
      </c>
      <c r="H7" s="1" t="s">
        <v>141</v>
      </c>
    </row>
    <row r="8" spans="1:8" ht="28.8">
      <c r="A8" s="1" t="s">
        <v>5739</v>
      </c>
      <c r="B8" s="1" t="s">
        <v>26</v>
      </c>
      <c r="C8" s="1" t="s">
        <v>4277</v>
      </c>
      <c r="D8" s="1" t="s">
        <v>10</v>
      </c>
      <c r="E8" s="12">
        <f>0.99985*F8</f>
        <v>0.99985000000000002</v>
      </c>
      <c r="F8" s="12">
        <f>SI!E7</f>
        <v>1</v>
      </c>
      <c r="G8" s="1" t="s">
        <v>13</v>
      </c>
      <c r="H8" s="1" t="s">
        <v>58</v>
      </c>
    </row>
    <row r="9" spans="1:8" ht="28.8">
      <c r="A9" s="1" t="s">
        <v>55</v>
      </c>
      <c r="B9" s="1" t="s">
        <v>5740</v>
      </c>
      <c r="C9" s="1" t="s">
        <v>4277</v>
      </c>
      <c r="D9" s="1" t="s">
        <v>10</v>
      </c>
      <c r="E9" s="12">
        <f>F9</f>
        <v>1</v>
      </c>
      <c r="F9" s="12">
        <f>SI!E7*(10/(4*PI())*(4*PI()/10))</f>
        <v>1</v>
      </c>
      <c r="G9" s="1" t="s">
        <v>13</v>
      </c>
      <c r="H9" s="1" t="s">
        <v>42</v>
      </c>
    </row>
    <row r="10" spans="1:8" ht="28.8">
      <c r="A10" s="1" t="s">
        <v>5741</v>
      </c>
      <c r="B10" s="1" t="s">
        <v>1195</v>
      </c>
      <c r="C10" s="1" t="s">
        <v>4277</v>
      </c>
      <c r="D10" s="1" t="s">
        <v>10</v>
      </c>
      <c r="E10" s="12">
        <f>F10</f>
        <v>6.6236182374958446E-3</v>
      </c>
      <c r="F10" s="12">
        <f>2*PI()*POWER('Physical Constants'!E4,3)*SI!E7/(4*PI()*'Physical Measurements'!E2*'Physical Measurements'!E5*'Physical Constants'!E2)</f>
        <v>6.6236182374958446E-3</v>
      </c>
      <c r="G10" s="1" t="s">
        <v>13</v>
      </c>
      <c r="H10" s="1" t="s">
        <v>6</v>
      </c>
    </row>
    <row r="11" spans="1:8" ht="28.8">
      <c r="A11" s="1" t="s">
        <v>93</v>
      </c>
      <c r="B11" s="1" t="s">
        <v>98</v>
      </c>
      <c r="C11" s="1" t="s">
        <v>4277</v>
      </c>
      <c r="D11" s="1" t="s">
        <v>10</v>
      </c>
      <c r="E11" s="12">
        <f>10*F11</f>
        <v>10</v>
      </c>
      <c r="F11" s="12">
        <f>SI!E7</f>
        <v>1</v>
      </c>
      <c r="G11" s="1" t="s">
        <v>13</v>
      </c>
      <c r="H11" s="1" t="s">
        <v>36</v>
      </c>
    </row>
    <row r="12" spans="1:8" ht="28.8">
      <c r="A12" s="1" t="s">
        <v>5742</v>
      </c>
      <c r="B12" s="1" t="s">
        <v>2963</v>
      </c>
      <c r="C12" s="1" t="s">
        <v>4277</v>
      </c>
      <c r="D12" s="1" t="s">
        <v>10</v>
      </c>
      <c r="E12" s="12">
        <f>10*F12</f>
        <v>10</v>
      </c>
      <c r="F12" s="12">
        <f>SI!E7</f>
        <v>1</v>
      </c>
      <c r="G12" s="1" t="s">
        <v>13</v>
      </c>
      <c r="H12" s="1" t="s">
        <v>36</v>
      </c>
    </row>
    <row r="13" spans="1:8" ht="28.8">
      <c r="A13" s="1" t="s">
        <v>530</v>
      </c>
      <c r="B13" s="1" t="s">
        <v>26</v>
      </c>
      <c r="C13" s="1" t="s">
        <v>4277</v>
      </c>
      <c r="D13" s="1" t="s">
        <v>10</v>
      </c>
      <c r="E13" s="12">
        <f>F13</f>
        <v>1</v>
      </c>
      <c r="F13" s="12">
        <f>SI!E7</f>
        <v>1</v>
      </c>
      <c r="G13" s="1" t="s">
        <v>13</v>
      </c>
      <c r="H13" s="1" t="s">
        <v>982</v>
      </c>
    </row>
    <row r="14" spans="1:8" ht="28.8">
      <c r="A14" s="1" t="s">
        <v>222</v>
      </c>
      <c r="B14" s="1" t="s">
        <v>223</v>
      </c>
      <c r="C14" s="1" t="s">
        <v>4277</v>
      </c>
      <c r="D14" s="1" t="s">
        <v>10</v>
      </c>
      <c r="E14" s="12">
        <f>F14</f>
        <v>0.79577471545947676</v>
      </c>
      <c r="F14" s="12">
        <f>10*SI!E7/(4*PI())</f>
        <v>0.79577471545947676</v>
      </c>
      <c r="G14" s="1" t="s">
        <v>13</v>
      </c>
      <c r="H14" s="1" t="s">
        <v>36</v>
      </c>
    </row>
    <row r="15" spans="1:8" ht="28.8">
      <c r="A15" s="1" t="s">
        <v>7522</v>
      </c>
      <c r="B15" s="1" t="s">
        <v>26</v>
      </c>
      <c r="C15" s="1" t="s">
        <v>4277</v>
      </c>
      <c r="D15" s="1" t="s">
        <v>10</v>
      </c>
      <c r="E15" s="12">
        <f>4*PI()*F15</f>
        <v>12.566370614359172</v>
      </c>
      <c r="F15" s="12">
        <f>SI!E7</f>
        <v>1</v>
      </c>
      <c r="G15" s="1" t="s">
        <v>13</v>
      </c>
      <c r="H15" s="1" t="s">
        <v>982</v>
      </c>
    </row>
    <row r="16" spans="1:8" ht="28.8">
      <c r="A16" s="1" t="s">
        <v>2561</v>
      </c>
      <c r="B16" s="1" t="s">
        <v>3000</v>
      </c>
      <c r="C16" s="1" t="s">
        <v>4277</v>
      </c>
      <c r="D16" s="1" t="s">
        <v>10</v>
      </c>
      <c r="E16" s="12">
        <f>F16/(10*'Physical Constants'!E3)</f>
        <v>3.3356409519815207E-10</v>
      </c>
      <c r="F16" s="12">
        <f>SI!E7</f>
        <v>1</v>
      </c>
      <c r="G16" s="1" t="s">
        <v>13</v>
      </c>
      <c r="H16" s="1" t="s">
        <v>36</v>
      </c>
    </row>
    <row r="17" spans="1:8">
      <c r="A17" s="248"/>
      <c r="B17" s="248"/>
      <c r="C17" s="248"/>
      <c r="D17" s="248"/>
      <c r="E17" s="250"/>
      <c r="F17" s="250"/>
      <c r="G17" s="248"/>
      <c r="H17" s="248"/>
    </row>
    <row r="18" spans="1:8" ht="28.8">
      <c r="A18" s="1" t="s">
        <v>6909</v>
      </c>
      <c r="B18" s="1" t="s">
        <v>3032</v>
      </c>
      <c r="C18" s="1" t="s">
        <v>4278</v>
      </c>
      <c r="D18" s="1" t="s">
        <v>2866</v>
      </c>
      <c r="E18" s="12">
        <f>10*F18</f>
        <v>10</v>
      </c>
      <c r="F18" s="12">
        <f>SI!E7*SI!E4</f>
        <v>1</v>
      </c>
      <c r="G18" s="1" t="s">
        <v>189</v>
      </c>
      <c r="H18" s="1" t="s">
        <v>36</v>
      </c>
    </row>
    <row r="19" spans="1:8" ht="28.8">
      <c r="A19" s="1" t="s">
        <v>54</v>
      </c>
      <c r="B19" s="1" t="s">
        <v>6263</v>
      </c>
      <c r="C19" s="1" t="s">
        <v>4278</v>
      </c>
      <c r="D19" s="1" t="s">
        <v>2866</v>
      </c>
      <c r="E19" s="12">
        <f>F19</f>
        <v>3600</v>
      </c>
      <c r="F19" s="12">
        <f>'Physical Definitions'!E5*SI!E7*SI!E4</f>
        <v>3600</v>
      </c>
      <c r="G19" s="1" t="s">
        <v>189</v>
      </c>
      <c r="H19" s="1" t="s">
        <v>42</v>
      </c>
    </row>
    <row r="20" spans="1:8" ht="28.8">
      <c r="A20" s="1" t="s">
        <v>5743</v>
      </c>
      <c r="B20" s="1" t="s">
        <v>1193</v>
      </c>
      <c r="C20" s="1" t="s">
        <v>4278</v>
      </c>
      <c r="D20" s="1" t="s">
        <v>2866</v>
      </c>
      <c r="E20" s="12">
        <f>F20</f>
        <v>1.6021766339999999E-19</v>
      </c>
      <c r="F20" s="12">
        <f>'Physical Constants'!E4*SI!E7*SI!E4</f>
        <v>1.6021766339999999E-19</v>
      </c>
      <c r="G20" s="1" t="s">
        <v>189</v>
      </c>
      <c r="H20" s="1" t="s">
        <v>6</v>
      </c>
    </row>
    <row r="21" spans="1:8" ht="28.8">
      <c r="A21" s="1" t="s">
        <v>140</v>
      </c>
      <c r="B21" s="1" t="s">
        <v>12</v>
      </c>
      <c r="C21" s="1" t="s">
        <v>4278</v>
      </c>
      <c r="D21" s="1" t="s">
        <v>2866</v>
      </c>
      <c r="E21" s="12">
        <f>F21</f>
        <v>1</v>
      </c>
      <c r="F21" s="12">
        <f>SI!E7*SI!E4</f>
        <v>1</v>
      </c>
      <c r="G21" s="1" t="s">
        <v>189</v>
      </c>
      <c r="H21" s="1" t="s">
        <v>42</v>
      </c>
    </row>
    <row r="22" spans="1:8" ht="28.8">
      <c r="A22" s="1" t="s">
        <v>5744</v>
      </c>
      <c r="B22" s="1" t="s">
        <v>12</v>
      </c>
      <c r="C22" s="1" t="s">
        <v>4278</v>
      </c>
      <c r="D22" s="1" t="s">
        <v>2866</v>
      </c>
      <c r="E22" s="12">
        <f>1.0001650002206*F22</f>
        <v>1.0001650002206</v>
      </c>
      <c r="F22" s="166">
        <f>SI!E7*SI!E4</f>
        <v>1</v>
      </c>
      <c r="G22" s="1" t="s">
        <v>189</v>
      </c>
      <c r="H22" s="1" t="s">
        <v>141</v>
      </c>
    </row>
    <row r="23" spans="1:8" ht="28.8">
      <c r="A23" s="1" t="s">
        <v>5745</v>
      </c>
      <c r="B23" s="1" t="s">
        <v>26</v>
      </c>
      <c r="C23" s="1" t="s">
        <v>4278</v>
      </c>
      <c r="D23" s="1" t="s">
        <v>2866</v>
      </c>
      <c r="E23" s="12">
        <f>10*F23</f>
        <v>10</v>
      </c>
      <c r="F23" s="12">
        <f>SI!E7*SI!E4</f>
        <v>1</v>
      </c>
      <c r="G23" s="1" t="s">
        <v>189</v>
      </c>
      <c r="H23" s="1" t="s">
        <v>36</v>
      </c>
    </row>
    <row r="24" spans="1:8" ht="28.8">
      <c r="A24" s="1" t="s">
        <v>5746</v>
      </c>
      <c r="B24" s="1" t="s">
        <v>26</v>
      </c>
      <c r="C24" s="1" t="s">
        <v>4278</v>
      </c>
      <c r="D24" s="1" t="s">
        <v>2866</v>
      </c>
      <c r="E24" s="12">
        <f>F24</f>
        <v>3.3356409519815207E-10</v>
      </c>
      <c r="F24" s="12">
        <f>SI!E7*SI!E4/(10*'Physical Constants'!E3)</f>
        <v>3.3356409519815207E-10</v>
      </c>
      <c r="G24" s="1" t="s">
        <v>189</v>
      </c>
      <c r="H24" s="1" t="s">
        <v>36</v>
      </c>
    </row>
    <row r="25" spans="1:8" ht="28.8">
      <c r="A25" s="1" t="s">
        <v>205</v>
      </c>
      <c r="B25" s="1" t="s">
        <v>208</v>
      </c>
      <c r="C25" s="1" t="s">
        <v>4278</v>
      </c>
      <c r="D25" s="1" t="s">
        <v>2866</v>
      </c>
      <c r="E25" s="12">
        <f>F25</f>
        <v>3.3356409519815207E-10</v>
      </c>
      <c r="F25" s="12">
        <f>SI!E4*SI!E7/(10*'Physical Constants'!E3)</f>
        <v>3.3356409519815207E-10</v>
      </c>
      <c r="G25" s="1" t="s">
        <v>189</v>
      </c>
      <c r="H25" s="1" t="s">
        <v>36</v>
      </c>
    </row>
    <row r="26" spans="1:8" ht="28.8">
      <c r="A26" s="1" t="s">
        <v>2562</v>
      </c>
      <c r="B26" s="1" t="s">
        <v>3001</v>
      </c>
      <c r="C26" s="1" t="s">
        <v>4278</v>
      </c>
      <c r="D26" s="1" t="s">
        <v>2866</v>
      </c>
      <c r="E26" s="12">
        <f>F26/(10*'Physical Constants'!E3)</f>
        <v>3.3356409519815207E-10</v>
      </c>
      <c r="F26" s="12">
        <f>SI!E7*SI!E4</f>
        <v>1</v>
      </c>
      <c r="G26" s="1" t="s">
        <v>189</v>
      </c>
      <c r="H26" s="1" t="s">
        <v>36</v>
      </c>
    </row>
    <row r="27" spans="1:8" ht="28.8">
      <c r="A27" t="s">
        <v>3213</v>
      </c>
      <c r="B27" t="s">
        <v>3233</v>
      </c>
      <c r="C27" s="1" t="s">
        <v>4278</v>
      </c>
      <c r="D27" s="1" t="s">
        <v>2866</v>
      </c>
      <c r="E27" s="26">
        <f>1E+24*F27</f>
        <v>9.9999999999999998E+23</v>
      </c>
      <c r="F27" s="12">
        <f>SI!E7*SI!E4</f>
        <v>1</v>
      </c>
      <c r="G27" s="1" t="s">
        <v>189</v>
      </c>
      <c r="H27" s="1" t="s">
        <v>42</v>
      </c>
    </row>
    <row r="28" spans="1:8" ht="28.8">
      <c r="A28" t="s">
        <v>3214</v>
      </c>
      <c r="B28" t="s">
        <v>3234</v>
      </c>
      <c r="C28" s="1" t="s">
        <v>4278</v>
      </c>
      <c r="D28" s="1" t="s">
        <v>2866</v>
      </c>
      <c r="E28" s="26">
        <f>1E+21*F28</f>
        <v>1E+21</v>
      </c>
      <c r="F28" s="12">
        <f>SI!E7*SI!E4</f>
        <v>1</v>
      </c>
      <c r="G28" s="1" t="s">
        <v>189</v>
      </c>
      <c r="H28" s="1" t="s">
        <v>42</v>
      </c>
    </row>
    <row r="29" spans="1:8" ht="28.8">
      <c r="A29" t="s">
        <v>3215</v>
      </c>
      <c r="B29" t="s">
        <v>3235</v>
      </c>
      <c r="C29" s="1" t="s">
        <v>4278</v>
      </c>
      <c r="D29" s="1" t="s">
        <v>2866</v>
      </c>
      <c r="E29" s="26">
        <f>1000000000000000000*F29</f>
        <v>1E+18</v>
      </c>
      <c r="F29" s="12">
        <f>SI!E7*SI!E4</f>
        <v>1</v>
      </c>
      <c r="G29" s="1" t="s">
        <v>189</v>
      </c>
      <c r="H29" s="1" t="s">
        <v>42</v>
      </c>
    </row>
    <row r="30" spans="1:8" ht="28.8">
      <c r="A30" t="s">
        <v>3216</v>
      </c>
      <c r="B30" t="s">
        <v>3236</v>
      </c>
      <c r="C30" s="1" t="s">
        <v>4278</v>
      </c>
      <c r="D30" s="1" t="s">
        <v>2866</v>
      </c>
      <c r="E30" s="26">
        <f>1000000000000000*F30</f>
        <v>1000000000000000</v>
      </c>
      <c r="F30" s="12">
        <f>SI!E7*SI!E4</f>
        <v>1</v>
      </c>
      <c r="G30" s="1" t="s">
        <v>189</v>
      </c>
      <c r="H30" s="1" t="s">
        <v>42</v>
      </c>
    </row>
    <row r="31" spans="1:8" ht="28.8">
      <c r="A31" t="s">
        <v>3217</v>
      </c>
      <c r="B31" t="s">
        <v>3237</v>
      </c>
      <c r="C31" s="1" t="s">
        <v>4278</v>
      </c>
      <c r="D31" s="1" t="s">
        <v>2866</v>
      </c>
      <c r="E31" s="26">
        <f>1000000000000*F31</f>
        <v>1000000000000</v>
      </c>
      <c r="F31" s="12">
        <f>SI!E7*SI!E4</f>
        <v>1</v>
      </c>
      <c r="G31" s="1" t="s">
        <v>189</v>
      </c>
      <c r="H31" s="1" t="s">
        <v>42</v>
      </c>
    </row>
    <row r="32" spans="1:8" ht="28.8">
      <c r="A32" t="s">
        <v>3218</v>
      </c>
      <c r="B32" t="s">
        <v>3238</v>
      </c>
      <c r="C32" s="1" t="s">
        <v>4278</v>
      </c>
      <c r="D32" s="1" t="s">
        <v>2866</v>
      </c>
      <c r="E32" s="26">
        <f>1000000000*F32</f>
        <v>1000000000</v>
      </c>
      <c r="F32" s="12">
        <f>SI!E7*SI!E4</f>
        <v>1</v>
      </c>
      <c r="G32" s="1" t="s">
        <v>189</v>
      </c>
      <c r="H32" s="1" t="s">
        <v>42</v>
      </c>
    </row>
    <row r="33" spans="1:8" ht="28.8">
      <c r="A33" t="s">
        <v>3219</v>
      </c>
      <c r="B33" t="s">
        <v>3239</v>
      </c>
      <c r="C33" s="1" t="s">
        <v>4278</v>
      </c>
      <c r="D33" s="1" t="s">
        <v>2866</v>
      </c>
      <c r="E33" s="26">
        <f>1000000*F33</f>
        <v>1000000</v>
      </c>
      <c r="F33" s="12">
        <f>SI!E7*SI!E4</f>
        <v>1</v>
      </c>
      <c r="G33" s="1" t="s">
        <v>189</v>
      </c>
      <c r="H33" s="1" t="s">
        <v>42</v>
      </c>
    </row>
    <row r="34" spans="1:8" ht="28.8">
      <c r="A34" t="s">
        <v>3220</v>
      </c>
      <c r="B34" t="s">
        <v>3240</v>
      </c>
      <c r="C34" s="1" t="s">
        <v>4278</v>
      </c>
      <c r="D34" s="1" t="s">
        <v>2866</v>
      </c>
      <c r="E34" s="26">
        <f>1000*F34</f>
        <v>1000</v>
      </c>
      <c r="F34" s="12">
        <f>SI!E7*SI!E4</f>
        <v>1</v>
      </c>
      <c r="G34" s="1" t="s">
        <v>189</v>
      </c>
      <c r="H34" s="1" t="s">
        <v>42</v>
      </c>
    </row>
    <row r="35" spans="1:8" ht="28.8">
      <c r="A35" t="s">
        <v>3221</v>
      </c>
      <c r="B35" t="s">
        <v>3241</v>
      </c>
      <c r="C35" s="1" t="s">
        <v>4278</v>
      </c>
      <c r="D35" s="1" t="s">
        <v>2866</v>
      </c>
      <c r="E35" s="26">
        <f>100*F35</f>
        <v>100</v>
      </c>
      <c r="F35" s="12">
        <f>SI!E7*SI!E4</f>
        <v>1</v>
      </c>
      <c r="G35" s="1" t="s">
        <v>189</v>
      </c>
      <c r="H35" s="1" t="s">
        <v>42</v>
      </c>
    </row>
    <row r="36" spans="1:8" ht="28.8">
      <c r="A36" t="s">
        <v>3222</v>
      </c>
      <c r="B36" t="s">
        <v>3242</v>
      </c>
      <c r="C36" s="1" t="s">
        <v>4278</v>
      </c>
      <c r="D36" s="1" t="s">
        <v>2866</v>
      </c>
      <c r="E36" s="26">
        <f>10*F36</f>
        <v>10</v>
      </c>
      <c r="F36" s="12">
        <f>SI!E7*SI!E4</f>
        <v>1</v>
      </c>
      <c r="G36" s="1" t="s">
        <v>189</v>
      </c>
      <c r="H36" s="1" t="s">
        <v>42</v>
      </c>
    </row>
    <row r="37" spans="1:8" ht="28.8">
      <c r="A37" t="s">
        <v>3223</v>
      </c>
      <c r="B37" t="s">
        <v>3243</v>
      </c>
      <c r="C37" s="1" t="s">
        <v>4278</v>
      </c>
      <c r="D37" s="1" t="s">
        <v>2866</v>
      </c>
      <c r="E37" s="26">
        <f>0.1*F37</f>
        <v>0.1</v>
      </c>
      <c r="F37" s="12">
        <f>SI!E7*SI!E4</f>
        <v>1</v>
      </c>
      <c r="G37" s="1" t="s">
        <v>189</v>
      </c>
      <c r="H37" s="1" t="s">
        <v>42</v>
      </c>
    </row>
    <row r="38" spans="1:8" ht="28.8">
      <c r="A38" t="s">
        <v>3224</v>
      </c>
      <c r="B38" t="s">
        <v>3244</v>
      </c>
      <c r="C38" s="1" t="s">
        <v>4278</v>
      </c>
      <c r="D38" s="1" t="s">
        <v>2866</v>
      </c>
      <c r="E38" s="26">
        <f>0.01*F38</f>
        <v>0.01</v>
      </c>
      <c r="F38" s="12">
        <f>SI!E7*SI!E4</f>
        <v>1</v>
      </c>
      <c r="G38" s="1" t="s">
        <v>189</v>
      </c>
      <c r="H38" s="1" t="s">
        <v>42</v>
      </c>
    </row>
    <row r="39" spans="1:8" ht="28.8">
      <c r="A39" t="s">
        <v>3225</v>
      </c>
      <c r="B39" t="s">
        <v>3245</v>
      </c>
      <c r="C39" s="1" t="s">
        <v>4278</v>
      </c>
      <c r="D39" s="1" t="s">
        <v>2866</v>
      </c>
      <c r="E39" s="26">
        <f>0.001*F39</f>
        <v>1E-3</v>
      </c>
      <c r="F39" s="12">
        <f>SI!E7*SI!E4</f>
        <v>1</v>
      </c>
      <c r="G39" s="1" t="s">
        <v>189</v>
      </c>
      <c r="H39" s="1" t="s">
        <v>42</v>
      </c>
    </row>
    <row r="40" spans="1:8" ht="28.8">
      <c r="A40" t="s">
        <v>3226</v>
      </c>
      <c r="B40" t="s">
        <v>3246</v>
      </c>
      <c r="C40" s="1" t="s">
        <v>4278</v>
      </c>
      <c r="D40" s="1" t="s">
        <v>2866</v>
      </c>
      <c r="E40" s="26">
        <f>0.000001*F40</f>
        <v>9.9999999999999995E-7</v>
      </c>
      <c r="F40" s="12">
        <f>SI!E7*SI!E4</f>
        <v>1</v>
      </c>
      <c r="G40" s="1" t="s">
        <v>189</v>
      </c>
      <c r="H40" s="1" t="s">
        <v>42</v>
      </c>
    </row>
    <row r="41" spans="1:8" ht="28.8">
      <c r="A41" t="s">
        <v>3227</v>
      </c>
      <c r="B41" t="s">
        <v>3247</v>
      </c>
      <c r="C41" s="1" t="s">
        <v>4278</v>
      </c>
      <c r="D41" s="1" t="s">
        <v>2866</v>
      </c>
      <c r="E41" s="26">
        <f>0.000000001*F41</f>
        <v>1.0000000000000001E-9</v>
      </c>
      <c r="F41" s="12">
        <f>SI!E7*SI!E4</f>
        <v>1</v>
      </c>
      <c r="G41" s="1" t="s">
        <v>189</v>
      </c>
      <c r="H41" s="1" t="s">
        <v>42</v>
      </c>
    </row>
    <row r="42" spans="1:8" ht="28.8">
      <c r="A42" t="s">
        <v>3228</v>
      </c>
      <c r="B42" t="s">
        <v>3248</v>
      </c>
      <c r="C42" s="1" t="s">
        <v>4278</v>
      </c>
      <c r="D42" s="1" t="s">
        <v>2866</v>
      </c>
      <c r="E42" s="26">
        <f>0.000000000001*F42</f>
        <v>9.9999999999999998E-13</v>
      </c>
      <c r="F42" s="12">
        <f>SI!E7*SI!E4</f>
        <v>1</v>
      </c>
      <c r="G42" s="1" t="s">
        <v>189</v>
      </c>
      <c r="H42" s="1" t="s">
        <v>42</v>
      </c>
    </row>
    <row r="43" spans="1:8" ht="28.8">
      <c r="A43" t="s">
        <v>3229</v>
      </c>
      <c r="B43" t="s">
        <v>3249</v>
      </c>
      <c r="C43" s="1" t="s">
        <v>4278</v>
      </c>
      <c r="D43" s="1" t="s">
        <v>2866</v>
      </c>
      <c r="E43" s="26">
        <f>0.000000000000001*F43</f>
        <v>1.0000000000000001E-15</v>
      </c>
      <c r="F43" s="12">
        <f>SI!E7*SI!E4</f>
        <v>1</v>
      </c>
      <c r="G43" s="1" t="s">
        <v>189</v>
      </c>
      <c r="H43" s="1" t="s">
        <v>42</v>
      </c>
    </row>
    <row r="44" spans="1:8" ht="28.8">
      <c r="A44" t="s">
        <v>3230</v>
      </c>
      <c r="B44" t="s">
        <v>3032</v>
      </c>
      <c r="C44" s="1" t="s">
        <v>4278</v>
      </c>
      <c r="D44" s="1" t="s">
        <v>2866</v>
      </c>
      <c r="E44" s="26">
        <f>0.000000000000000001*F44</f>
        <v>1.0000000000000001E-18</v>
      </c>
      <c r="F44" s="12">
        <f>SI!E7*SI!E4</f>
        <v>1</v>
      </c>
      <c r="G44" s="1" t="s">
        <v>189</v>
      </c>
      <c r="H44" s="1" t="s">
        <v>42</v>
      </c>
    </row>
    <row r="45" spans="1:8" ht="28.8">
      <c r="A45" t="s">
        <v>3231</v>
      </c>
      <c r="B45" t="s">
        <v>3250</v>
      </c>
      <c r="C45" s="1" t="s">
        <v>4278</v>
      </c>
      <c r="D45" s="1" t="s">
        <v>2866</v>
      </c>
      <c r="E45" s="26">
        <f>1E-21*F45</f>
        <v>9.9999999999999991E-22</v>
      </c>
      <c r="F45" s="12">
        <f>SI!E7*SI!E4</f>
        <v>1</v>
      </c>
      <c r="G45" s="1" t="s">
        <v>189</v>
      </c>
      <c r="H45" s="1" t="s">
        <v>42</v>
      </c>
    </row>
    <row r="46" spans="1:8" ht="28.8">
      <c r="A46" t="s">
        <v>3232</v>
      </c>
      <c r="B46" t="s">
        <v>3251</v>
      </c>
      <c r="C46" s="1" t="s">
        <v>4278</v>
      </c>
      <c r="D46" s="1" t="s">
        <v>2866</v>
      </c>
      <c r="E46" s="26">
        <f>1E-24*F46</f>
        <v>9.9999999999999992E-25</v>
      </c>
      <c r="F46" s="12">
        <f>SI!E7*SI!E4</f>
        <v>1</v>
      </c>
      <c r="G46" s="1" t="s">
        <v>189</v>
      </c>
      <c r="H46" s="1" t="s">
        <v>42</v>
      </c>
    </row>
    <row r="47" spans="1:8">
      <c r="A47" s="48"/>
      <c r="B47" s="48"/>
      <c r="C47" s="48"/>
      <c r="D47" s="48"/>
      <c r="E47" s="266"/>
      <c r="F47" s="48"/>
      <c r="G47" s="48"/>
      <c r="H47" s="48"/>
    </row>
    <row r="48" spans="1:8">
      <c r="A48" s="1" t="s">
        <v>5747</v>
      </c>
      <c r="B48" s="1" t="s">
        <v>1095</v>
      </c>
      <c r="C48" s="1" t="s">
        <v>4279</v>
      </c>
      <c r="D48" s="1" t="s">
        <v>2887</v>
      </c>
      <c r="E48" s="12">
        <f>F48</f>
        <v>1</v>
      </c>
      <c r="F48" s="12">
        <f>SI!E7/SI!E3</f>
        <v>1</v>
      </c>
      <c r="G48" s="1" t="s">
        <v>1095</v>
      </c>
      <c r="H48" s="1" t="s">
        <v>42</v>
      </c>
    </row>
    <row r="49" spans="1:8">
      <c r="A49" s="1" t="s">
        <v>271</v>
      </c>
      <c r="B49" s="1" t="s">
        <v>26</v>
      </c>
      <c r="C49" s="1" t="s">
        <v>4279</v>
      </c>
      <c r="D49" s="1" t="s">
        <v>2887</v>
      </c>
      <c r="E49" s="12">
        <f>F49</f>
        <v>1</v>
      </c>
      <c r="F49" s="12">
        <f>SI!E7/SI!E3</f>
        <v>1</v>
      </c>
      <c r="G49" s="1" t="s">
        <v>1095</v>
      </c>
      <c r="H49" s="1" t="s">
        <v>982</v>
      </c>
    </row>
    <row r="50" spans="1:8">
      <c r="A50" s="1" t="s">
        <v>312</v>
      </c>
      <c r="B50" s="1" t="s">
        <v>313</v>
      </c>
      <c r="C50" s="1" t="s">
        <v>4279</v>
      </c>
      <c r="D50" s="1" t="s">
        <v>2887</v>
      </c>
      <c r="E50" s="12">
        <f>F50</f>
        <v>79.577471545947674</v>
      </c>
      <c r="F50" s="12">
        <f>(SI!E7/SI!E3)*(1000/(4*PI()))</f>
        <v>79.577471545947674</v>
      </c>
      <c r="G50" s="1" t="s">
        <v>1095</v>
      </c>
      <c r="H50" s="1" t="s">
        <v>36</v>
      </c>
    </row>
    <row r="51" spans="1:8">
      <c r="A51" s="1" t="s">
        <v>346</v>
      </c>
      <c r="B51" s="1" t="s">
        <v>26</v>
      </c>
      <c r="C51" s="1" t="s">
        <v>4279</v>
      </c>
      <c r="D51" s="1" t="s">
        <v>2887</v>
      </c>
      <c r="E51" s="12">
        <f>4*PI()*F51</f>
        <v>12.566370614359172</v>
      </c>
      <c r="F51" s="12">
        <f>SI!E7/SI!E3</f>
        <v>1</v>
      </c>
      <c r="G51" s="1" t="s">
        <v>1095</v>
      </c>
      <c r="H51" s="1" t="s">
        <v>982</v>
      </c>
    </row>
    <row r="52" spans="1:8">
      <c r="A52" s="248"/>
      <c r="B52" s="248"/>
      <c r="C52" s="248"/>
      <c r="D52" s="248"/>
      <c r="E52" s="250"/>
      <c r="F52" s="250"/>
      <c r="G52" s="248"/>
      <c r="H52" s="248"/>
    </row>
    <row r="53" spans="1:8" ht="16.5">
      <c r="A53" s="1" t="s">
        <v>5748</v>
      </c>
      <c r="B53" s="1" t="s">
        <v>26</v>
      </c>
      <c r="C53" s="1" t="s">
        <v>325</v>
      </c>
      <c r="D53" s="1" t="s">
        <v>2927</v>
      </c>
      <c r="E53" s="12">
        <f>F53</f>
        <v>5.7213578838886258E-11</v>
      </c>
      <c r="F53" s="12">
        <f>(SI!E4/SI!E3)*(Systems!L6/7000)/('Physical Definitions'!E5*POWER(Systems!D6,2)*(Systems!D6/12)*'Physical Measurements'!E8*'Physical Definitions'!E13)</f>
        <v>5.7213578838886258E-11</v>
      </c>
      <c r="G53" s="1" t="s">
        <v>1140</v>
      </c>
      <c r="H53" s="1" t="s">
        <v>47</v>
      </c>
    </row>
    <row r="54" spans="1:8" ht="16.5">
      <c r="A54" s="1" t="s">
        <v>5749</v>
      </c>
      <c r="B54" s="1" t="s">
        <v>26</v>
      </c>
      <c r="C54" s="1" t="s">
        <v>325</v>
      </c>
      <c r="D54" s="1" t="s">
        <v>2927</v>
      </c>
      <c r="E54" s="12">
        <f>F54</f>
        <v>5.745608053073755E-11</v>
      </c>
      <c r="F54" s="12">
        <f>(SI!E4/SI!E3)*(Systems!L6/7000)/('Physical Definitions'!E5*POWER(Systems!D6,2)*(Systems!D6/12)*'Physical Measurements'!E16*'Physical Definitions'!E13)</f>
        <v>5.745608053073755E-11</v>
      </c>
      <c r="G54" s="1" t="s">
        <v>1140</v>
      </c>
      <c r="H54" s="1" t="s">
        <v>47</v>
      </c>
    </row>
    <row r="55" spans="1:8">
      <c r="A55" s="248"/>
      <c r="B55" s="248"/>
      <c r="C55" s="248"/>
      <c r="D55" s="248"/>
      <c r="E55" s="250"/>
      <c r="F55" s="250"/>
      <c r="G55" s="248"/>
      <c r="H55" s="248"/>
    </row>
    <row r="56" spans="1:8" ht="16.5">
      <c r="A56" s="1" t="s">
        <v>5751</v>
      </c>
      <c r="B56" s="1" t="s">
        <v>5750</v>
      </c>
      <c r="C56" s="1" t="s">
        <v>4280</v>
      </c>
      <c r="D56" s="1" t="s">
        <v>2878</v>
      </c>
      <c r="E56" s="12">
        <f t="shared" ref="E56:E61" si="0">F56</f>
        <v>1</v>
      </c>
      <c r="F56" s="12">
        <f>SI!E7*POWER(SI!E3,2)</f>
        <v>1</v>
      </c>
      <c r="G56" s="1" t="s">
        <v>179</v>
      </c>
      <c r="H56" s="1" t="s">
        <v>42</v>
      </c>
    </row>
    <row r="57" spans="1:8" ht="16.5">
      <c r="A57" s="1" t="s">
        <v>5752</v>
      </c>
      <c r="B57" s="1" t="s">
        <v>1200</v>
      </c>
      <c r="C57" s="1" t="s">
        <v>4280</v>
      </c>
      <c r="D57" s="1" t="s">
        <v>2878</v>
      </c>
      <c r="E57" s="12">
        <f t="shared" si="0"/>
        <v>1.8548020156724324E-23</v>
      </c>
      <c r="F57" s="12">
        <f>SI!E7*POWER(SI!E3,2)*'Physical Constants'!E4*'Physical Constants'!E2/(2*PI()*'Physical Measurements'!E4)</f>
        <v>1.8548020156724324E-23</v>
      </c>
      <c r="G57" s="1" t="s">
        <v>179</v>
      </c>
      <c r="H57" s="1" t="s">
        <v>6</v>
      </c>
    </row>
    <row r="58" spans="1:8" ht="16.5">
      <c r="A58" s="1" t="s">
        <v>7433</v>
      </c>
      <c r="B58" s="1" t="s">
        <v>3006</v>
      </c>
      <c r="C58" s="1" t="s">
        <v>4280</v>
      </c>
      <c r="D58" s="1" t="s">
        <v>2878</v>
      </c>
      <c r="E58" s="12">
        <f t="shared" si="0"/>
        <v>9.2740100783621621E-24</v>
      </c>
      <c r="F58" s="12">
        <f>SI!E7*POWER(SI!E3,2)*'Physical Constants'!E4*'Physical Constants'!E2/(4*PI()*'Physical Measurements'!E4)</f>
        <v>9.2740100783621621E-24</v>
      </c>
      <c r="G58" s="1" t="s">
        <v>179</v>
      </c>
      <c r="H58" s="1" t="s">
        <v>982</v>
      </c>
    </row>
    <row r="59" spans="1:8" ht="16.5">
      <c r="A59" s="1" t="s">
        <v>7432</v>
      </c>
      <c r="B59" s="1" t="s">
        <v>26</v>
      </c>
      <c r="C59" s="1" t="s">
        <v>4280</v>
      </c>
      <c r="D59" s="1" t="s">
        <v>2878</v>
      </c>
      <c r="E59" s="12">
        <f t="shared" si="0"/>
        <v>9.2740100783621621E-24</v>
      </c>
      <c r="F59" s="12">
        <f>SI!E7*POWER(SI!E3,2)*'Physical Constants'!E4*'Physical Constants'!E2/(4*PI()*'Physical Measurements'!E4)</f>
        <v>9.2740100783621621E-24</v>
      </c>
      <c r="G59" s="1" t="s">
        <v>179</v>
      </c>
      <c r="H59" s="1" t="s">
        <v>982</v>
      </c>
    </row>
    <row r="60" spans="1:8" ht="16.5">
      <c r="A60" s="1" t="s">
        <v>5753</v>
      </c>
      <c r="B60" s="1" t="s">
        <v>3007</v>
      </c>
      <c r="C60" s="1" t="s">
        <v>4280</v>
      </c>
      <c r="D60" s="1" t="s">
        <v>2878</v>
      </c>
      <c r="E60" s="12">
        <f t="shared" si="0"/>
        <v>5.0507837460963742E-27</v>
      </c>
      <c r="F60" s="12">
        <f>SI!E7*POWER(SI!E3,2)*'Physical Constants'!E4*'Physical Constants'!E2/(4*PI()*'Physical Measurements'!E14)</f>
        <v>5.0507837460963742E-27</v>
      </c>
      <c r="G60" s="1" t="s">
        <v>179</v>
      </c>
      <c r="H60" s="1" t="s">
        <v>982</v>
      </c>
    </row>
    <row r="61" spans="1:8" ht="16.5">
      <c r="A61" s="1" t="s">
        <v>5754</v>
      </c>
      <c r="B61" s="1" t="s">
        <v>26</v>
      </c>
      <c r="C61" s="1" t="s">
        <v>4280</v>
      </c>
      <c r="D61" s="1" t="s">
        <v>2878</v>
      </c>
      <c r="E61" s="12">
        <f t="shared" si="0"/>
        <v>5.0507837460963742E-27</v>
      </c>
      <c r="F61" s="12">
        <f>SI!E7*POWER(SI!E3,2)*'Physical Constants'!E4*'Physical Constants'!E2/(4*PI()*'Physical Measurements'!E14)</f>
        <v>5.0507837460963742E-27</v>
      </c>
      <c r="G61" s="1" t="s">
        <v>179</v>
      </c>
      <c r="H61" s="1" t="s">
        <v>982</v>
      </c>
    </row>
    <row r="62" spans="1:8">
      <c r="A62" s="248"/>
      <c r="B62" s="248"/>
      <c r="C62" s="248"/>
      <c r="D62" s="248"/>
      <c r="E62" s="250"/>
      <c r="F62" s="250"/>
      <c r="G62" s="248"/>
      <c r="H62" s="248"/>
    </row>
    <row r="63" spans="1:8" ht="28.8">
      <c r="A63" s="1" t="s">
        <v>5755</v>
      </c>
      <c r="B63" s="1" t="s">
        <v>4136</v>
      </c>
      <c r="C63" s="1" t="s">
        <v>4281</v>
      </c>
      <c r="D63" s="1" t="s">
        <v>2900</v>
      </c>
      <c r="E63" s="12">
        <f>F63/POWER(Systems!D6/12,2)</f>
        <v>1550.0031000061997</v>
      </c>
      <c r="F63" s="12">
        <f>SI!E7/POWER(SI!E3,2)</f>
        <v>1</v>
      </c>
      <c r="G63" s="1" t="s">
        <v>1096</v>
      </c>
      <c r="H63" s="1" t="s">
        <v>1148</v>
      </c>
    </row>
    <row r="64" spans="1:8" ht="28.8">
      <c r="A64" s="1" t="s">
        <v>5756</v>
      </c>
      <c r="B64" s="1" t="s">
        <v>4135</v>
      </c>
      <c r="C64" s="1" t="s">
        <v>4281</v>
      </c>
      <c r="D64" s="1" t="s">
        <v>2900</v>
      </c>
      <c r="E64" s="12">
        <f>F64/POWER(Systems!D6,2)</f>
        <v>10.763910416709722</v>
      </c>
      <c r="F64" s="12">
        <f>SI!E7/POWER(SI!E3,2)</f>
        <v>1</v>
      </c>
      <c r="G64" s="1" t="s">
        <v>1096</v>
      </c>
      <c r="H64" s="1" t="s">
        <v>1148</v>
      </c>
    </row>
    <row r="65" spans="1:8" ht="28.8">
      <c r="A65" s="1" t="s">
        <v>5757</v>
      </c>
      <c r="B65" s="1" t="s">
        <v>4134</v>
      </c>
      <c r="C65" s="1" t="s">
        <v>4281</v>
      </c>
      <c r="D65" s="1" t="s">
        <v>2900</v>
      </c>
      <c r="E65" s="12">
        <f>F65/POWER(3*Systems!D6,2)</f>
        <v>1.19599004630108</v>
      </c>
      <c r="F65" s="12">
        <f>SI!E7/POWER(SI!E3,2)</f>
        <v>1</v>
      </c>
      <c r="G65" s="1" t="s">
        <v>1096</v>
      </c>
      <c r="H65" s="1" t="s">
        <v>1148</v>
      </c>
    </row>
    <row r="66" spans="1:8" ht="28.8">
      <c r="A66" s="1" t="s">
        <v>5758</v>
      </c>
      <c r="B66" s="1" t="s">
        <v>4145</v>
      </c>
      <c r="C66" s="1" t="s">
        <v>4281</v>
      </c>
      <c r="D66" s="1" t="s">
        <v>2900</v>
      </c>
      <c r="E66" s="12">
        <f>0.001*F63/POWER(Systems!D6/12,2)</f>
        <v>1.5500031000061998</v>
      </c>
      <c r="F66" s="12">
        <f>SI!E7/POWER(SI!E3,2)</f>
        <v>1</v>
      </c>
      <c r="G66" s="1" t="s">
        <v>1096</v>
      </c>
      <c r="H66" s="1" t="s">
        <v>1148</v>
      </c>
    </row>
    <row r="67" spans="1:8" ht="28.8">
      <c r="A67" s="1" t="s">
        <v>5759</v>
      </c>
      <c r="B67" s="1" t="s">
        <v>4146</v>
      </c>
      <c r="C67" s="1" t="s">
        <v>4281</v>
      </c>
      <c r="D67" s="1" t="s">
        <v>2900</v>
      </c>
      <c r="E67" s="12">
        <f>0.001*F64/POWER(Systems!D6,2)</f>
        <v>1.0763910416709722E-2</v>
      </c>
      <c r="F67" s="12">
        <f>SI!E7/POWER(SI!E3,2)</f>
        <v>1</v>
      </c>
      <c r="G67" s="1" t="s">
        <v>1096</v>
      </c>
      <c r="H67" s="1" t="s">
        <v>1148</v>
      </c>
    </row>
    <row r="68" spans="1:8" ht="28.8">
      <c r="A68" s="1" t="s">
        <v>5760</v>
      </c>
      <c r="B68" s="1" t="s">
        <v>4147</v>
      </c>
      <c r="C68" s="1" t="s">
        <v>4281</v>
      </c>
      <c r="D68" s="1" t="s">
        <v>2900</v>
      </c>
      <c r="E68" s="12">
        <f>0.001*F64/POWER(3*Systems!D6,2)</f>
        <v>1.19599004630108E-3</v>
      </c>
      <c r="F68" s="12">
        <f>SI!E7/POWER(SI!E3,2)</f>
        <v>1</v>
      </c>
      <c r="G68" s="1" t="s">
        <v>1096</v>
      </c>
      <c r="H68" s="1" t="s">
        <v>1148</v>
      </c>
    </row>
    <row r="69" spans="1:8" ht="28.8">
      <c r="A69" s="1" t="s">
        <v>5761</v>
      </c>
      <c r="B69" s="1" t="s">
        <v>4154</v>
      </c>
      <c r="C69" s="1" t="s">
        <v>4281</v>
      </c>
      <c r="D69" s="1" t="s">
        <v>2900</v>
      </c>
      <c r="E69" s="12">
        <f>0.000001*F69/POWER(Systems!D6/12,2)</f>
        <v>1.5500031000061998E-3</v>
      </c>
      <c r="F69" s="12">
        <f>SI!E7/POWER(SI!E3,2)</f>
        <v>1</v>
      </c>
      <c r="G69" s="1" t="s">
        <v>1096</v>
      </c>
      <c r="H69" s="1" t="s">
        <v>1148</v>
      </c>
    </row>
    <row r="70" spans="1:8" ht="28.8">
      <c r="A70" s="1" t="s">
        <v>5762</v>
      </c>
      <c r="B70" s="1" t="s">
        <v>4155</v>
      </c>
      <c r="C70" s="1" t="s">
        <v>4281</v>
      </c>
      <c r="D70" s="1" t="s">
        <v>2900</v>
      </c>
      <c r="E70" s="12">
        <f>0.000001*F70/POWER(Systems!D6,2)</f>
        <v>1.0763910416709721E-5</v>
      </c>
      <c r="F70" s="12">
        <f>SI!E7/POWER(SI!E3,2)</f>
        <v>1</v>
      </c>
      <c r="G70" s="1" t="s">
        <v>1096</v>
      </c>
      <c r="H70" s="1" t="s">
        <v>1148</v>
      </c>
    </row>
    <row r="71" spans="1:8" ht="28.8">
      <c r="A71" s="1" t="s">
        <v>5763</v>
      </c>
      <c r="B71" s="1" t="s">
        <v>4156</v>
      </c>
      <c r="C71" s="1" t="s">
        <v>4281</v>
      </c>
      <c r="D71" s="1" t="s">
        <v>2900</v>
      </c>
      <c r="E71" s="12">
        <f>0.000001*F67/POWER(3*Systems!D6,2)</f>
        <v>1.1959900463010799E-6</v>
      </c>
      <c r="F71" s="12">
        <f>SI!E10/POWER(SI!E6,2)</f>
        <v>1</v>
      </c>
      <c r="G71" s="1" t="s">
        <v>1096</v>
      </c>
      <c r="H71" s="1" t="s">
        <v>1148</v>
      </c>
    </row>
    <row r="72" spans="1:8" ht="28.8">
      <c r="A72" s="1" t="s">
        <v>5764</v>
      </c>
      <c r="B72" s="1" t="s">
        <v>1096</v>
      </c>
      <c r="C72" s="1" t="s">
        <v>4281</v>
      </c>
      <c r="D72" s="1" t="s">
        <v>2900</v>
      </c>
      <c r="E72" s="12">
        <f>F72</f>
        <v>1</v>
      </c>
      <c r="F72" s="12">
        <f>SI!E10/POWER(SI!E6,2)</f>
        <v>1</v>
      </c>
      <c r="G72" s="1" t="s">
        <v>1096</v>
      </c>
      <c r="H72" s="1" t="s">
        <v>42</v>
      </c>
    </row>
    <row r="73" spans="1:8" ht="28.8">
      <c r="A73" s="1" t="s">
        <v>5765</v>
      </c>
      <c r="B73" s="1" t="s">
        <v>1212</v>
      </c>
      <c r="C73" s="1" t="s">
        <v>4281</v>
      </c>
      <c r="D73" s="1" t="s">
        <v>2900</v>
      </c>
      <c r="E73" s="12">
        <f>F73/POWER('Physical Definitions'!E25,2)</f>
        <v>99.999999999999986</v>
      </c>
      <c r="F73" s="12">
        <f>SI!E7/POWER(SI!E3,2)</f>
        <v>1</v>
      </c>
      <c r="G73" s="1" t="s">
        <v>1096</v>
      </c>
      <c r="H73" s="1" t="s">
        <v>42</v>
      </c>
    </row>
    <row r="74" spans="1:8" ht="28.8">
      <c r="A74" s="1" t="s">
        <v>5766</v>
      </c>
      <c r="B74" s="1" t="s">
        <v>1211</v>
      </c>
      <c r="C74" s="1" t="s">
        <v>4281</v>
      </c>
      <c r="D74" s="1" t="s">
        <v>2900</v>
      </c>
      <c r="E74" s="12">
        <f>F74/POWER('Physical Definitions'!E22,2)</f>
        <v>10000</v>
      </c>
      <c r="F74" s="12">
        <f>SI!E7/POWER(SI!E3,2)</f>
        <v>1</v>
      </c>
      <c r="G74" s="1" t="s">
        <v>1096</v>
      </c>
      <c r="H74" s="1" t="s">
        <v>42</v>
      </c>
    </row>
    <row r="75" spans="1:8" ht="28.8">
      <c r="A75" s="1" t="s">
        <v>5767</v>
      </c>
      <c r="B75" s="1" t="s">
        <v>4137</v>
      </c>
      <c r="C75" s="1" t="s">
        <v>4281</v>
      </c>
      <c r="D75" s="1" t="s">
        <v>2900</v>
      </c>
      <c r="E75" s="12">
        <f>F75/POWER('Physical Definitions'!E21,2)</f>
        <v>1000000</v>
      </c>
      <c r="F75" s="12">
        <f>SI!E7/POWER(SI!E3,2)</f>
        <v>1</v>
      </c>
      <c r="G75" s="1" t="s">
        <v>1096</v>
      </c>
      <c r="H75" s="1" t="s">
        <v>42</v>
      </c>
    </row>
    <row r="76" spans="1:8" ht="28.8">
      <c r="A76" s="1" t="s">
        <v>5768</v>
      </c>
      <c r="B76" s="1" t="s">
        <v>4138</v>
      </c>
      <c r="C76" s="1" t="s">
        <v>4281</v>
      </c>
      <c r="D76" s="1" t="s">
        <v>2900</v>
      </c>
      <c r="E76" s="12">
        <f>F76/POWER(0.000001,2)</f>
        <v>1000000000000</v>
      </c>
      <c r="F76" s="12">
        <f>SI!E7/POWER(SI!E3,2)</f>
        <v>1</v>
      </c>
      <c r="G76" s="1" t="s">
        <v>1096</v>
      </c>
      <c r="H76" s="1" t="s">
        <v>42</v>
      </c>
    </row>
    <row r="77" spans="1:8" ht="28.8">
      <c r="A77" s="1" t="s">
        <v>5769</v>
      </c>
      <c r="B77" s="1" t="s">
        <v>4139</v>
      </c>
      <c r="C77" s="1" t="s">
        <v>4281</v>
      </c>
      <c r="D77" s="1" t="s">
        <v>2900</v>
      </c>
      <c r="E77" s="12">
        <f>F77/POWER(0.000000001,2)</f>
        <v>9.9999999999999987E+17</v>
      </c>
      <c r="F77" s="12">
        <f>SI!E7/POWER(SI!E3,2)</f>
        <v>1</v>
      </c>
      <c r="G77" s="1" t="s">
        <v>1096</v>
      </c>
      <c r="H77" s="1" t="s">
        <v>42</v>
      </c>
    </row>
    <row r="78" spans="1:8" ht="28.8">
      <c r="A78" s="1" t="s">
        <v>5770</v>
      </c>
      <c r="B78" s="1" t="s">
        <v>4140</v>
      </c>
      <c r="C78" s="1" t="s">
        <v>4281</v>
      </c>
      <c r="D78" s="1" t="s">
        <v>2900</v>
      </c>
      <c r="E78" s="12">
        <f>0.001*F78</f>
        <v>1E-3</v>
      </c>
      <c r="F78" s="12">
        <f>SI!E7/POWER(SI!E3,2)</f>
        <v>1</v>
      </c>
      <c r="G78" s="1" t="s">
        <v>1096</v>
      </c>
      <c r="H78" s="1" t="s">
        <v>982</v>
      </c>
    </row>
    <row r="79" spans="1:8" ht="28.8">
      <c r="A79" s="1" t="s">
        <v>5771</v>
      </c>
      <c r="B79" s="1" t="s">
        <v>4141</v>
      </c>
      <c r="C79" s="1" t="s">
        <v>4281</v>
      </c>
      <c r="D79" s="1" t="s">
        <v>2900</v>
      </c>
      <c r="E79" s="12">
        <f>0.001*F79/POWER('Physical Definitions'!E25,2)</f>
        <v>9.9999999999999978E-2</v>
      </c>
      <c r="F79" s="12">
        <f>SI!E7/POWER(SI!E3,2)</f>
        <v>1</v>
      </c>
      <c r="G79" s="1" t="s">
        <v>1096</v>
      </c>
      <c r="H79" s="1" t="s">
        <v>42</v>
      </c>
    </row>
    <row r="80" spans="1:8" ht="28.8">
      <c r="A80" s="1" t="s">
        <v>5772</v>
      </c>
      <c r="B80" s="1" t="s">
        <v>2075</v>
      </c>
      <c r="C80" s="1" t="s">
        <v>4281</v>
      </c>
      <c r="D80" s="1" t="s">
        <v>2900</v>
      </c>
      <c r="E80" s="12">
        <f>0.001*F80/POWER('Physical Definitions'!E22,2)</f>
        <v>10</v>
      </c>
      <c r="F80" s="12">
        <f>SI!E7/POWER(SI!E3,2)</f>
        <v>1</v>
      </c>
      <c r="G80" s="1" t="s">
        <v>1096</v>
      </c>
      <c r="H80" s="1" t="s">
        <v>982</v>
      </c>
    </row>
    <row r="81" spans="1:8" ht="28.8">
      <c r="A81" s="1" t="s">
        <v>5773</v>
      </c>
      <c r="B81" s="1" t="s">
        <v>4142</v>
      </c>
      <c r="C81" s="1" t="s">
        <v>4281</v>
      </c>
      <c r="D81" s="1" t="s">
        <v>2900</v>
      </c>
      <c r="E81" s="12">
        <f>0.001*F81/POWER('Physical Definitions'!E21,2)</f>
        <v>1000.0000000000001</v>
      </c>
      <c r="F81" s="12">
        <f>SI!E7/POWER(SI!E3,2)</f>
        <v>1</v>
      </c>
      <c r="G81" s="1" t="s">
        <v>1096</v>
      </c>
      <c r="H81" s="1" t="s">
        <v>982</v>
      </c>
    </row>
    <row r="82" spans="1:8" ht="28.8">
      <c r="A82" s="1" t="s">
        <v>5774</v>
      </c>
      <c r="B82" s="1" t="s">
        <v>4143</v>
      </c>
      <c r="C82" s="1" t="s">
        <v>4281</v>
      </c>
      <c r="D82" s="1" t="s">
        <v>2900</v>
      </c>
      <c r="E82" s="12">
        <f>0.001*F82/POWER(0.000001,2)</f>
        <v>1000000000</v>
      </c>
      <c r="F82" s="12">
        <f>SI!E7/POWER(SI!E3,2)</f>
        <v>1</v>
      </c>
      <c r="G82" s="1" t="s">
        <v>1096</v>
      </c>
      <c r="H82" s="1" t="s">
        <v>982</v>
      </c>
    </row>
    <row r="83" spans="1:8" ht="28.8">
      <c r="A83" s="1" t="s">
        <v>5775</v>
      </c>
      <c r="B83" s="1" t="s">
        <v>4144</v>
      </c>
      <c r="C83" s="1" t="s">
        <v>4281</v>
      </c>
      <c r="D83" s="1" t="s">
        <v>2900</v>
      </c>
      <c r="E83" s="12">
        <f>0.001*F83/POWER(0.000000001,2)</f>
        <v>1000000000000000</v>
      </c>
      <c r="F83" s="12">
        <f>SI!E7/POWER(SI!E3,2)</f>
        <v>1</v>
      </c>
      <c r="G83" s="1" t="s">
        <v>1096</v>
      </c>
      <c r="H83" s="1" t="s">
        <v>982</v>
      </c>
    </row>
    <row r="84" spans="1:8" ht="28.8">
      <c r="A84" s="1" t="s">
        <v>5776</v>
      </c>
      <c r="B84" s="1" t="s">
        <v>4148</v>
      </c>
      <c r="C84" s="1" t="s">
        <v>4281</v>
      </c>
      <c r="D84" s="1" t="s">
        <v>2900</v>
      </c>
      <c r="E84" s="12">
        <f>0.000001*F84</f>
        <v>9.9999999999999995E-7</v>
      </c>
      <c r="F84" s="12">
        <f>SI!E7/POWER(SI!E3,2)</f>
        <v>1</v>
      </c>
      <c r="G84" s="1" t="s">
        <v>1096</v>
      </c>
      <c r="H84" s="1" t="s">
        <v>982</v>
      </c>
    </row>
    <row r="85" spans="1:8" ht="28.8">
      <c r="A85" s="1" t="s">
        <v>5777</v>
      </c>
      <c r="B85" s="1" t="s">
        <v>4149</v>
      </c>
      <c r="C85" s="1" t="s">
        <v>4281</v>
      </c>
      <c r="D85" s="1" t="s">
        <v>2900</v>
      </c>
      <c r="E85" s="12">
        <f>0.000001*F85/POWER('Physical Definitions'!E25,2)</f>
        <v>9.9999999999999978E-5</v>
      </c>
      <c r="F85" s="12">
        <f>SI!E7/POWER(SI!E3,2)</f>
        <v>1</v>
      </c>
      <c r="G85" s="1" t="s">
        <v>1096</v>
      </c>
      <c r="H85" s="1" t="s">
        <v>42</v>
      </c>
    </row>
    <row r="86" spans="1:8" ht="28.8">
      <c r="A86" s="1" t="s">
        <v>5778</v>
      </c>
      <c r="B86" s="1" t="s">
        <v>4150</v>
      </c>
      <c r="C86" s="1" t="s">
        <v>4281</v>
      </c>
      <c r="D86" s="1" t="s">
        <v>2900</v>
      </c>
      <c r="E86" s="12">
        <f>0.000001*F86/POWER('Physical Definitions'!E22,2)</f>
        <v>9.9999999999999985E-3</v>
      </c>
      <c r="F86" s="12">
        <f>SI!E7/POWER(SI!E3,2)</f>
        <v>1</v>
      </c>
      <c r="G86" s="1" t="s">
        <v>1096</v>
      </c>
      <c r="H86" s="1" t="s">
        <v>982</v>
      </c>
    </row>
    <row r="87" spans="1:8" ht="28.8">
      <c r="A87" s="1" t="s">
        <v>5779</v>
      </c>
      <c r="B87" s="1" t="s">
        <v>4151</v>
      </c>
      <c r="C87" s="1" t="s">
        <v>4281</v>
      </c>
      <c r="D87" s="1" t="s">
        <v>2900</v>
      </c>
      <c r="E87" s="12">
        <f>0.000001*F87/POWER('Physical Definitions'!E21,2)</f>
        <v>1</v>
      </c>
      <c r="F87" s="12">
        <f>SI!E7/POWER(SI!E3,2)</f>
        <v>1</v>
      </c>
      <c r="G87" s="1" t="s">
        <v>1096</v>
      </c>
      <c r="H87" s="1" t="s">
        <v>982</v>
      </c>
    </row>
    <row r="88" spans="1:8" ht="28.8">
      <c r="A88" s="1" t="s">
        <v>5780</v>
      </c>
      <c r="B88" s="1" t="s">
        <v>4152</v>
      </c>
      <c r="C88" s="1" t="s">
        <v>4281</v>
      </c>
      <c r="D88" s="1" t="s">
        <v>2900</v>
      </c>
      <c r="E88" s="12">
        <f>0.000001*F88/POWER(0.000001,2)</f>
        <v>1000000</v>
      </c>
      <c r="F88" s="12">
        <f>SI!E7/POWER(SI!E3,2)</f>
        <v>1</v>
      </c>
      <c r="G88" s="1" t="s">
        <v>1096</v>
      </c>
      <c r="H88" s="1" t="s">
        <v>982</v>
      </c>
    </row>
    <row r="89" spans="1:8" ht="28.8">
      <c r="A89" s="1" t="s">
        <v>5781</v>
      </c>
      <c r="B89" s="1" t="s">
        <v>4153</v>
      </c>
      <c r="C89" s="1" t="s">
        <v>4281</v>
      </c>
      <c r="D89" s="1" t="s">
        <v>2900</v>
      </c>
      <c r="E89" s="12">
        <f>0.000001*F89/POWER(0.000000001,2)</f>
        <v>999999999999.99988</v>
      </c>
      <c r="F89" s="12">
        <f>SI!E7/POWER(SI!E3,2)</f>
        <v>1</v>
      </c>
      <c r="G89" s="1" t="s">
        <v>1096</v>
      </c>
      <c r="H89" s="1" t="s">
        <v>982</v>
      </c>
    </row>
    <row r="90" spans="1:8">
      <c r="A90" s="248"/>
      <c r="B90" s="248"/>
      <c r="C90" s="248"/>
      <c r="D90" s="248"/>
      <c r="E90" s="250"/>
      <c r="F90" s="250"/>
      <c r="G90" s="248"/>
      <c r="H90" s="248"/>
    </row>
    <row r="91" spans="1:8" ht="57.6">
      <c r="A91" s="1" t="s">
        <v>5782</v>
      </c>
      <c r="B91" s="1" t="s">
        <v>4077</v>
      </c>
      <c r="C91" s="1" t="s">
        <v>4282</v>
      </c>
      <c r="D91" s="1" t="s">
        <v>2924</v>
      </c>
      <c r="E91" s="12">
        <f>F91/POWER(1000,2)</f>
        <v>9.9999999999999995E-7</v>
      </c>
      <c r="F91" s="12">
        <f>SI!E7*SI!E4/POWER(SI!E3,2)</f>
        <v>1</v>
      </c>
      <c r="G91" s="1" t="s">
        <v>7360</v>
      </c>
      <c r="H91" s="1" t="s">
        <v>42</v>
      </c>
    </row>
    <row r="92" spans="1:8" ht="57.6">
      <c r="A92" s="1" t="s">
        <v>5783</v>
      </c>
      <c r="B92" s="1" t="s">
        <v>1442</v>
      </c>
      <c r="C92" s="1" t="s">
        <v>4282</v>
      </c>
      <c r="D92" s="1" t="s">
        <v>2924</v>
      </c>
      <c r="E92" s="12">
        <f>F92</f>
        <v>1</v>
      </c>
      <c r="F92" s="12">
        <f>SI!E7*SI!E4/POWER(SI!E3,2)</f>
        <v>1</v>
      </c>
      <c r="G92" s="1" t="s">
        <v>7360</v>
      </c>
      <c r="H92" s="1" t="s">
        <v>42</v>
      </c>
    </row>
    <row r="93" spans="1:8" ht="57.6">
      <c r="A93" s="1" t="s">
        <v>5784</v>
      </c>
      <c r="B93" s="1" t="s">
        <v>4065</v>
      </c>
      <c r="C93" s="1" t="s">
        <v>4282</v>
      </c>
      <c r="D93" s="1" t="s">
        <v>2924</v>
      </c>
      <c r="E93" s="12">
        <f>F93/POWER(0.01,2)</f>
        <v>10000</v>
      </c>
      <c r="F93" s="12">
        <f>SI!E7*SI!E4/POWER(SI!E3,2)</f>
        <v>1</v>
      </c>
      <c r="G93" s="1" t="s">
        <v>7360</v>
      </c>
      <c r="H93" s="1" t="s">
        <v>42</v>
      </c>
    </row>
    <row r="94" spans="1:8" ht="57.6">
      <c r="A94" s="1" t="s">
        <v>5785</v>
      </c>
      <c r="B94" s="1" t="s">
        <v>4066</v>
      </c>
      <c r="C94" s="1" t="s">
        <v>4282</v>
      </c>
      <c r="D94" s="1" t="s">
        <v>2924</v>
      </c>
      <c r="E94" s="12">
        <f>F94/POWER(0.001,2)</f>
        <v>1000000</v>
      </c>
      <c r="F94" s="12">
        <f>SI!E7*SI!E4/POWER(SI!E3,2)</f>
        <v>1</v>
      </c>
      <c r="G94" s="1" t="s">
        <v>7360</v>
      </c>
      <c r="H94" s="1" t="s">
        <v>42</v>
      </c>
    </row>
    <row r="95" spans="1:8" ht="57.6">
      <c r="A95" s="1" t="s">
        <v>5786</v>
      </c>
      <c r="B95" s="1" t="s">
        <v>4075</v>
      </c>
      <c r="C95" s="1" t="s">
        <v>4282</v>
      </c>
      <c r="D95" s="1" t="s">
        <v>2924</v>
      </c>
      <c r="E95" s="12">
        <f>F95/POWER(0.000001,2)</f>
        <v>1000000000000</v>
      </c>
      <c r="F95" s="12">
        <f>SI!E7*SI!E4/POWER(SI!E3,2)</f>
        <v>1</v>
      </c>
      <c r="G95" s="1" t="s">
        <v>7360</v>
      </c>
      <c r="H95" s="1" t="s">
        <v>42</v>
      </c>
    </row>
    <row r="96" spans="1:8" ht="57.6">
      <c r="A96" s="1" t="s">
        <v>5787</v>
      </c>
      <c r="B96" s="1" t="s">
        <v>4076</v>
      </c>
      <c r="C96" s="1" t="s">
        <v>4282</v>
      </c>
      <c r="D96" s="1" t="s">
        <v>2924</v>
      </c>
      <c r="E96" s="12">
        <f>F96/POWER(0.000000001,2)</f>
        <v>9.9999999999999987E+17</v>
      </c>
      <c r="F96" s="12">
        <f>SI!E7*SI!E4/POWER(SI!E3,2)</f>
        <v>1</v>
      </c>
      <c r="G96" s="1" t="s">
        <v>7360</v>
      </c>
      <c r="H96" s="1" t="s">
        <v>42</v>
      </c>
    </row>
    <row r="97" spans="1:8" ht="57.6">
      <c r="A97" s="1" t="s">
        <v>5788</v>
      </c>
      <c r="B97" s="1" t="s">
        <v>4078</v>
      </c>
      <c r="C97" s="1" t="s">
        <v>4282</v>
      </c>
      <c r="D97" s="1" t="s">
        <v>2924</v>
      </c>
      <c r="E97" s="12">
        <f>F97/POWER(5280*Systems!D6,2)</f>
        <v>3.8610215854244582E-7</v>
      </c>
      <c r="F97" s="12">
        <f>SI!E7*SI!E4/POWER(SI!E3,2)</f>
        <v>1</v>
      </c>
      <c r="G97" s="1" t="s">
        <v>7360</v>
      </c>
      <c r="H97" s="1" t="s">
        <v>982</v>
      </c>
    </row>
    <row r="98" spans="1:8" ht="57.6">
      <c r="A98" s="1" t="s">
        <v>5789</v>
      </c>
      <c r="B98" s="1" t="s">
        <v>4067</v>
      </c>
      <c r="C98" s="1" t="s">
        <v>4282</v>
      </c>
      <c r="D98" s="1" t="s">
        <v>2924</v>
      </c>
      <c r="E98" s="12">
        <f>F98/POWER(3*Systems!D6,2)</f>
        <v>1.19599004630108</v>
      </c>
      <c r="F98" s="12">
        <f>SI!E7*SI!E4/POWER(SI!E3,2)</f>
        <v>1</v>
      </c>
      <c r="G98" s="1" t="s">
        <v>7360</v>
      </c>
      <c r="H98" s="1" t="s">
        <v>982</v>
      </c>
    </row>
    <row r="99" spans="1:8" ht="57.6">
      <c r="A99" s="1" t="s">
        <v>5790</v>
      </c>
      <c r="B99" s="1" t="s">
        <v>4068</v>
      </c>
      <c r="C99" s="1" t="s">
        <v>4282</v>
      </c>
      <c r="D99" s="1" t="s">
        <v>2924</v>
      </c>
      <c r="E99" s="12">
        <f>F99/POWER(Systems!D6,2)</f>
        <v>10.763910416709722</v>
      </c>
      <c r="F99" s="12">
        <f>SI!E7*SI!E4/POWER(SI!E3,2)</f>
        <v>1</v>
      </c>
      <c r="G99" s="1" t="s">
        <v>7360</v>
      </c>
      <c r="H99" s="1" t="s">
        <v>982</v>
      </c>
    </row>
    <row r="100" spans="1:8" ht="57.6">
      <c r="A100" s="1" t="s">
        <v>5791</v>
      </c>
      <c r="B100" s="1" t="s">
        <v>4069</v>
      </c>
      <c r="C100" s="1" t="s">
        <v>4282</v>
      </c>
      <c r="D100" s="1" t="s">
        <v>2924</v>
      </c>
      <c r="E100" s="12">
        <f>F99/POWER(Systems!D6/12,2)</f>
        <v>1550.0031000061997</v>
      </c>
      <c r="F100" s="12">
        <f>SI!E7*SI!E4/POWER(SI!E3,2)</f>
        <v>1</v>
      </c>
      <c r="G100" s="1" t="s">
        <v>7360</v>
      </c>
      <c r="H100" s="1" t="s">
        <v>982</v>
      </c>
    </row>
    <row r="101" spans="1:8">
      <c r="A101" s="248"/>
      <c r="B101" s="248"/>
      <c r="C101" s="248"/>
      <c r="D101" s="248"/>
      <c r="E101" s="250"/>
      <c r="F101" s="250"/>
      <c r="G101" s="248"/>
      <c r="H101" s="248"/>
    </row>
    <row r="102" spans="1:8" ht="28.8">
      <c r="A102" s="1" t="s">
        <v>5792</v>
      </c>
      <c r="B102" s="1" t="s">
        <v>1194</v>
      </c>
      <c r="C102" s="1" t="s">
        <v>4283</v>
      </c>
      <c r="D102" s="1" t="s">
        <v>2879</v>
      </c>
      <c r="E102" s="12">
        <f>F102</f>
        <v>1081202384566.4917</v>
      </c>
      <c r="F102" s="12">
        <f>('Physical Constants'!E4/POWER('Physical Measurements'!E5,3))*SI!E7*SI!E4/POWER(SI!E3,3)</f>
        <v>1081202384566.4917</v>
      </c>
      <c r="G102" s="1" t="s">
        <v>1083</v>
      </c>
      <c r="H102" s="1" t="s">
        <v>6</v>
      </c>
    </row>
    <row r="103" spans="1:8" ht="28.8">
      <c r="A103" s="1" t="s">
        <v>5793</v>
      </c>
      <c r="B103" s="1" t="s">
        <v>4079</v>
      </c>
      <c r="C103" s="1" t="s">
        <v>4283</v>
      </c>
      <c r="D103" s="1" t="s">
        <v>2879</v>
      </c>
      <c r="E103" s="12">
        <f>F103/POWER(1000,3)</f>
        <v>1.0000000000000001E-9</v>
      </c>
      <c r="F103" s="12">
        <f>SI!E7*SI!E4/POWER(SI!E3,3)</f>
        <v>1</v>
      </c>
      <c r="G103" s="1" t="s">
        <v>1083</v>
      </c>
      <c r="H103" s="1" t="s">
        <v>42</v>
      </c>
    </row>
    <row r="104" spans="1:8" ht="28.8">
      <c r="A104" s="1" t="s">
        <v>5794</v>
      </c>
      <c r="B104" s="1" t="s">
        <v>1440</v>
      </c>
      <c r="C104" s="1" t="s">
        <v>4283</v>
      </c>
      <c r="D104" s="1" t="s">
        <v>2879</v>
      </c>
      <c r="E104" s="12">
        <f>F104</f>
        <v>1</v>
      </c>
      <c r="F104" s="12">
        <f>SI!E7*SI!E4/POWER(SI!E3,3)</f>
        <v>1</v>
      </c>
      <c r="G104" s="1" t="s">
        <v>1083</v>
      </c>
      <c r="H104" s="1" t="s">
        <v>42</v>
      </c>
    </row>
    <row r="105" spans="1:8" ht="28.8">
      <c r="A105" s="1" t="s">
        <v>5795</v>
      </c>
      <c r="B105" s="1" t="s">
        <v>4070</v>
      </c>
      <c r="C105" s="1" t="s">
        <v>4283</v>
      </c>
      <c r="D105" s="1" t="s">
        <v>2879</v>
      </c>
      <c r="E105" s="12">
        <f>F105/POWER(0.01,3)</f>
        <v>999999.99999999988</v>
      </c>
      <c r="F105" s="12">
        <f>SI!E7*SI!E4/POWER(SI!E3,3)</f>
        <v>1</v>
      </c>
      <c r="G105" s="1" t="s">
        <v>1083</v>
      </c>
      <c r="H105" s="1" t="s">
        <v>42</v>
      </c>
    </row>
    <row r="106" spans="1:8" ht="28.8">
      <c r="A106" s="1" t="s">
        <v>5796</v>
      </c>
      <c r="B106" s="1" t="s">
        <v>4071</v>
      </c>
      <c r="C106" s="1" t="s">
        <v>4283</v>
      </c>
      <c r="D106" s="1" t="s">
        <v>2879</v>
      </c>
      <c r="E106" s="12">
        <f>F106/POWER(0.001,3)</f>
        <v>999999999.99999988</v>
      </c>
      <c r="F106" s="12">
        <f>SI!E7*SI!E4/POWER(SI!E3,3)</f>
        <v>1</v>
      </c>
      <c r="G106" s="1" t="s">
        <v>1083</v>
      </c>
      <c r="H106" s="1" t="s">
        <v>42</v>
      </c>
    </row>
    <row r="107" spans="1:8" ht="28.8">
      <c r="A107" s="1" t="s">
        <v>5797</v>
      </c>
      <c r="B107" s="1" t="s">
        <v>4080</v>
      </c>
      <c r="C107" s="1" t="s">
        <v>4283</v>
      </c>
      <c r="D107" s="1" t="s">
        <v>2879</v>
      </c>
      <c r="E107" s="12">
        <f>F107/POWER(0.000001,3)</f>
        <v>1.0000000000000001E+18</v>
      </c>
      <c r="F107" s="12">
        <f>SI!E7*SI!E4/POWER(SI!E3,3)</f>
        <v>1</v>
      </c>
      <c r="G107" s="1" t="s">
        <v>1083</v>
      </c>
      <c r="H107" s="1" t="s">
        <v>42</v>
      </c>
    </row>
    <row r="108" spans="1:8" ht="28.8">
      <c r="A108" s="1" t="s">
        <v>5798</v>
      </c>
      <c r="B108" s="1" t="s">
        <v>4081</v>
      </c>
      <c r="C108" s="1" t="s">
        <v>4283</v>
      </c>
      <c r="D108" s="1" t="s">
        <v>2879</v>
      </c>
      <c r="E108" s="12">
        <f>F108/POWER(0.000000001,3)</f>
        <v>9.9999999999999974E+26</v>
      </c>
      <c r="F108" s="12">
        <f>SI!E7*SI!E4/POWER(SI!E3,3)</f>
        <v>1</v>
      </c>
      <c r="G108" s="1" t="s">
        <v>1083</v>
      </c>
      <c r="H108" s="1" t="s">
        <v>42</v>
      </c>
    </row>
    <row r="109" spans="1:8" ht="28.8">
      <c r="A109" s="1" t="s">
        <v>5799</v>
      </c>
      <c r="B109" s="1" t="s">
        <v>4082</v>
      </c>
      <c r="C109" s="1" t="s">
        <v>4283</v>
      </c>
      <c r="D109" s="1" t="s">
        <v>2879</v>
      </c>
      <c r="E109" s="12">
        <f>F109/POWER(5280*Systems!D6,3)</f>
        <v>2.3991275857892769E-10</v>
      </c>
      <c r="F109" s="12">
        <f>SI!E7*SI!E4/POWER(SI!E3,3)</f>
        <v>1</v>
      </c>
      <c r="G109" s="1" t="s">
        <v>1083</v>
      </c>
      <c r="H109" s="1" t="s">
        <v>982</v>
      </c>
    </row>
    <row r="110" spans="1:8" ht="28.8">
      <c r="A110" s="1" t="s">
        <v>5800</v>
      </c>
      <c r="B110" s="1" t="s">
        <v>4072</v>
      </c>
      <c r="C110" s="1" t="s">
        <v>4283</v>
      </c>
      <c r="D110" s="1" t="s">
        <v>2879</v>
      </c>
      <c r="E110" s="12">
        <f>F110/POWER(3*Systems!D6,3)</f>
        <v>1.3079506193143917</v>
      </c>
      <c r="F110" s="12">
        <f>SI!E7*SI!E4/POWER(SI!E3,3)</f>
        <v>1</v>
      </c>
      <c r="G110" s="1" t="s">
        <v>1083</v>
      </c>
      <c r="H110" s="1" t="s">
        <v>982</v>
      </c>
    </row>
    <row r="111" spans="1:8" ht="28.8">
      <c r="A111" s="1" t="s">
        <v>5801</v>
      </c>
      <c r="B111" s="1" t="s">
        <v>4073</v>
      </c>
      <c r="C111" s="1" t="s">
        <v>4283</v>
      </c>
      <c r="D111" s="1" t="s">
        <v>2879</v>
      </c>
      <c r="E111" s="12">
        <f>F111/POWER(Systems!D6,3)</f>
        <v>35.314666721488585</v>
      </c>
      <c r="F111" s="12">
        <f>SI!E7*SI!E4/POWER(SI!E3,3)</f>
        <v>1</v>
      </c>
      <c r="G111" s="1" t="s">
        <v>1083</v>
      </c>
      <c r="H111" s="1" t="s">
        <v>982</v>
      </c>
    </row>
    <row r="112" spans="1:8" ht="28.8">
      <c r="A112" s="1" t="s">
        <v>5802</v>
      </c>
      <c r="B112" s="1" t="s">
        <v>4074</v>
      </c>
      <c r="C112" s="1" t="s">
        <v>4283</v>
      </c>
      <c r="D112" s="1" t="s">
        <v>2879</v>
      </c>
      <c r="E112" s="12">
        <f>F112/POWER(Systems!D6/12,3)</f>
        <v>61023.744094732276</v>
      </c>
      <c r="F112" s="12">
        <f>SI!E7*SI!E4/POWER(SI!E3,3)</f>
        <v>1</v>
      </c>
      <c r="G112" s="1" t="s">
        <v>1083</v>
      </c>
      <c r="H112" s="1" t="s">
        <v>982</v>
      </c>
    </row>
    <row r="113" spans="1:8">
      <c r="A113" s="3"/>
      <c r="B113" s="3"/>
      <c r="C113" s="3"/>
      <c r="D113" s="3"/>
      <c r="E113" s="13"/>
      <c r="F113" s="13"/>
      <c r="G113" s="3"/>
      <c r="H113" s="3"/>
    </row>
    <row r="114" spans="1:8" ht="16.5">
      <c r="A114" s="1" t="s">
        <v>622</v>
      </c>
      <c r="B114" s="1" t="s">
        <v>26</v>
      </c>
      <c r="C114" s="1" t="s">
        <v>4284</v>
      </c>
      <c r="D114" s="1" t="s">
        <v>2910</v>
      </c>
      <c r="E114" s="12">
        <f>F114</f>
        <v>1</v>
      </c>
      <c r="F114" s="12">
        <f>POWER(SI!E4*SI!E7/SI!E3,2)/SI!E2</f>
        <v>1</v>
      </c>
      <c r="G114" s="1" t="s">
        <v>1145</v>
      </c>
      <c r="H114" s="1" t="s">
        <v>538</v>
      </c>
    </row>
    <row r="115" spans="1:8" ht="16.5">
      <c r="A115" s="1" t="s">
        <v>607</v>
      </c>
      <c r="B115" s="1" t="s">
        <v>26</v>
      </c>
      <c r="C115" s="1" t="s">
        <v>4284</v>
      </c>
      <c r="D115" s="1" t="s">
        <v>2910</v>
      </c>
      <c r="E115" s="12">
        <f>F115</f>
        <v>1</v>
      </c>
      <c r="F115" s="12">
        <f>POWER(SI!E4*SI!E7/SI!E3,2)/SI!E2</f>
        <v>1</v>
      </c>
      <c r="G115" s="1" t="s">
        <v>1145</v>
      </c>
      <c r="H115" s="1" t="s">
        <v>42</v>
      </c>
    </row>
    <row r="116" spans="1:8" ht="16.5">
      <c r="A116" s="1" t="s">
        <v>5803</v>
      </c>
      <c r="B116" s="1" t="s">
        <v>4089</v>
      </c>
      <c r="C116" s="1" t="s">
        <v>4284</v>
      </c>
      <c r="D116" s="1" t="s">
        <v>2910</v>
      </c>
      <c r="E116" s="12">
        <f>F116</f>
        <v>1</v>
      </c>
      <c r="F116" s="12">
        <f>POWER(SI!E4*SI!E7/SI!E3,2)/SI!E2</f>
        <v>1</v>
      </c>
      <c r="G116" s="1" t="s">
        <v>1145</v>
      </c>
      <c r="H116" s="1" t="s">
        <v>982</v>
      </c>
    </row>
    <row r="117" spans="1:8" ht="16.5">
      <c r="A117" s="1" t="s">
        <v>5804</v>
      </c>
      <c r="B117" s="1" t="s">
        <v>4090</v>
      </c>
      <c r="C117" s="1" t="s">
        <v>4284</v>
      </c>
      <c r="D117" s="1" t="s">
        <v>2910</v>
      </c>
      <c r="E117" s="12">
        <f>F117/POWER('Physical Definitions'!E4,2)</f>
        <v>2.7777777777777778E-4</v>
      </c>
      <c r="F117" s="12">
        <f>POWER(SI!E4*SI!E7/SI!E3,2)/SI!E2</f>
        <v>1</v>
      </c>
      <c r="G117" s="1" t="s">
        <v>1145</v>
      </c>
      <c r="H117" s="1" t="s">
        <v>982</v>
      </c>
    </row>
    <row r="118" spans="1:8" ht="16.5">
      <c r="A118" s="1" t="s">
        <v>5805</v>
      </c>
      <c r="B118" s="1" t="s">
        <v>6264</v>
      </c>
      <c r="C118" s="1" t="s">
        <v>4284</v>
      </c>
      <c r="D118" s="1" t="s">
        <v>2910</v>
      </c>
      <c r="E118" s="12">
        <f>F118/POWER('Physical Definitions'!E5,2)</f>
        <v>7.7160493827160495E-8</v>
      </c>
      <c r="F118" s="12">
        <f>POWER(SI!E4*SI!E7/SI!E3,2)/SI!E2</f>
        <v>1</v>
      </c>
      <c r="G118" s="1" t="s">
        <v>1145</v>
      </c>
      <c r="H118" s="1" t="s">
        <v>982</v>
      </c>
    </row>
    <row r="119" spans="1:8" ht="16.5">
      <c r="A119" s="1" t="s">
        <v>5806</v>
      </c>
      <c r="B119" s="1" t="s">
        <v>6265</v>
      </c>
      <c r="C119" s="1" t="s">
        <v>4284</v>
      </c>
      <c r="D119" s="1" t="s">
        <v>2910</v>
      </c>
      <c r="E119" s="12">
        <f>F119/POWER('Physical Definitions'!E6,2)</f>
        <v>1.3395919067215363E-10</v>
      </c>
      <c r="F119" s="12">
        <f>POWER(SI!E4*SI!E7/SI!E3,2)/SI!E2</f>
        <v>1</v>
      </c>
      <c r="G119" s="1" t="s">
        <v>1145</v>
      </c>
      <c r="H119" s="1" t="s">
        <v>982</v>
      </c>
    </row>
    <row r="120" spans="1:8" ht="16.5">
      <c r="A120" s="1" t="s">
        <v>5807</v>
      </c>
      <c r="B120" s="1" t="s">
        <v>4091</v>
      </c>
      <c r="C120" s="1" t="s">
        <v>4284</v>
      </c>
      <c r="D120" s="1" t="s">
        <v>2910</v>
      </c>
      <c r="E120" s="12">
        <f>F120/POWER(30*'Physical Definitions'!E6,2)</f>
        <v>1.4884354519128182E-13</v>
      </c>
      <c r="F120" s="12">
        <f>POWER(SI!E4*SI!E7/SI!E3,2)/SI!E2</f>
        <v>1</v>
      </c>
      <c r="G120" s="1" t="s">
        <v>1145</v>
      </c>
      <c r="H120" s="1" t="s">
        <v>982</v>
      </c>
    </row>
    <row r="121" spans="1:8" ht="16.5">
      <c r="A121" s="1" t="s">
        <v>5808</v>
      </c>
      <c r="B121" s="1" t="s">
        <v>6266</v>
      </c>
      <c r="C121" s="1" t="s">
        <v>4284</v>
      </c>
      <c r="D121" s="1" t="s">
        <v>2910</v>
      </c>
      <c r="E121" s="12">
        <f>F121/POWER('Physical Definitions'!E7,2)</f>
        <v>1.0055109076536209E-15</v>
      </c>
      <c r="F121" s="12">
        <f>POWER(SI!E4*SI!E7/SI!E3,2)/SI!E2</f>
        <v>1</v>
      </c>
      <c r="G121" s="1" t="s">
        <v>1145</v>
      </c>
      <c r="H121" s="1" t="s">
        <v>982</v>
      </c>
    </row>
    <row r="122" spans="1:8">
      <c r="A122" s="3"/>
      <c r="B122" s="3"/>
      <c r="C122" s="3"/>
      <c r="D122" s="3"/>
      <c r="E122" s="13"/>
      <c r="F122" s="13"/>
      <c r="G122" s="3"/>
      <c r="H122" s="3"/>
    </row>
    <row r="123" spans="1:8" ht="16.5">
      <c r="A123" s="1" t="s">
        <v>156</v>
      </c>
      <c r="B123" s="1" t="s">
        <v>26</v>
      </c>
      <c r="C123" s="1" t="s">
        <v>4285</v>
      </c>
      <c r="D123" s="1" t="s">
        <v>2928</v>
      </c>
      <c r="E123" s="12">
        <f>F123</f>
        <v>1</v>
      </c>
      <c r="F123" s="12">
        <f>SI!E2*POWER(SI!E3/SI!E7,2)/POWER(SI!E4,4)</f>
        <v>1</v>
      </c>
      <c r="G123" s="1" t="s">
        <v>1122</v>
      </c>
      <c r="H123" s="1" t="s">
        <v>47</v>
      </c>
    </row>
    <row r="124" spans="1:8" ht="16.5">
      <c r="A124" s="1" t="s">
        <v>5809</v>
      </c>
      <c r="B124" s="1" t="s">
        <v>6267</v>
      </c>
      <c r="C124" s="1" t="s">
        <v>4285</v>
      </c>
      <c r="D124" s="1" t="s">
        <v>2928</v>
      </c>
      <c r="E124" s="12">
        <f>F124</f>
        <v>1</v>
      </c>
      <c r="F124" s="12">
        <f>SI!E2*POWER(SI!E3/SI!E7,2)/POWER(SI!E4,4)</f>
        <v>1</v>
      </c>
      <c r="G124" s="1" t="s">
        <v>1122</v>
      </c>
      <c r="H124" s="1" t="s">
        <v>982</v>
      </c>
    </row>
    <row r="125" spans="1:8" ht="16.5">
      <c r="A125" s="1" t="s">
        <v>5810</v>
      </c>
      <c r="B125" s="1" t="s">
        <v>4092</v>
      </c>
      <c r="C125" s="1" t="s">
        <v>4285</v>
      </c>
      <c r="D125" s="1" t="s">
        <v>2928</v>
      </c>
      <c r="E125" s="12">
        <f>F125/POWER('Physical Definitions'!E4,2)</f>
        <v>2.7777777777777778E-4</v>
      </c>
      <c r="F125" s="12">
        <f>SI!E2*POWER(SI!E3/SI!E7,2)/POWER(SI!E4,4)</f>
        <v>1</v>
      </c>
      <c r="G125" s="1" t="s">
        <v>1122</v>
      </c>
      <c r="H125" s="1" t="s">
        <v>982</v>
      </c>
    </row>
    <row r="126" spans="1:8" ht="16.5">
      <c r="A126" s="1" t="s">
        <v>5811</v>
      </c>
      <c r="B126" s="1" t="s">
        <v>6268</v>
      </c>
      <c r="C126" s="1" t="s">
        <v>4285</v>
      </c>
      <c r="D126" s="1" t="s">
        <v>2928</v>
      </c>
      <c r="E126" s="12">
        <f>F126/POWER('Physical Definitions'!E5,2)</f>
        <v>7.7160493827160495E-8</v>
      </c>
      <c r="F126" s="12">
        <f>SI!E2*POWER(SI!E3/SI!E7,2)/POWER(SI!E4,4)</f>
        <v>1</v>
      </c>
      <c r="G126" s="1" t="s">
        <v>1122</v>
      </c>
      <c r="H126" s="1" t="s">
        <v>982</v>
      </c>
    </row>
    <row r="127" spans="1:8" ht="16.5">
      <c r="A127" s="1" t="s">
        <v>5812</v>
      </c>
      <c r="B127" s="1" t="s">
        <v>6269</v>
      </c>
      <c r="C127" s="1" t="s">
        <v>4285</v>
      </c>
      <c r="D127" s="1" t="s">
        <v>2928</v>
      </c>
      <c r="E127" s="12">
        <f>F127/POWER('Physical Definitions'!E6,2)</f>
        <v>1.3395919067215363E-10</v>
      </c>
      <c r="F127" s="12">
        <f>SI!E2*POWER(SI!E3/SI!E7,2)/POWER(SI!E4,4)</f>
        <v>1</v>
      </c>
      <c r="G127" s="1" t="s">
        <v>1122</v>
      </c>
      <c r="H127" s="1" t="s">
        <v>982</v>
      </c>
    </row>
    <row r="128" spans="1:8" ht="16.5">
      <c r="A128" s="1" t="s">
        <v>5813</v>
      </c>
      <c r="B128" s="1" t="s">
        <v>4093</v>
      </c>
      <c r="C128" s="1" t="s">
        <v>4285</v>
      </c>
      <c r="D128" s="1" t="s">
        <v>2928</v>
      </c>
      <c r="E128" s="12">
        <f>F128/POWER(30*'Physical Definitions'!E6,2)</f>
        <v>1.4884354519128182E-13</v>
      </c>
      <c r="F128" s="12">
        <f>SI!E2*POWER(SI!E3/SI!E7,2)/POWER(SI!E4,4)</f>
        <v>1</v>
      </c>
      <c r="G128" s="1" t="s">
        <v>1122</v>
      </c>
      <c r="H128" s="1" t="s">
        <v>982</v>
      </c>
    </row>
    <row r="129" spans="1:8" ht="16.5">
      <c r="A129" s="1" t="s">
        <v>5814</v>
      </c>
      <c r="B129" s="1" t="s">
        <v>6270</v>
      </c>
      <c r="C129" s="1" t="s">
        <v>4285</v>
      </c>
      <c r="D129" s="1" t="s">
        <v>2928</v>
      </c>
      <c r="E129" s="12">
        <f>F129/POWER('Physical Definitions'!E7,2)</f>
        <v>1.0055109076536209E-15</v>
      </c>
      <c r="F129" s="12">
        <f>SI!E2*POWER(SI!E3/SI!E7,2)/POWER(SI!E4,4)</f>
        <v>1</v>
      </c>
      <c r="G129" s="1" t="s">
        <v>1122</v>
      </c>
      <c r="H129" s="1" t="s">
        <v>982</v>
      </c>
    </row>
    <row r="130" spans="1:8">
      <c r="A130" s="248"/>
      <c r="B130" s="248"/>
      <c r="C130" s="248"/>
      <c r="D130" s="248"/>
      <c r="E130" s="250"/>
      <c r="F130" s="250"/>
      <c r="G130" s="248"/>
      <c r="H130" s="248"/>
    </row>
    <row r="131" spans="1:8" ht="16.5">
      <c r="A131" s="1" t="s">
        <v>5815</v>
      </c>
      <c r="B131" s="1" t="s">
        <v>366</v>
      </c>
      <c r="C131" s="1" t="s">
        <v>4286</v>
      </c>
      <c r="D131" s="1" t="s">
        <v>2848</v>
      </c>
      <c r="E131" s="12">
        <f>F131/4000</f>
        <v>2.5000000000000001E-4</v>
      </c>
      <c r="F131" s="12">
        <f>POWER(SI!E4,3)*POWER(SI!E7/SI!E3,2)/SI!E2</f>
        <v>1</v>
      </c>
      <c r="G131" s="1" t="s">
        <v>1090</v>
      </c>
      <c r="H131" s="1" t="s">
        <v>1148</v>
      </c>
    </row>
    <row r="132" spans="1:8" ht="16.5">
      <c r="A132" s="1" t="s">
        <v>1153</v>
      </c>
      <c r="B132" s="1" t="s">
        <v>3013</v>
      </c>
      <c r="C132" s="1" t="s">
        <v>4286</v>
      </c>
      <c r="D132" s="1" t="s">
        <v>2848</v>
      </c>
      <c r="E132" s="12">
        <f>1000000000*F132</f>
        <v>1000000000</v>
      </c>
      <c r="F132" s="12">
        <f>POWER(SI!E4,3)*POWER(SI!E7/SI!E3,2)/SI!E2</f>
        <v>1</v>
      </c>
      <c r="G132" s="1" t="s">
        <v>1090</v>
      </c>
      <c r="H132" s="1" t="s">
        <v>36</v>
      </c>
    </row>
    <row r="133" spans="1:8" ht="16.5">
      <c r="A133" s="1" t="s">
        <v>5816</v>
      </c>
      <c r="B133" s="1" t="s">
        <v>5848</v>
      </c>
      <c r="C133" s="1" t="s">
        <v>4286</v>
      </c>
      <c r="D133" s="1" t="s">
        <v>2848</v>
      </c>
      <c r="E133" s="12">
        <f>1000000000*F133</f>
        <v>1000000000</v>
      </c>
      <c r="F133" s="12">
        <f>POWER(SI!E4,3)*POWER(SI!E7/SI!E3,2)/SI!E2</f>
        <v>1</v>
      </c>
      <c r="G133" s="1" t="s">
        <v>1090</v>
      </c>
      <c r="H133" s="1" t="s">
        <v>36</v>
      </c>
    </row>
    <row r="134" spans="1:8" ht="16.5">
      <c r="A134" s="1" t="s">
        <v>5817</v>
      </c>
      <c r="B134" s="1" t="s">
        <v>5849</v>
      </c>
      <c r="C134" s="1" t="s">
        <v>4286</v>
      </c>
      <c r="D134" s="1" t="s">
        <v>2848</v>
      </c>
      <c r="E134" s="12">
        <f>100000*F134/POWER('Physical Constants'!E3,2)</f>
        <v>1.1126500560536185E-12</v>
      </c>
      <c r="F134" s="12">
        <f>POWER(SI!E4,3)*POWER(SI!E7/SI!E3,2)/SI!E2</f>
        <v>1</v>
      </c>
      <c r="G134" s="1" t="s">
        <v>1090</v>
      </c>
      <c r="H134" s="1" t="s">
        <v>36</v>
      </c>
    </row>
    <row r="135" spans="1:8" ht="16.5">
      <c r="A135" s="1" t="s">
        <v>188</v>
      </c>
      <c r="B135" s="1" t="s">
        <v>26</v>
      </c>
      <c r="C135" s="1" t="s">
        <v>4286</v>
      </c>
      <c r="D135" s="1" t="s">
        <v>2848</v>
      </c>
      <c r="E135" s="12">
        <f>100000*F135/POWER('Physical Constants'!E3,2)</f>
        <v>1.1126500560536185E-12</v>
      </c>
      <c r="F135" s="12">
        <f>POWER(SI!E4,3)*POWER(SI!E7/SI!E3,2)/SI!E2</f>
        <v>1</v>
      </c>
      <c r="G135" s="1" t="s">
        <v>1090</v>
      </c>
      <c r="H135" s="1" t="s">
        <v>36</v>
      </c>
    </row>
    <row r="136" spans="1:8" ht="16.5">
      <c r="A136" s="1" t="s">
        <v>287</v>
      </c>
      <c r="B136" s="1" t="s">
        <v>26</v>
      </c>
      <c r="C136" s="1" t="s">
        <v>4286</v>
      </c>
      <c r="D136" s="1" t="s">
        <v>2848</v>
      </c>
      <c r="E136" s="12">
        <f>F136</f>
        <v>1</v>
      </c>
      <c r="F136" s="12">
        <f>POWER(SI!E4,3)*POWER(SI!E7/SI!E3,2)/SI!E2</f>
        <v>1</v>
      </c>
      <c r="G136" s="1" t="s">
        <v>1090</v>
      </c>
      <c r="H136" s="1" t="s">
        <v>58</v>
      </c>
    </row>
    <row r="137" spans="1:8" ht="16.5">
      <c r="A137" s="1" t="s">
        <v>219</v>
      </c>
      <c r="B137" s="1" t="s">
        <v>26</v>
      </c>
      <c r="C137" s="1" t="s">
        <v>4286</v>
      </c>
      <c r="D137" s="1" t="s">
        <v>2848</v>
      </c>
      <c r="E137" s="12">
        <f>0.000001*F137</f>
        <v>9.9999999999999995E-7</v>
      </c>
      <c r="F137" s="12">
        <f>POWER(SI!E4,3)*POWER(SI!E7/SI!E3,2)/SI!E2</f>
        <v>1</v>
      </c>
      <c r="G137" s="1" t="s">
        <v>1090</v>
      </c>
      <c r="H137" s="1" t="s">
        <v>982</v>
      </c>
    </row>
    <row r="138" spans="1:8" ht="16.5">
      <c r="A138" s="1" t="s">
        <v>379</v>
      </c>
      <c r="B138" s="1" t="s">
        <v>380</v>
      </c>
      <c r="C138" s="1" t="s">
        <v>4286</v>
      </c>
      <c r="D138" s="1" t="s">
        <v>2848</v>
      </c>
      <c r="E138" s="12">
        <f>F138</f>
        <v>1</v>
      </c>
      <c r="F138" s="12">
        <f>POWER(SI!E4,3)*POWER(SI!E7/SI!E3,2)/SI!E2</f>
        <v>1</v>
      </c>
      <c r="G138" s="1" t="s">
        <v>1090</v>
      </c>
      <c r="H138" s="1" t="s">
        <v>42</v>
      </c>
    </row>
    <row r="139" spans="1:8" ht="16.5">
      <c r="A139" t="s">
        <v>3637</v>
      </c>
      <c r="B139" t="s">
        <v>3655</v>
      </c>
      <c r="C139" s="1" t="s">
        <v>4286</v>
      </c>
      <c r="D139" s="1" t="s">
        <v>2848</v>
      </c>
      <c r="E139" s="26">
        <f>1E+24*F139</f>
        <v>9.9999999999999998E+23</v>
      </c>
      <c r="F139" s="12">
        <f>POWER(SI!E4,3)*POWER(SI!E7/SI!E3,2)/SI!E2</f>
        <v>1</v>
      </c>
      <c r="G139" s="1" t="s">
        <v>1090</v>
      </c>
      <c r="H139" s="1" t="s">
        <v>42</v>
      </c>
    </row>
    <row r="140" spans="1:8" ht="16.5">
      <c r="A140" t="s">
        <v>3638</v>
      </c>
      <c r="B140" t="s">
        <v>3656</v>
      </c>
      <c r="C140" s="1" t="s">
        <v>4286</v>
      </c>
      <c r="D140" s="1" t="s">
        <v>2848</v>
      </c>
      <c r="E140" s="26">
        <f>1E+21*F140</f>
        <v>1E+21</v>
      </c>
      <c r="F140" s="12">
        <f>POWER(SI!E4,3)*POWER(SI!E7/SI!E3,2)/SI!E2</f>
        <v>1</v>
      </c>
      <c r="G140" s="1" t="s">
        <v>1090</v>
      </c>
      <c r="H140" s="1" t="s">
        <v>42</v>
      </c>
    </row>
    <row r="141" spans="1:8" ht="16.5">
      <c r="A141" t="s">
        <v>3639</v>
      </c>
      <c r="B141" t="s">
        <v>3657</v>
      </c>
      <c r="C141" s="1" t="s">
        <v>4286</v>
      </c>
      <c r="D141" s="1" t="s">
        <v>2848</v>
      </c>
      <c r="E141" s="26">
        <f>1000000000000000000*F141</f>
        <v>1E+18</v>
      </c>
      <c r="F141" s="12">
        <f>POWER(SI!E4,3)*POWER(SI!E7/SI!E3,2)/SI!E2</f>
        <v>1</v>
      </c>
      <c r="G141" s="1" t="s">
        <v>1090</v>
      </c>
      <c r="H141" s="1" t="s">
        <v>42</v>
      </c>
    </row>
    <row r="142" spans="1:8" ht="16.5">
      <c r="A142" t="s">
        <v>3640</v>
      </c>
      <c r="B142" t="s">
        <v>3658</v>
      </c>
      <c r="C142" s="1" t="s">
        <v>4286</v>
      </c>
      <c r="D142" s="1" t="s">
        <v>2848</v>
      </c>
      <c r="E142" s="26">
        <f>1000000000000000*F142</f>
        <v>1000000000000000</v>
      </c>
      <c r="F142" s="12">
        <f>POWER(SI!E4,3)*POWER(SI!E7/SI!E3,2)/SI!E2</f>
        <v>1</v>
      </c>
      <c r="G142" s="1" t="s">
        <v>1090</v>
      </c>
      <c r="H142" s="1" t="s">
        <v>42</v>
      </c>
    </row>
    <row r="143" spans="1:8" ht="16.5">
      <c r="A143" t="s">
        <v>3641</v>
      </c>
      <c r="B143" t="s">
        <v>3659</v>
      </c>
      <c r="C143" s="1" t="s">
        <v>4286</v>
      </c>
      <c r="D143" s="1" t="s">
        <v>2848</v>
      </c>
      <c r="E143" s="26">
        <f>1000000000000*F143</f>
        <v>1000000000000</v>
      </c>
      <c r="F143" s="12">
        <f>POWER(SI!E4,3)*POWER(SI!E7/SI!E3,2)/SI!E2</f>
        <v>1</v>
      </c>
      <c r="G143" s="1" t="s">
        <v>1090</v>
      </c>
      <c r="H143" s="1" t="s">
        <v>42</v>
      </c>
    </row>
    <row r="144" spans="1:8" ht="16.5">
      <c r="A144" t="s">
        <v>3642</v>
      </c>
      <c r="B144" t="s">
        <v>3660</v>
      </c>
      <c r="C144" s="1" t="s">
        <v>4286</v>
      </c>
      <c r="D144" s="1" t="s">
        <v>2848</v>
      </c>
      <c r="E144" s="26">
        <f>1000000000*F144</f>
        <v>1000000000</v>
      </c>
      <c r="F144" s="12">
        <f>POWER(SI!E4,3)*POWER(SI!E7/SI!E3,2)/SI!E2</f>
        <v>1</v>
      </c>
      <c r="G144" s="1" t="s">
        <v>1090</v>
      </c>
      <c r="H144" s="1" t="s">
        <v>42</v>
      </c>
    </row>
    <row r="145" spans="1:8" ht="16.5">
      <c r="A145" t="s">
        <v>3643</v>
      </c>
      <c r="B145" t="s">
        <v>3661</v>
      </c>
      <c r="C145" s="1" t="s">
        <v>4286</v>
      </c>
      <c r="D145" s="1" t="s">
        <v>2848</v>
      </c>
      <c r="E145" s="26">
        <f>1000000*F145</f>
        <v>1000000</v>
      </c>
      <c r="F145" s="12">
        <f>POWER(SI!E4,3)*POWER(SI!E7/SI!E3,2)/SI!E2</f>
        <v>1</v>
      </c>
      <c r="G145" s="1" t="s">
        <v>1090</v>
      </c>
      <c r="H145" s="1" t="s">
        <v>42</v>
      </c>
    </row>
    <row r="146" spans="1:8" ht="16.5">
      <c r="A146" t="s">
        <v>3863</v>
      </c>
      <c r="B146" t="s">
        <v>3662</v>
      </c>
      <c r="C146" s="1" t="s">
        <v>4286</v>
      </c>
      <c r="D146" s="1" t="s">
        <v>2848</v>
      </c>
      <c r="E146" s="26">
        <f>1000*F146</f>
        <v>1000</v>
      </c>
      <c r="F146" s="12">
        <f>POWER(SI!E4,3)*POWER(SI!E7/SI!E3,2)/SI!E2</f>
        <v>1</v>
      </c>
      <c r="G146" s="1" t="s">
        <v>1090</v>
      </c>
      <c r="H146" s="1" t="s">
        <v>42</v>
      </c>
    </row>
    <row r="147" spans="1:8" ht="16.5">
      <c r="A147" t="s">
        <v>3644</v>
      </c>
      <c r="B147" t="s">
        <v>3663</v>
      </c>
      <c r="C147" s="1" t="s">
        <v>4286</v>
      </c>
      <c r="D147" s="1" t="s">
        <v>2848</v>
      </c>
      <c r="E147" s="26">
        <f>100*F147</f>
        <v>100</v>
      </c>
      <c r="F147" s="12">
        <f>POWER(SI!E4,3)*POWER(SI!E7/SI!E3,2)/SI!E2</f>
        <v>1</v>
      </c>
      <c r="G147" s="1" t="s">
        <v>1090</v>
      </c>
      <c r="H147" s="1" t="s">
        <v>42</v>
      </c>
    </row>
    <row r="148" spans="1:8" ht="16.5">
      <c r="A148" t="s">
        <v>3862</v>
      </c>
      <c r="B148" t="s">
        <v>3664</v>
      </c>
      <c r="C148" s="1" t="s">
        <v>4286</v>
      </c>
      <c r="D148" s="1" t="s">
        <v>2848</v>
      </c>
      <c r="E148" s="26">
        <f>10*F148</f>
        <v>10</v>
      </c>
      <c r="F148" s="12">
        <f>POWER(SI!E4,3)*POWER(SI!E7/SI!E3,2)/SI!E2</f>
        <v>1</v>
      </c>
      <c r="G148" s="1" t="s">
        <v>1090</v>
      </c>
      <c r="H148" s="1" t="s">
        <v>42</v>
      </c>
    </row>
    <row r="149" spans="1:8" ht="16.5">
      <c r="A149" t="s">
        <v>3645</v>
      </c>
      <c r="B149" t="s">
        <v>3665</v>
      </c>
      <c r="C149" s="1" t="s">
        <v>4286</v>
      </c>
      <c r="D149" s="1" t="s">
        <v>2848</v>
      </c>
      <c r="E149" s="26">
        <f>0.1*F149</f>
        <v>0.1</v>
      </c>
      <c r="F149" s="12">
        <f>POWER(SI!E4,3)*POWER(SI!E7/SI!E3,2)/SI!E2</f>
        <v>1</v>
      </c>
      <c r="G149" s="1" t="s">
        <v>1090</v>
      </c>
      <c r="H149" s="1" t="s">
        <v>42</v>
      </c>
    </row>
    <row r="150" spans="1:8" ht="16.5">
      <c r="A150" t="s">
        <v>3646</v>
      </c>
      <c r="B150" t="s">
        <v>3666</v>
      </c>
      <c r="C150" s="1" t="s">
        <v>4286</v>
      </c>
      <c r="D150" s="1" t="s">
        <v>2848</v>
      </c>
      <c r="E150" s="26">
        <f>0.01*F150</f>
        <v>0.01</v>
      </c>
      <c r="F150" s="12">
        <f>POWER(SI!E4,3)*POWER(SI!E7/SI!E3,2)/SI!E2</f>
        <v>1</v>
      </c>
      <c r="G150" s="1" t="s">
        <v>1090</v>
      </c>
      <c r="H150" s="1" t="s">
        <v>42</v>
      </c>
    </row>
    <row r="151" spans="1:8" ht="16.5">
      <c r="A151" t="s">
        <v>3647</v>
      </c>
      <c r="B151" t="s">
        <v>3667</v>
      </c>
      <c r="C151" s="1" t="s">
        <v>4286</v>
      </c>
      <c r="D151" s="1" t="s">
        <v>2848</v>
      </c>
      <c r="E151" s="26">
        <f>0.001*F151</f>
        <v>1E-3</v>
      </c>
      <c r="F151" s="12">
        <f>POWER(SI!E4,3)*POWER(SI!E7/SI!E3,2)/SI!E2</f>
        <v>1</v>
      </c>
      <c r="G151" s="1" t="s">
        <v>1090</v>
      </c>
      <c r="H151" s="1" t="s">
        <v>42</v>
      </c>
    </row>
    <row r="152" spans="1:8" ht="16.5">
      <c r="A152" t="s">
        <v>3648</v>
      </c>
      <c r="B152" t="s">
        <v>3668</v>
      </c>
      <c r="C152" s="1" t="s">
        <v>4286</v>
      </c>
      <c r="D152" s="1" t="s">
        <v>2848</v>
      </c>
      <c r="E152" s="26">
        <f>0.000001*F152</f>
        <v>9.9999999999999995E-7</v>
      </c>
      <c r="F152" s="12">
        <f>POWER(SI!E4,3)*POWER(SI!E7/SI!E3,2)/SI!E2</f>
        <v>1</v>
      </c>
      <c r="G152" s="1" t="s">
        <v>1090</v>
      </c>
      <c r="H152" s="1" t="s">
        <v>42</v>
      </c>
    </row>
    <row r="153" spans="1:8" ht="16.5">
      <c r="A153" t="s">
        <v>3649</v>
      </c>
      <c r="B153" t="s">
        <v>3669</v>
      </c>
      <c r="C153" s="1" t="s">
        <v>4286</v>
      </c>
      <c r="D153" s="1" t="s">
        <v>2848</v>
      </c>
      <c r="E153" s="26">
        <f>0.000000001*F153</f>
        <v>1.0000000000000001E-9</v>
      </c>
      <c r="F153" s="12">
        <f>POWER(SI!E4,3)*POWER(SI!E7/SI!E3,2)/SI!E2</f>
        <v>1</v>
      </c>
      <c r="G153" s="1" t="s">
        <v>1090</v>
      </c>
      <c r="H153" s="1" t="s">
        <v>42</v>
      </c>
    </row>
    <row r="154" spans="1:8" ht="16.5">
      <c r="A154" t="s">
        <v>3650</v>
      </c>
      <c r="B154" t="s">
        <v>3670</v>
      </c>
      <c r="C154" s="1" t="s">
        <v>4286</v>
      </c>
      <c r="D154" s="1" t="s">
        <v>2848</v>
      </c>
      <c r="E154" s="26">
        <f>0.000000000001*F154</f>
        <v>9.9999999999999998E-13</v>
      </c>
      <c r="F154" s="12">
        <f>POWER(SI!E4,3)*POWER(SI!E7/SI!E3,2)/SI!E2</f>
        <v>1</v>
      </c>
      <c r="G154" s="1" t="s">
        <v>1090</v>
      </c>
      <c r="H154" s="1" t="s">
        <v>42</v>
      </c>
    </row>
    <row r="155" spans="1:8" ht="16.5">
      <c r="A155" t="s">
        <v>3651</v>
      </c>
      <c r="B155" t="s">
        <v>3671</v>
      </c>
      <c r="C155" s="1" t="s">
        <v>4286</v>
      </c>
      <c r="D155" s="1" t="s">
        <v>2848</v>
      </c>
      <c r="E155" s="26">
        <f>0.000000000000001*F155</f>
        <v>1.0000000000000001E-15</v>
      </c>
      <c r="F155" s="12">
        <f>POWER(SI!E4,3)*POWER(SI!E7/SI!E3,2)/SI!E2</f>
        <v>1</v>
      </c>
      <c r="G155" s="1" t="s">
        <v>1090</v>
      </c>
      <c r="H155" s="1" t="s">
        <v>42</v>
      </c>
    </row>
    <row r="156" spans="1:8" ht="16.5">
      <c r="A156" t="s">
        <v>3652</v>
      </c>
      <c r="B156" t="s">
        <v>3672</v>
      </c>
      <c r="C156" s="1" t="s">
        <v>4286</v>
      </c>
      <c r="D156" s="1" t="s">
        <v>2848</v>
      </c>
      <c r="E156" s="26">
        <f>0.000000000000000001*F156</f>
        <v>1.0000000000000001E-18</v>
      </c>
      <c r="F156" s="12">
        <f>POWER(SI!E4,3)*POWER(SI!E7/SI!E3,2)/SI!E2</f>
        <v>1</v>
      </c>
      <c r="G156" s="1" t="s">
        <v>1090</v>
      </c>
      <c r="H156" s="1" t="s">
        <v>42</v>
      </c>
    </row>
    <row r="157" spans="1:8" ht="16.5">
      <c r="A157" t="s">
        <v>3653</v>
      </c>
      <c r="B157" t="s">
        <v>3673</v>
      </c>
      <c r="C157" s="1" t="s">
        <v>4286</v>
      </c>
      <c r="D157" s="1" t="s">
        <v>2848</v>
      </c>
      <c r="E157" s="26">
        <f>1E-21*F157</f>
        <v>9.9999999999999991E-22</v>
      </c>
      <c r="F157" s="12">
        <f>POWER(SI!E4,3)*POWER(SI!E7/SI!E3,2)/SI!E2</f>
        <v>1</v>
      </c>
      <c r="G157" s="1" t="s">
        <v>1090</v>
      </c>
      <c r="H157" s="1" t="s">
        <v>42</v>
      </c>
    </row>
    <row r="158" spans="1:8" ht="16.5">
      <c r="A158" t="s">
        <v>3654</v>
      </c>
      <c r="B158" t="s">
        <v>3674</v>
      </c>
      <c r="C158" s="1" t="s">
        <v>4286</v>
      </c>
      <c r="D158" s="1" t="s">
        <v>2848</v>
      </c>
      <c r="E158" s="26">
        <f>1E-24*F158</f>
        <v>9.9999999999999992E-25</v>
      </c>
      <c r="F158" s="12">
        <f>POWER(SI!E4,3)*POWER(SI!E7/SI!E3,2)/SI!E2</f>
        <v>1</v>
      </c>
      <c r="G158" s="1" t="s">
        <v>1090</v>
      </c>
      <c r="H158" s="1" t="s">
        <v>42</v>
      </c>
    </row>
    <row r="159" spans="1:8">
      <c r="A159" s="248"/>
      <c r="B159" s="248"/>
      <c r="C159" s="248"/>
      <c r="D159" s="248"/>
      <c r="E159" s="250"/>
      <c r="F159" s="250"/>
      <c r="G159" s="248"/>
      <c r="H159" s="248"/>
    </row>
    <row r="160" spans="1:8" ht="28.8">
      <c r="A160" s="1" t="s">
        <v>6910</v>
      </c>
      <c r="B160" s="1" t="s">
        <v>3014</v>
      </c>
      <c r="C160" s="1" t="s">
        <v>4287</v>
      </c>
      <c r="D160" s="1" t="s">
        <v>2854</v>
      </c>
      <c r="E160" s="12">
        <f>1000000000*F160</f>
        <v>1000000000</v>
      </c>
      <c r="F160" s="12">
        <f>POWER(SI!E4,4)*POWER(SI!E7/SI!E3,2)/SI!E2</f>
        <v>1</v>
      </c>
      <c r="G160" s="1" t="s">
        <v>1089</v>
      </c>
      <c r="H160" s="1" t="s">
        <v>36</v>
      </c>
    </row>
    <row r="161" spans="1:8" ht="28.8">
      <c r="A161" s="1" t="s">
        <v>5818</v>
      </c>
      <c r="B161" s="1" t="s">
        <v>5846</v>
      </c>
      <c r="C161" s="1" t="s">
        <v>4287</v>
      </c>
      <c r="D161" s="1" t="s">
        <v>2854</v>
      </c>
      <c r="E161" s="12">
        <f>1000000000*F161</f>
        <v>1000000000</v>
      </c>
      <c r="F161" s="12">
        <f>POWER(SI!E4,4)*POWER(SI!E7/SI!E3,2)/SI!E2</f>
        <v>1</v>
      </c>
      <c r="G161" s="1" t="s">
        <v>1089</v>
      </c>
      <c r="H161" s="1" t="s">
        <v>36</v>
      </c>
    </row>
    <row r="162" spans="1:8" ht="28.8">
      <c r="A162" s="1" t="s">
        <v>5819</v>
      </c>
      <c r="B162" s="1" t="s">
        <v>5847</v>
      </c>
      <c r="C162" s="1" t="s">
        <v>4287</v>
      </c>
      <c r="D162" s="1" t="s">
        <v>2854</v>
      </c>
      <c r="E162" s="12">
        <f>100000*F162/POWER('Physical Constants'!E3,2)</f>
        <v>1.1126500560536185E-12</v>
      </c>
      <c r="F162" s="12">
        <f>POWER(SI!E4,4)*POWER(SI!E7/SI!E3,2)/SI!E2</f>
        <v>1</v>
      </c>
      <c r="G162" s="1" t="s">
        <v>1089</v>
      </c>
      <c r="H162" s="1" t="s">
        <v>36</v>
      </c>
    </row>
    <row r="163" spans="1:8" ht="28.8">
      <c r="A163" s="1" t="s">
        <v>2564</v>
      </c>
      <c r="B163" s="1" t="s">
        <v>3001</v>
      </c>
      <c r="C163" s="1" t="s">
        <v>4287</v>
      </c>
      <c r="D163" s="1" t="s">
        <v>2854</v>
      </c>
      <c r="E163" s="12">
        <f>100000*F163/POWER('Physical Constants'!E3,2)</f>
        <v>1.1126500560536185E-12</v>
      </c>
      <c r="F163" s="12">
        <f>POWER(SI!E4,4)*POWER(SI!E7/SI!E3,2)/SI!E2</f>
        <v>1</v>
      </c>
      <c r="G163" s="1" t="s">
        <v>1089</v>
      </c>
      <c r="H163" s="1" t="s">
        <v>36</v>
      </c>
    </row>
    <row r="164" spans="1:8" ht="28.8">
      <c r="A164" s="1" t="s">
        <v>192</v>
      </c>
      <c r="B164" s="1" t="s">
        <v>34</v>
      </c>
      <c r="C164" s="1" t="s">
        <v>4287</v>
      </c>
      <c r="D164" s="1" t="s">
        <v>2854</v>
      </c>
      <c r="E164" s="12">
        <f>0.99951*F164</f>
        <v>0.99951000000000001</v>
      </c>
      <c r="F164" s="12">
        <f>POWER(SI!E4,4)*POWER(SI!E7/SI!E3,2)/SI!E2</f>
        <v>1</v>
      </c>
      <c r="G164" s="1" t="s">
        <v>1089</v>
      </c>
      <c r="H164" s="1" t="s">
        <v>141</v>
      </c>
    </row>
    <row r="165" spans="1:8" ht="28.8">
      <c r="A165" s="1" t="s">
        <v>967</v>
      </c>
      <c r="B165" s="7" t="s">
        <v>124</v>
      </c>
      <c r="C165" s="1" t="s">
        <v>4287</v>
      </c>
      <c r="D165" s="1" t="s">
        <v>2854</v>
      </c>
      <c r="E165" s="12">
        <f>F165</f>
        <v>1.1118803173271735E-12</v>
      </c>
      <c r="F165" s="12">
        <f>(1/(3000*'Physical Constants'!E3))*POWER(SI!E4,4)*POWER(SI!E7/SI!E3,2)/SI!E2</f>
        <v>1.1118803173271735E-12</v>
      </c>
      <c r="G165" s="1" t="s">
        <v>1089</v>
      </c>
      <c r="H165" s="1" t="s">
        <v>1148</v>
      </c>
    </row>
    <row r="166" spans="1:8" ht="28.8">
      <c r="A166" s="1" t="s">
        <v>252</v>
      </c>
      <c r="B166" s="1" t="s">
        <v>26</v>
      </c>
      <c r="C166" s="1" t="s">
        <v>4287</v>
      </c>
      <c r="D166" s="1" t="s">
        <v>2854</v>
      </c>
      <c r="E166" s="12">
        <f>F166</f>
        <v>1.1118803173271735E-9</v>
      </c>
      <c r="F166" s="12">
        <f>(1/(3*'Physical Constants'!E3))*POWER(SI!E4,4)*POWER(SI!E7/SI!E3,2)/SI!E2</f>
        <v>1.1118803173271735E-9</v>
      </c>
      <c r="G166" s="1" t="s">
        <v>1089</v>
      </c>
      <c r="H166" s="1" t="s">
        <v>982</v>
      </c>
    </row>
    <row r="167" spans="1:8" ht="28.8">
      <c r="A167" s="1" t="s">
        <v>350</v>
      </c>
      <c r="B167" s="1" t="s">
        <v>26</v>
      </c>
      <c r="C167" s="1" t="s">
        <v>4287</v>
      </c>
      <c r="D167" s="1" t="s">
        <v>2854</v>
      </c>
      <c r="E167" s="12">
        <f>0.000000000001*F167</f>
        <v>9.9999999999999998E-13</v>
      </c>
      <c r="F167" s="12">
        <f>POWER(SI!E4,4)*POWER(SI!E7/SI!E3,2)/SI!E2</f>
        <v>1</v>
      </c>
      <c r="G167" s="1" t="s">
        <v>1089</v>
      </c>
      <c r="H167" s="1" t="s">
        <v>982</v>
      </c>
    </row>
    <row r="168" spans="1:8" ht="28.8">
      <c r="A168" s="1" t="s">
        <v>192</v>
      </c>
      <c r="B168" s="1" t="s">
        <v>34</v>
      </c>
      <c r="C168" s="1" t="s">
        <v>4287</v>
      </c>
      <c r="D168" s="1" t="s">
        <v>2854</v>
      </c>
      <c r="E168" s="12">
        <f>F168</f>
        <v>1</v>
      </c>
      <c r="F168" s="12">
        <f>POWER(SI!E4,4)*POWER(SI!E7/SI!E3,2)/SI!E2</f>
        <v>1</v>
      </c>
      <c r="G168" s="1" t="s">
        <v>1089</v>
      </c>
      <c r="H168" s="1" t="s">
        <v>42</v>
      </c>
    </row>
    <row r="169" spans="1:8" ht="28.8">
      <c r="A169" t="s">
        <v>3253</v>
      </c>
      <c r="B169" t="s">
        <v>3270</v>
      </c>
      <c r="C169" s="1" t="s">
        <v>4287</v>
      </c>
      <c r="D169" s="1" t="s">
        <v>2854</v>
      </c>
      <c r="E169" s="26">
        <f>1E+24*F169</f>
        <v>9.9999999999999998E+23</v>
      </c>
      <c r="F169" s="12">
        <f>POWER(SI!E4,4)*POWER(SI!E7/SI!E3,2)/SI!E2</f>
        <v>1</v>
      </c>
      <c r="G169" s="1" t="s">
        <v>1089</v>
      </c>
      <c r="H169" s="1" t="s">
        <v>42</v>
      </c>
    </row>
    <row r="170" spans="1:8" ht="28.8">
      <c r="A170" t="s">
        <v>3254</v>
      </c>
      <c r="B170" t="s">
        <v>3271</v>
      </c>
      <c r="C170" s="1" t="s">
        <v>4287</v>
      </c>
      <c r="D170" s="1" t="s">
        <v>2854</v>
      </c>
      <c r="E170" s="26">
        <f>1E+21*F170</f>
        <v>1E+21</v>
      </c>
      <c r="F170" s="12">
        <f>POWER(SI!E4,4)*POWER(SI!E7/SI!E3,2)/SI!E2</f>
        <v>1</v>
      </c>
      <c r="G170" s="1" t="s">
        <v>1089</v>
      </c>
      <c r="H170" s="1" t="s">
        <v>42</v>
      </c>
    </row>
    <row r="171" spans="1:8" ht="28.8">
      <c r="A171" t="s">
        <v>3255</v>
      </c>
      <c r="B171" t="s">
        <v>518</v>
      </c>
      <c r="C171" s="1" t="s">
        <v>4287</v>
      </c>
      <c r="D171" s="1" t="s">
        <v>2854</v>
      </c>
      <c r="E171" s="26">
        <f>1000000000000000000*F171</f>
        <v>1E+18</v>
      </c>
      <c r="F171" s="12">
        <f>POWER(SI!E4,4)*POWER(SI!E7/SI!E3,2)/SI!E2</f>
        <v>1</v>
      </c>
      <c r="G171" s="1" t="s">
        <v>1089</v>
      </c>
      <c r="H171" s="1" t="s">
        <v>42</v>
      </c>
    </row>
    <row r="172" spans="1:8" ht="28.8">
      <c r="A172" t="s">
        <v>3256</v>
      </c>
      <c r="B172" t="s">
        <v>3272</v>
      </c>
      <c r="C172" s="1" t="s">
        <v>4287</v>
      </c>
      <c r="D172" s="1" t="s">
        <v>2854</v>
      </c>
      <c r="E172" s="26">
        <f>1000000000000000*F172</f>
        <v>1000000000000000</v>
      </c>
      <c r="F172" s="12">
        <f>POWER(SI!E4,4)*POWER(SI!E7/SI!E3,2)/SI!E2</f>
        <v>1</v>
      </c>
      <c r="G172" s="1" t="s">
        <v>1089</v>
      </c>
      <c r="H172" s="1" t="s">
        <v>42</v>
      </c>
    </row>
    <row r="173" spans="1:8" ht="28.8">
      <c r="A173" t="s">
        <v>3257</v>
      </c>
      <c r="B173" t="s">
        <v>3273</v>
      </c>
      <c r="C173" s="1" t="s">
        <v>4287</v>
      </c>
      <c r="D173" s="1" t="s">
        <v>2854</v>
      </c>
      <c r="E173" s="26">
        <f>1000000000000*F173</f>
        <v>1000000000000</v>
      </c>
      <c r="F173" s="12">
        <f>POWER(SI!E4,4)*POWER(SI!E7/SI!E3,2)/SI!E2</f>
        <v>1</v>
      </c>
      <c r="G173" s="1" t="s">
        <v>1089</v>
      </c>
      <c r="H173" s="1" t="s">
        <v>42</v>
      </c>
    </row>
    <row r="174" spans="1:8" ht="28.8">
      <c r="A174" t="s">
        <v>3258</v>
      </c>
      <c r="B174" t="s">
        <v>3274</v>
      </c>
      <c r="C174" s="1" t="s">
        <v>4287</v>
      </c>
      <c r="D174" s="1" t="s">
        <v>2854</v>
      </c>
      <c r="E174" s="26">
        <f>1000000000*F174</f>
        <v>1000000000</v>
      </c>
      <c r="F174" s="12">
        <f>POWER(SI!E4,4)*POWER(SI!E7/SI!E3,2)/SI!E2</f>
        <v>1</v>
      </c>
      <c r="G174" s="1" t="s">
        <v>1089</v>
      </c>
      <c r="H174" s="1" t="s">
        <v>42</v>
      </c>
    </row>
    <row r="175" spans="1:8" ht="28.8">
      <c r="A175" t="s">
        <v>3259</v>
      </c>
      <c r="B175" t="s">
        <v>3275</v>
      </c>
      <c r="C175" s="1" t="s">
        <v>4287</v>
      </c>
      <c r="D175" s="1" t="s">
        <v>2854</v>
      </c>
      <c r="E175" s="26">
        <f>1000000*F175</f>
        <v>1000000</v>
      </c>
      <c r="F175" s="12">
        <f>POWER(SI!E4,4)*POWER(SI!E7/SI!E3,2)/SI!E2</f>
        <v>1</v>
      </c>
      <c r="G175" s="1" t="s">
        <v>1089</v>
      </c>
      <c r="H175" s="1" t="s">
        <v>42</v>
      </c>
    </row>
    <row r="176" spans="1:8" ht="28.8">
      <c r="A176" t="s">
        <v>3861</v>
      </c>
      <c r="B176" t="s">
        <v>3276</v>
      </c>
      <c r="C176" s="1" t="s">
        <v>4287</v>
      </c>
      <c r="D176" s="1" t="s">
        <v>2854</v>
      </c>
      <c r="E176" s="26">
        <f>1000*F176</f>
        <v>1000</v>
      </c>
      <c r="F176" s="12">
        <f>POWER(SI!E4,4)*POWER(SI!E7/SI!E3,2)/SI!E2</f>
        <v>1</v>
      </c>
      <c r="G176" s="1" t="s">
        <v>1089</v>
      </c>
      <c r="H176" s="1" t="s">
        <v>42</v>
      </c>
    </row>
    <row r="177" spans="1:8" ht="28.8">
      <c r="A177" t="s">
        <v>3260</v>
      </c>
      <c r="B177" t="s">
        <v>3277</v>
      </c>
      <c r="C177" s="1" t="s">
        <v>4287</v>
      </c>
      <c r="D177" s="1" t="s">
        <v>2854</v>
      </c>
      <c r="E177" s="26">
        <f>100*F177</f>
        <v>100</v>
      </c>
      <c r="F177" s="12">
        <f>POWER(SI!E4,4)*POWER(SI!E7/SI!E3,2)/SI!E2</f>
        <v>1</v>
      </c>
      <c r="G177" s="1" t="s">
        <v>1089</v>
      </c>
      <c r="H177" s="1" t="s">
        <v>42</v>
      </c>
    </row>
    <row r="178" spans="1:8" ht="28.8">
      <c r="A178" t="s">
        <v>3860</v>
      </c>
      <c r="B178" t="s">
        <v>3278</v>
      </c>
      <c r="C178" s="1" t="s">
        <v>4287</v>
      </c>
      <c r="D178" s="1" t="s">
        <v>2854</v>
      </c>
      <c r="E178" s="26">
        <f>10*F178</f>
        <v>10</v>
      </c>
      <c r="F178" s="12">
        <f>POWER(SI!E4,4)*POWER(SI!E7/SI!E3,2)/SI!E2</f>
        <v>1</v>
      </c>
      <c r="G178" s="1" t="s">
        <v>1089</v>
      </c>
      <c r="H178" s="1" t="s">
        <v>42</v>
      </c>
    </row>
    <row r="179" spans="1:8" ht="28.8">
      <c r="A179" t="s">
        <v>3261</v>
      </c>
      <c r="B179" t="s">
        <v>3279</v>
      </c>
      <c r="C179" s="1" t="s">
        <v>4287</v>
      </c>
      <c r="D179" s="1" t="s">
        <v>2854</v>
      </c>
      <c r="E179" s="26">
        <f>0.1*F179</f>
        <v>0.1</v>
      </c>
      <c r="F179" s="12">
        <f>POWER(SI!E4,4)*POWER(SI!E7/SI!E3,2)/SI!E2</f>
        <v>1</v>
      </c>
      <c r="G179" s="1" t="s">
        <v>1089</v>
      </c>
      <c r="H179" s="1" t="s">
        <v>42</v>
      </c>
    </row>
    <row r="180" spans="1:8" ht="28.8">
      <c r="A180" t="s">
        <v>3262</v>
      </c>
      <c r="B180" t="s">
        <v>3280</v>
      </c>
      <c r="C180" s="1" t="s">
        <v>4287</v>
      </c>
      <c r="D180" s="1" t="s">
        <v>2854</v>
      </c>
      <c r="E180" s="26">
        <f>0.01*F180</f>
        <v>0.01</v>
      </c>
      <c r="F180" s="12">
        <f>POWER(SI!E4,4)*POWER(SI!E7/SI!E3,2)/SI!E2</f>
        <v>1</v>
      </c>
      <c r="G180" s="1" t="s">
        <v>1089</v>
      </c>
      <c r="H180" s="1" t="s">
        <v>42</v>
      </c>
    </row>
    <row r="181" spans="1:8" ht="28.8">
      <c r="A181" t="s">
        <v>3263</v>
      </c>
      <c r="B181" t="s">
        <v>3281</v>
      </c>
      <c r="C181" s="1" t="s">
        <v>4287</v>
      </c>
      <c r="D181" s="1" t="s">
        <v>2854</v>
      </c>
      <c r="E181" s="26">
        <f>0.001*F181</f>
        <v>1E-3</v>
      </c>
      <c r="F181" s="12">
        <f>POWER(SI!E4,4)*POWER(SI!E7/SI!E3,2)/SI!E2</f>
        <v>1</v>
      </c>
      <c r="G181" s="1" t="s">
        <v>1089</v>
      </c>
      <c r="H181" s="1" t="s">
        <v>42</v>
      </c>
    </row>
    <row r="182" spans="1:8" ht="28.8">
      <c r="A182" t="s">
        <v>3264</v>
      </c>
      <c r="B182" t="s">
        <v>3282</v>
      </c>
      <c r="C182" s="1" t="s">
        <v>4287</v>
      </c>
      <c r="D182" s="1" t="s">
        <v>2854</v>
      </c>
      <c r="E182" s="26">
        <f>0.000001*F182</f>
        <v>9.9999999999999995E-7</v>
      </c>
      <c r="F182" s="12">
        <f>POWER(SI!E4,4)*POWER(SI!E7/SI!E3,2)/SI!E2</f>
        <v>1</v>
      </c>
      <c r="G182" s="1" t="s">
        <v>1089</v>
      </c>
      <c r="H182" s="1" t="s">
        <v>42</v>
      </c>
    </row>
    <row r="183" spans="1:8" ht="28.8">
      <c r="A183" t="s">
        <v>3265</v>
      </c>
      <c r="B183" t="s">
        <v>3283</v>
      </c>
      <c r="C183" s="1" t="s">
        <v>4287</v>
      </c>
      <c r="D183" s="1" t="s">
        <v>2854</v>
      </c>
      <c r="E183" s="26">
        <f>0.000000001*F183</f>
        <v>1.0000000000000001E-9</v>
      </c>
      <c r="F183" s="12">
        <f>POWER(SI!E4,4)*POWER(SI!E7/SI!E3,2)/SI!E2</f>
        <v>1</v>
      </c>
      <c r="G183" s="1" t="s">
        <v>1089</v>
      </c>
      <c r="H183" s="1" t="s">
        <v>42</v>
      </c>
    </row>
    <row r="184" spans="1:8" ht="28.8">
      <c r="A184" t="s">
        <v>3266</v>
      </c>
      <c r="B184" t="s">
        <v>3284</v>
      </c>
      <c r="C184" s="1" t="s">
        <v>4287</v>
      </c>
      <c r="D184" s="1" t="s">
        <v>2854</v>
      </c>
      <c r="E184" s="26">
        <f>0.000000000001*F184</f>
        <v>9.9999999999999998E-13</v>
      </c>
      <c r="F184" s="12">
        <f>POWER(SI!E4,4)*POWER(SI!E7/SI!E3,2)/SI!E2</f>
        <v>1</v>
      </c>
      <c r="G184" s="1" t="s">
        <v>1089</v>
      </c>
      <c r="H184" s="1" t="s">
        <v>42</v>
      </c>
    </row>
    <row r="185" spans="1:8" ht="28.8">
      <c r="A185" t="s">
        <v>3267</v>
      </c>
      <c r="B185" t="s">
        <v>3285</v>
      </c>
      <c r="C185" s="1" t="s">
        <v>4287</v>
      </c>
      <c r="D185" s="1" t="s">
        <v>2854</v>
      </c>
      <c r="E185" s="26">
        <f>0.000000000000001*F185</f>
        <v>1.0000000000000001E-15</v>
      </c>
      <c r="F185" s="12">
        <f>POWER(SI!E4,4)*POWER(SI!E7/SI!E3,2)/SI!E2</f>
        <v>1</v>
      </c>
      <c r="G185" s="1" t="s">
        <v>1089</v>
      </c>
      <c r="H185" s="1" t="s">
        <v>42</v>
      </c>
    </row>
    <row r="186" spans="1:8" ht="28.8">
      <c r="A186" t="s">
        <v>3268</v>
      </c>
      <c r="B186" t="s">
        <v>3014</v>
      </c>
      <c r="C186" s="1" t="s">
        <v>4287</v>
      </c>
      <c r="D186" s="1" t="s">
        <v>2854</v>
      </c>
      <c r="E186" s="26">
        <f>0.000000000000000001*F186</f>
        <v>1.0000000000000001E-18</v>
      </c>
      <c r="F186" s="12">
        <f>POWER(SI!E4,4)*POWER(SI!E7/SI!E3,2)/SI!E2</f>
        <v>1</v>
      </c>
      <c r="G186" s="1" t="s">
        <v>1089</v>
      </c>
      <c r="H186" s="1" t="s">
        <v>42</v>
      </c>
    </row>
    <row r="187" spans="1:8" ht="28.8">
      <c r="A187" t="s">
        <v>3269</v>
      </c>
      <c r="B187" t="s">
        <v>3286</v>
      </c>
      <c r="C187" s="1" t="s">
        <v>4287</v>
      </c>
      <c r="D187" s="1" t="s">
        <v>2854</v>
      </c>
      <c r="E187" s="26">
        <f>1E-21*F187</f>
        <v>9.9999999999999991E-22</v>
      </c>
      <c r="F187" s="12">
        <f>POWER(SI!E4,4)*POWER(SI!E7/SI!E3,2)/SI!E2</f>
        <v>1</v>
      </c>
      <c r="G187" s="1" t="s">
        <v>1089</v>
      </c>
      <c r="H187" s="1" t="s">
        <v>42</v>
      </c>
    </row>
    <row r="188" spans="1:8" ht="28.8">
      <c r="A188" t="s">
        <v>3252</v>
      </c>
      <c r="B188" t="s">
        <v>3287</v>
      </c>
      <c r="C188" s="1" t="s">
        <v>4287</v>
      </c>
      <c r="D188" s="1" t="s">
        <v>2854</v>
      </c>
      <c r="E188" s="26">
        <f>1E-24*F188</f>
        <v>9.9999999999999992E-25</v>
      </c>
      <c r="F188" s="12">
        <f>POWER(SI!E4,4)*POWER(SI!E7/SI!E3,2)/SI!E2</f>
        <v>1</v>
      </c>
      <c r="G188" s="1" t="s">
        <v>1089</v>
      </c>
      <c r="H188" s="1" t="s">
        <v>42</v>
      </c>
    </row>
    <row r="189" spans="1:8">
      <c r="A189" s="248"/>
      <c r="B189" s="248"/>
      <c r="C189" s="248"/>
      <c r="D189" s="248"/>
      <c r="E189" s="250"/>
      <c r="F189" s="250"/>
      <c r="G189" s="248"/>
      <c r="H189" s="248"/>
    </row>
    <row r="190" spans="1:8" ht="28.8">
      <c r="A190" s="1" t="s">
        <v>360</v>
      </c>
      <c r="B190" s="1" t="s">
        <v>26</v>
      </c>
      <c r="C190" s="1" t="s">
        <v>4288</v>
      </c>
      <c r="D190" s="1" t="s">
        <v>2890</v>
      </c>
      <c r="E190" s="12">
        <f>100*F190</f>
        <v>100</v>
      </c>
      <c r="F190" s="12">
        <f>POWER(SI!E4/SI!E3,3)*POWER(SI!E7,2)/SI!E2</f>
        <v>1</v>
      </c>
      <c r="G190" s="1" t="s">
        <v>1143</v>
      </c>
      <c r="H190" s="1" t="s">
        <v>36</v>
      </c>
    </row>
    <row r="191" spans="1:8" ht="28.8">
      <c r="A191" s="1" t="s">
        <v>361</v>
      </c>
      <c r="B191" s="1" t="s">
        <v>26</v>
      </c>
      <c r="C191" s="1" t="s">
        <v>4288</v>
      </c>
      <c r="D191" s="1" t="s">
        <v>2890</v>
      </c>
      <c r="E191" s="12">
        <f>F191</f>
        <v>1</v>
      </c>
      <c r="F191" s="12">
        <f>POWER(SI!E4/SI!E3,3)*POWER(SI!E7,2)/SI!E2</f>
        <v>1</v>
      </c>
      <c r="G191" s="1" t="s">
        <v>1143</v>
      </c>
      <c r="H191" s="1" t="s">
        <v>309</v>
      </c>
    </row>
    <row r="192" spans="1:8" ht="28.8">
      <c r="A192" s="1" t="s">
        <v>5820</v>
      </c>
      <c r="B192" s="1" t="s">
        <v>4157</v>
      </c>
      <c r="C192" s="1" t="s">
        <v>4288</v>
      </c>
      <c r="D192" s="1" t="s">
        <v>2890</v>
      </c>
      <c r="E192" s="12">
        <f>12*F192/Systems!D6</f>
        <v>39.370078740157481</v>
      </c>
      <c r="F192" s="12">
        <f>POWER(SI!E4/SI!E3,3)*POWER(SI!E7,2)/SI!E2</f>
        <v>1</v>
      </c>
      <c r="G192" s="1" t="s">
        <v>1143</v>
      </c>
      <c r="H192" s="1" t="s">
        <v>982</v>
      </c>
    </row>
    <row r="193" spans="1:8" ht="28.8">
      <c r="A193" s="1" t="s">
        <v>5821</v>
      </c>
      <c r="B193" s="1" t="s">
        <v>2391</v>
      </c>
      <c r="C193" s="1" t="s">
        <v>4288</v>
      </c>
      <c r="D193" s="1" t="s">
        <v>2890</v>
      </c>
      <c r="E193" s="12">
        <f>F193/Systems!D6</f>
        <v>3.280839895013123</v>
      </c>
      <c r="F193" s="12">
        <f>POWER(SI!E4/SI!E3,3)*POWER(SI!E7,2)/SI!E2</f>
        <v>1</v>
      </c>
      <c r="G193" s="1" t="s">
        <v>1143</v>
      </c>
      <c r="H193" s="1" t="s">
        <v>982</v>
      </c>
    </row>
    <row r="194" spans="1:8" ht="28.8">
      <c r="A194" s="1" t="s">
        <v>5822</v>
      </c>
      <c r="B194" s="1" t="s">
        <v>360</v>
      </c>
      <c r="C194" s="1" t="s">
        <v>4288</v>
      </c>
      <c r="D194" s="1" t="s">
        <v>2890</v>
      </c>
      <c r="E194" s="12">
        <f>100*F194</f>
        <v>100</v>
      </c>
      <c r="F194" s="12">
        <f>POWER(SI!E4/SI!E3,3)*POWER(SI!E7,2)/SI!E2</f>
        <v>1</v>
      </c>
      <c r="G194" s="1" t="s">
        <v>1143</v>
      </c>
      <c r="H194" s="1" t="s">
        <v>982</v>
      </c>
    </row>
    <row r="195" spans="1:8" ht="28.8">
      <c r="A195" s="1" t="s">
        <v>5823</v>
      </c>
      <c r="B195" s="1" t="s">
        <v>26</v>
      </c>
      <c r="C195" s="1" t="s">
        <v>4288</v>
      </c>
      <c r="D195" s="1" t="s">
        <v>2890</v>
      </c>
      <c r="E195" s="12">
        <f>F195</f>
        <v>1</v>
      </c>
      <c r="F195" s="12">
        <f>POWER(SI!E4/SI!E3,3)*POWER(SI!E7,2)/SI!E2</f>
        <v>1</v>
      </c>
      <c r="G195" s="1" t="s">
        <v>1143</v>
      </c>
      <c r="H195" s="1" t="s">
        <v>982</v>
      </c>
    </row>
    <row r="196" spans="1:8" ht="28.8">
      <c r="A196" s="1" t="s">
        <v>5824</v>
      </c>
      <c r="B196" s="1" t="s">
        <v>2516</v>
      </c>
      <c r="C196" s="1" t="s">
        <v>4288</v>
      </c>
      <c r="D196" s="1" t="s">
        <v>2890</v>
      </c>
      <c r="E196" s="12">
        <f>F196</f>
        <v>1</v>
      </c>
      <c r="F196" s="12">
        <f>POWER(SI!E4/SI!E3,3)*POWER(SI!E7,2)/SI!E2</f>
        <v>1</v>
      </c>
      <c r="G196" s="1" t="s">
        <v>1143</v>
      </c>
      <c r="H196" s="1" t="s">
        <v>982</v>
      </c>
    </row>
    <row r="197" spans="1:8">
      <c r="A197" s="248"/>
      <c r="B197" s="248"/>
      <c r="C197" s="248"/>
      <c r="D197" s="248"/>
      <c r="E197" s="250"/>
      <c r="F197" s="250"/>
      <c r="G197" s="248"/>
      <c r="H197" s="248"/>
    </row>
    <row r="198" spans="1:8" ht="28.8">
      <c r="A198" s="1" t="s">
        <v>357</v>
      </c>
      <c r="B198" s="1" t="s">
        <v>26</v>
      </c>
      <c r="C198" s="1" t="s">
        <v>4289</v>
      </c>
      <c r="D198" s="1" t="s">
        <v>2892</v>
      </c>
      <c r="E198" s="12">
        <f>10*F198</f>
        <v>10</v>
      </c>
      <c r="F198" s="12">
        <f>SI!E2/(POWER(SI!E3,2)*SI!E4)</f>
        <v>1</v>
      </c>
      <c r="G198" s="1" t="s">
        <v>1142</v>
      </c>
      <c r="H198" s="1" t="s">
        <v>36</v>
      </c>
    </row>
    <row r="199" spans="1:8" ht="28.8">
      <c r="A199" s="1" t="s">
        <v>357</v>
      </c>
      <c r="B199" s="1" t="s">
        <v>26</v>
      </c>
      <c r="C199" s="1" t="s">
        <v>4289</v>
      </c>
      <c r="D199" s="1" t="s">
        <v>2892</v>
      </c>
      <c r="E199" s="12">
        <f>F199</f>
        <v>1</v>
      </c>
      <c r="F199" s="12">
        <f>SI!E2/(POWER(SI!E3,2)*SI!E4)</f>
        <v>1</v>
      </c>
      <c r="G199" s="1" t="s">
        <v>1142</v>
      </c>
      <c r="H199" s="1" t="s">
        <v>309</v>
      </c>
    </row>
    <row r="200" spans="1:8">
      <c r="A200" s="248"/>
      <c r="B200" s="248"/>
      <c r="C200" s="248"/>
      <c r="D200" s="248"/>
      <c r="E200" s="250"/>
      <c r="F200" s="250"/>
      <c r="G200" s="248"/>
      <c r="H200" s="248"/>
    </row>
    <row r="201" spans="1:8" ht="28.8">
      <c r="A201" s="1" t="s">
        <v>282</v>
      </c>
      <c r="B201" s="1" t="s">
        <v>281</v>
      </c>
      <c r="C201" s="1" t="s">
        <v>4315</v>
      </c>
      <c r="D201" s="1" t="s">
        <v>2852</v>
      </c>
      <c r="E201" s="12">
        <f>0.00000001*F201</f>
        <v>1E-8</v>
      </c>
      <c r="F201" s="12">
        <f>SI!E2*POWER(SI!E3/SI!E4,2)/SI!E7</f>
        <v>1</v>
      </c>
      <c r="G201" s="1" t="s">
        <v>1136</v>
      </c>
      <c r="H201" s="1" t="s">
        <v>36</v>
      </c>
    </row>
    <row r="202" spans="1:8" ht="28.8">
      <c r="A202" s="1" t="s">
        <v>5825</v>
      </c>
      <c r="B202" s="1" t="s">
        <v>26</v>
      </c>
      <c r="C202" s="1" t="s">
        <v>4315</v>
      </c>
      <c r="D202" s="1" t="s">
        <v>2852</v>
      </c>
      <c r="E202" s="12">
        <f>6000*0.00000001*F202</f>
        <v>6.0000000000000002E-5</v>
      </c>
      <c r="F202" s="166">
        <f>SI!E2*POWER(SI!E3/SI!E4,2)/SI!E7</f>
        <v>1</v>
      </c>
      <c r="G202" s="1" t="s">
        <v>1136</v>
      </c>
      <c r="H202" s="1" t="s">
        <v>1148</v>
      </c>
    </row>
    <row r="203" spans="1:8" ht="28.8">
      <c r="A203" s="1" t="s">
        <v>5826</v>
      </c>
      <c r="B203" s="1" t="s">
        <v>26</v>
      </c>
      <c r="C203" s="1" t="s">
        <v>4315</v>
      </c>
      <c r="D203" s="1" t="s">
        <v>2852</v>
      </c>
      <c r="E203" s="12">
        <f>F203</f>
        <v>1.2566370614359172E-7</v>
      </c>
      <c r="F203" s="12">
        <f>4*PI()*0.00000001*SI!E2*POWER(SI!E3/SI!E4,2)/SI!E7</f>
        <v>1.2566370614359172E-7</v>
      </c>
      <c r="G203" s="1" t="s">
        <v>1136</v>
      </c>
      <c r="H203" s="1" t="s">
        <v>1148</v>
      </c>
    </row>
    <row r="204" spans="1:8" ht="28.8">
      <c r="A204" s="1" t="s">
        <v>161</v>
      </c>
      <c r="B204" s="1" t="s">
        <v>164</v>
      </c>
      <c r="C204" s="1" t="s">
        <v>4315</v>
      </c>
      <c r="D204" s="1" t="s">
        <v>2852</v>
      </c>
      <c r="E204" s="12">
        <f>0.000000000000000001*F204</f>
        <v>3.3356409519815207E-30</v>
      </c>
      <c r="F204" s="12">
        <f>('Physical Definitions'!E22/(10*'Physical Constants'!E3))*SI!E2*POWER(SI!E3/SI!E4,2)/SI!E7</f>
        <v>3.3356409519815207E-12</v>
      </c>
      <c r="G204" s="1" t="s">
        <v>1136</v>
      </c>
      <c r="H204" s="1" t="s">
        <v>982</v>
      </c>
    </row>
    <row r="205" spans="1:8" ht="28.8">
      <c r="A205" s="1" t="s">
        <v>420</v>
      </c>
      <c r="B205" s="1" t="s">
        <v>423</v>
      </c>
      <c r="C205" s="1" t="s">
        <v>4315</v>
      </c>
      <c r="D205" s="1" t="s">
        <v>2852</v>
      </c>
      <c r="E205" s="12">
        <f>F205</f>
        <v>1</v>
      </c>
      <c r="F205" s="12">
        <f>SI!E2*POWER(SI!E3/SI!E4,2)/SI!E7</f>
        <v>1</v>
      </c>
      <c r="G205" s="1" t="s">
        <v>1136</v>
      </c>
      <c r="H205" s="1" t="s">
        <v>42</v>
      </c>
    </row>
    <row r="206" spans="1:8" ht="28.8">
      <c r="A206" s="1" t="s">
        <v>255</v>
      </c>
      <c r="B206" s="1" t="s">
        <v>26</v>
      </c>
      <c r="C206" s="1" t="s">
        <v>4315</v>
      </c>
      <c r="D206" s="1" t="s">
        <v>2852</v>
      </c>
      <c r="E206" s="12">
        <f>0.00000001*F206</f>
        <v>1E-8</v>
      </c>
      <c r="F206" s="12">
        <f>SI!E2*POWER(SI!E3/SI!E4,2)/SI!E7</f>
        <v>1</v>
      </c>
      <c r="G206" s="1" t="s">
        <v>1136</v>
      </c>
      <c r="H206" s="1" t="s">
        <v>47</v>
      </c>
    </row>
    <row r="207" spans="1:8" ht="28.8">
      <c r="A207" t="s">
        <v>3798</v>
      </c>
      <c r="B207" t="s">
        <v>3820</v>
      </c>
      <c r="C207" s="1" t="s">
        <v>4315</v>
      </c>
      <c r="D207" s="1" t="s">
        <v>2852</v>
      </c>
      <c r="E207" s="26">
        <f>1E+24*F207</f>
        <v>9.9999999999999998E+23</v>
      </c>
      <c r="F207" s="12">
        <f>SI!E2*POWER(SI!E3/SI!E4,2)/SI!E7</f>
        <v>1</v>
      </c>
      <c r="G207" s="1" t="s">
        <v>1136</v>
      </c>
      <c r="H207" s="1" t="s">
        <v>42</v>
      </c>
    </row>
    <row r="208" spans="1:8" ht="28.8">
      <c r="A208" t="s">
        <v>3799</v>
      </c>
      <c r="B208" t="s">
        <v>3821</v>
      </c>
      <c r="C208" s="1" t="s">
        <v>4315</v>
      </c>
      <c r="D208" s="1" t="s">
        <v>2852</v>
      </c>
      <c r="E208" s="26">
        <f>1E+21*F208</f>
        <v>1E+21</v>
      </c>
      <c r="F208" s="12">
        <f>SI!E2*POWER(SI!E3/SI!E4,2)/SI!E7</f>
        <v>1</v>
      </c>
      <c r="G208" s="1" t="s">
        <v>1136</v>
      </c>
      <c r="H208" s="1" t="s">
        <v>42</v>
      </c>
    </row>
    <row r="209" spans="1:8" ht="28.8">
      <c r="A209" t="s">
        <v>3800</v>
      </c>
      <c r="B209" t="s">
        <v>3822</v>
      </c>
      <c r="C209" s="1" t="s">
        <v>4315</v>
      </c>
      <c r="D209" s="1" t="s">
        <v>2852</v>
      </c>
      <c r="E209" s="26">
        <f>1000000000000000000*F209</f>
        <v>1E+18</v>
      </c>
      <c r="F209" s="12">
        <f>SI!E2*POWER(SI!E3/SI!E4,2)/SI!E7</f>
        <v>1</v>
      </c>
      <c r="G209" s="1" t="s">
        <v>1136</v>
      </c>
      <c r="H209" s="1" t="s">
        <v>42</v>
      </c>
    </row>
    <row r="210" spans="1:8" ht="28.8">
      <c r="A210" t="s">
        <v>3801</v>
      </c>
      <c r="B210" t="s">
        <v>3823</v>
      </c>
      <c r="C210" s="1" t="s">
        <v>4315</v>
      </c>
      <c r="D210" s="1" t="s">
        <v>2852</v>
      </c>
      <c r="E210" s="26">
        <f>1000000000000000*F210</f>
        <v>1000000000000000</v>
      </c>
      <c r="F210" s="12">
        <f>SI!E2*POWER(SI!E3/SI!E4,2)/SI!E7</f>
        <v>1</v>
      </c>
      <c r="G210" s="1" t="s">
        <v>1136</v>
      </c>
      <c r="H210" s="1" t="s">
        <v>42</v>
      </c>
    </row>
    <row r="211" spans="1:8" ht="28.8">
      <c r="A211" t="s">
        <v>3802</v>
      </c>
      <c r="B211" t="s">
        <v>3824</v>
      </c>
      <c r="C211" s="1" t="s">
        <v>4315</v>
      </c>
      <c r="D211" s="1" t="s">
        <v>2852</v>
      </c>
      <c r="E211" s="26">
        <f>1000000000000*F211</f>
        <v>1000000000000</v>
      </c>
      <c r="F211" s="12">
        <f>SI!E2*POWER(SI!E3/SI!E4,2)/SI!E7</f>
        <v>1</v>
      </c>
      <c r="G211" s="1" t="s">
        <v>1136</v>
      </c>
      <c r="H211" s="1" t="s">
        <v>42</v>
      </c>
    </row>
    <row r="212" spans="1:8" ht="28.8">
      <c r="A212" t="s">
        <v>3803</v>
      </c>
      <c r="B212" t="s">
        <v>3825</v>
      </c>
      <c r="C212" s="1" t="s">
        <v>4315</v>
      </c>
      <c r="D212" s="1" t="s">
        <v>2852</v>
      </c>
      <c r="E212" s="26">
        <f>1000000000*F212</f>
        <v>1000000000</v>
      </c>
      <c r="F212" s="12">
        <f>SI!E2*POWER(SI!E3/SI!E4,2)/SI!E7</f>
        <v>1</v>
      </c>
      <c r="G212" s="1" t="s">
        <v>1136</v>
      </c>
      <c r="H212" s="1" t="s">
        <v>42</v>
      </c>
    </row>
    <row r="213" spans="1:8" ht="28.8">
      <c r="A213" t="s">
        <v>3804</v>
      </c>
      <c r="B213" t="s">
        <v>3826</v>
      </c>
      <c r="C213" s="1" t="s">
        <v>4315</v>
      </c>
      <c r="D213" s="1" t="s">
        <v>2852</v>
      </c>
      <c r="E213" s="26">
        <f>1000000*F213</f>
        <v>1000000</v>
      </c>
      <c r="F213" s="12">
        <f>SI!E2*POWER(SI!E3/SI!E4,2)/SI!E7</f>
        <v>1</v>
      </c>
      <c r="G213" s="1" t="s">
        <v>1136</v>
      </c>
      <c r="H213" s="1" t="s">
        <v>42</v>
      </c>
    </row>
    <row r="214" spans="1:8" ht="28.8">
      <c r="A214" t="s">
        <v>3805</v>
      </c>
      <c r="B214" t="s">
        <v>3827</v>
      </c>
      <c r="C214" s="1" t="s">
        <v>4315</v>
      </c>
      <c r="D214" s="1" t="s">
        <v>2852</v>
      </c>
      <c r="E214" s="26">
        <f>1000*F214</f>
        <v>1000</v>
      </c>
      <c r="F214" s="12">
        <f>SI!E2*POWER(SI!E3/SI!E4,2)/SI!E7</f>
        <v>1</v>
      </c>
      <c r="G214" s="1" t="s">
        <v>1136</v>
      </c>
      <c r="H214" s="1" t="s">
        <v>42</v>
      </c>
    </row>
    <row r="215" spans="1:8" ht="28.8">
      <c r="A215" t="s">
        <v>3806</v>
      </c>
      <c r="B215" t="s">
        <v>3828</v>
      </c>
      <c r="C215" s="1" t="s">
        <v>4315</v>
      </c>
      <c r="D215" s="1" t="s">
        <v>2852</v>
      </c>
      <c r="E215" s="26">
        <f>100*F215</f>
        <v>100</v>
      </c>
      <c r="F215" s="12">
        <f>SI!E2*POWER(SI!E3/SI!E4,2)/SI!E7</f>
        <v>1</v>
      </c>
      <c r="G215" s="1" t="s">
        <v>1136</v>
      </c>
      <c r="H215" s="1" t="s">
        <v>42</v>
      </c>
    </row>
    <row r="216" spans="1:8" ht="28.8">
      <c r="A216" t="s">
        <v>3807</v>
      </c>
      <c r="B216" t="s">
        <v>3829</v>
      </c>
      <c r="C216" s="1" t="s">
        <v>4315</v>
      </c>
      <c r="D216" s="1" t="s">
        <v>2852</v>
      </c>
      <c r="E216" s="26">
        <f>10*F216</f>
        <v>10</v>
      </c>
      <c r="F216" s="12">
        <f>SI!E2*POWER(SI!E3/SI!E4,2)/SI!E7</f>
        <v>1</v>
      </c>
      <c r="G216" s="1" t="s">
        <v>1136</v>
      </c>
      <c r="H216" s="1" t="s">
        <v>42</v>
      </c>
    </row>
    <row r="217" spans="1:8" ht="28.8">
      <c r="A217" t="s">
        <v>3808</v>
      </c>
      <c r="B217" t="s">
        <v>3830</v>
      </c>
      <c r="C217" s="1" t="s">
        <v>4315</v>
      </c>
      <c r="D217" s="1" t="s">
        <v>2852</v>
      </c>
      <c r="E217" s="26">
        <f>0.1*F217</f>
        <v>0.1</v>
      </c>
      <c r="F217" s="12">
        <f>SI!E2*POWER(SI!E3/SI!E4,2)/SI!E7</f>
        <v>1</v>
      </c>
      <c r="G217" s="1" t="s">
        <v>1136</v>
      </c>
      <c r="H217" s="1" t="s">
        <v>42</v>
      </c>
    </row>
    <row r="218" spans="1:8" ht="28.8">
      <c r="A218" t="s">
        <v>3809</v>
      </c>
      <c r="B218" t="s">
        <v>3831</v>
      </c>
      <c r="C218" s="1" t="s">
        <v>4315</v>
      </c>
      <c r="D218" s="1" t="s">
        <v>2852</v>
      </c>
      <c r="E218" s="26">
        <f>0.01*F218</f>
        <v>0.01</v>
      </c>
      <c r="F218" s="12">
        <f>SI!E2*POWER(SI!E3/SI!E4,2)/SI!E7</f>
        <v>1</v>
      </c>
      <c r="G218" s="1" t="s">
        <v>1136</v>
      </c>
      <c r="H218" s="1" t="s">
        <v>42</v>
      </c>
    </row>
    <row r="219" spans="1:8" ht="28.8">
      <c r="A219" t="s">
        <v>3810</v>
      </c>
      <c r="B219" t="s">
        <v>3832</v>
      </c>
      <c r="C219" s="1" t="s">
        <v>4315</v>
      </c>
      <c r="D219" s="1" t="s">
        <v>2852</v>
      </c>
      <c r="E219" s="26">
        <f>0.001*F219</f>
        <v>1E-3</v>
      </c>
      <c r="F219" s="12">
        <f>SI!E2*POWER(SI!E3/SI!E4,2)/SI!E7</f>
        <v>1</v>
      </c>
      <c r="G219" s="1" t="s">
        <v>1136</v>
      </c>
      <c r="H219" s="1" t="s">
        <v>42</v>
      </c>
    </row>
    <row r="220" spans="1:8" ht="28.8">
      <c r="A220" t="s">
        <v>3811</v>
      </c>
      <c r="B220" t="s">
        <v>3833</v>
      </c>
      <c r="C220" s="1" t="s">
        <v>4315</v>
      </c>
      <c r="D220" s="1" t="s">
        <v>2852</v>
      </c>
      <c r="E220" s="26">
        <f>0.000001*F220</f>
        <v>9.9999999999999995E-7</v>
      </c>
      <c r="F220" s="12">
        <f>SI!E2*POWER(SI!E3/SI!E4,2)/SI!E7</f>
        <v>1</v>
      </c>
      <c r="G220" s="1" t="s">
        <v>1136</v>
      </c>
      <c r="H220" s="1" t="s">
        <v>42</v>
      </c>
    </row>
    <row r="221" spans="1:8" ht="28.8">
      <c r="A221" t="s">
        <v>3812</v>
      </c>
      <c r="B221" t="s">
        <v>3834</v>
      </c>
      <c r="C221" s="1" t="s">
        <v>4315</v>
      </c>
      <c r="D221" s="1" t="s">
        <v>2852</v>
      </c>
      <c r="E221" s="26">
        <f>0.000000001*F221</f>
        <v>1.0000000000000001E-9</v>
      </c>
      <c r="F221" s="12">
        <f>SI!E2*POWER(SI!E3/SI!E4,2)/SI!E7</f>
        <v>1</v>
      </c>
      <c r="G221" s="1" t="s">
        <v>1136</v>
      </c>
      <c r="H221" s="1" t="s">
        <v>42</v>
      </c>
    </row>
    <row r="222" spans="1:8" ht="28.8">
      <c r="A222" t="s">
        <v>3813</v>
      </c>
      <c r="B222" t="s">
        <v>3835</v>
      </c>
      <c r="C222" s="1" t="s">
        <v>4315</v>
      </c>
      <c r="D222" s="1" t="s">
        <v>2852</v>
      </c>
      <c r="E222" s="26">
        <f>0.000000000001*F222</f>
        <v>9.9999999999999998E-13</v>
      </c>
      <c r="F222" s="12">
        <f>SI!E2*POWER(SI!E3/SI!E4,2)/SI!E7</f>
        <v>1</v>
      </c>
      <c r="G222" s="1" t="s">
        <v>1136</v>
      </c>
      <c r="H222" s="1" t="s">
        <v>42</v>
      </c>
    </row>
    <row r="223" spans="1:8" ht="28.8">
      <c r="A223" t="s">
        <v>3814</v>
      </c>
      <c r="B223" t="s">
        <v>3836</v>
      </c>
      <c r="C223" s="1" t="s">
        <v>4315</v>
      </c>
      <c r="D223" s="1" t="s">
        <v>2852</v>
      </c>
      <c r="E223" s="26">
        <f>0.000000000000001*F223</f>
        <v>1.0000000000000001E-15</v>
      </c>
      <c r="F223" s="12">
        <f>SI!E2*POWER(SI!E3/SI!E4,2)/SI!E7</f>
        <v>1</v>
      </c>
      <c r="G223" s="1" t="s">
        <v>1136</v>
      </c>
      <c r="H223" s="1" t="s">
        <v>42</v>
      </c>
    </row>
    <row r="224" spans="1:8" ht="28.8">
      <c r="A224" t="s">
        <v>3815</v>
      </c>
      <c r="B224" t="s">
        <v>3837</v>
      </c>
      <c r="C224" s="1" t="s">
        <v>4315</v>
      </c>
      <c r="D224" s="1" t="s">
        <v>2852</v>
      </c>
      <c r="E224" s="26">
        <f>0.000000000000000001*F224</f>
        <v>1.0000000000000001E-18</v>
      </c>
      <c r="F224" s="12">
        <f>SI!E2*POWER(SI!E3/SI!E4,2)/SI!E7</f>
        <v>1</v>
      </c>
      <c r="G224" s="1" t="s">
        <v>1136</v>
      </c>
      <c r="H224" s="1" t="s">
        <v>42</v>
      </c>
    </row>
    <row r="225" spans="1:8" ht="28.8">
      <c r="A225" t="s">
        <v>3816</v>
      </c>
      <c r="B225" t="s">
        <v>3838</v>
      </c>
      <c r="C225" s="1" t="s">
        <v>4315</v>
      </c>
      <c r="D225" s="1" t="s">
        <v>2852</v>
      </c>
      <c r="E225" s="26">
        <f>1E-21*F225</f>
        <v>9.9999999999999991E-22</v>
      </c>
      <c r="F225" s="12">
        <f>SI!E2*POWER(SI!E3/SI!E4,2)/SI!E7</f>
        <v>1</v>
      </c>
      <c r="G225" s="1" t="s">
        <v>1136</v>
      </c>
      <c r="H225" s="1" t="s">
        <v>42</v>
      </c>
    </row>
    <row r="226" spans="1:8" ht="28.8">
      <c r="A226" t="s">
        <v>3817</v>
      </c>
      <c r="B226" t="s">
        <v>3839</v>
      </c>
      <c r="C226" s="1" t="s">
        <v>4315</v>
      </c>
      <c r="D226" s="1" t="s">
        <v>2852</v>
      </c>
      <c r="E226" s="26">
        <f>1E-24*F226</f>
        <v>9.9999999999999992E-25</v>
      </c>
      <c r="F226" s="12">
        <f>SI!E2*POWER(SI!E3/SI!E4,2)/SI!E7</f>
        <v>1</v>
      </c>
      <c r="G226" s="1" t="s">
        <v>1136</v>
      </c>
      <c r="H226" s="1" t="s">
        <v>42</v>
      </c>
    </row>
    <row r="227" spans="1:8">
      <c r="A227" s="248"/>
      <c r="B227" s="248"/>
      <c r="C227" s="248"/>
      <c r="D227" s="248"/>
      <c r="E227" s="250"/>
      <c r="F227" s="250"/>
      <c r="G227" s="248"/>
      <c r="H227" s="248"/>
    </row>
    <row r="228" spans="1:8" ht="28.8">
      <c r="A228" s="1" t="s">
        <v>1152</v>
      </c>
      <c r="B228" s="1" t="s">
        <v>3021</v>
      </c>
      <c r="C228" s="1" t="s">
        <v>4316</v>
      </c>
      <c r="D228" s="1" t="s">
        <v>2855</v>
      </c>
      <c r="E228" s="12">
        <f>0.000000001*F228</f>
        <v>1.0000000000000001E-9</v>
      </c>
      <c r="F228" s="12">
        <f>SI!E2*POWER(SI!E3/(SI!E4*SI!E7),2)</f>
        <v>1</v>
      </c>
      <c r="G228" s="1" t="s">
        <v>1115</v>
      </c>
      <c r="H228" s="1" t="s">
        <v>36</v>
      </c>
    </row>
    <row r="229" spans="1:8" ht="28.8">
      <c r="A229" s="1" t="s">
        <v>5827</v>
      </c>
      <c r="B229" s="1" t="s">
        <v>5844</v>
      </c>
      <c r="C229" s="1" t="s">
        <v>4316</v>
      </c>
      <c r="D229" s="1" t="s">
        <v>2855</v>
      </c>
      <c r="E229" s="12">
        <f>0.000000001*F229</f>
        <v>1.0000000000000001E-9</v>
      </c>
      <c r="F229" s="12">
        <f>SI!E2*POWER(SI!E3/(SI!E4*SI!E7),2)</f>
        <v>1</v>
      </c>
      <c r="G229" s="1" t="s">
        <v>1115</v>
      </c>
      <c r="H229" s="1" t="s">
        <v>36</v>
      </c>
    </row>
    <row r="230" spans="1:8" ht="28.8">
      <c r="A230" s="1" t="s">
        <v>5828</v>
      </c>
      <c r="B230" s="1" t="s">
        <v>5845</v>
      </c>
      <c r="C230" s="1" t="s">
        <v>4316</v>
      </c>
      <c r="D230" s="1" t="s">
        <v>2855</v>
      </c>
      <c r="E230" s="12">
        <f>0.00001*POWER('Physical Constants'!E3,2)*F230</f>
        <v>898755178736.81763</v>
      </c>
      <c r="F230" s="12">
        <f>SI!E2*POWER(SI!E3/(SI!E4*SI!E7),2)</f>
        <v>1</v>
      </c>
      <c r="G230" s="1" t="s">
        <v>1115</v>
      </c>
      <c r="H230" s="1" t="s">
        <v>36</v>
      </c>
    </row>
    <row r="231" spans="1:8" ht="28.8">
      <c r="A231" s="1" t="s">
        <v>2565</v>
      </c>
      <c r="B231" s="1" t="s">
        <v>3022</v>
      </c>
      <c r="C231" s="1" t="s">
        <v>4316</v>
      </c>
      <c r="D231" s="1" t="s">
        <v>2855</v>
      </c>
      <c r="E231" s="12">
        <f>0.00001*POWER('Physical Constants'!E3,2)*F231</f>
        <v>898755178736.81763</v>
      </c>
      <c r="F231" s="12">
        <f>SI!E2*POWER(SI!E3/(SI!E4*SI!E7),2)</f>
        <v>1</v>
      </c>
      <c r="G231" s="1" t="s">
        <v>1115</v>
      </c>
      <c r="H231" s="1" t="s">
        <v>36</v>
      </c>
    </row>
    <row r="232" spans="1:8" ht="28.8">
      <c r="A232" s="1" t="s">
        <v>235</v>
      </c>
      <c r="B232" s="1" t="s">
        <v>125</v>
      </c>
      <c r="C232" s="1" t="s">
        <v>4316</v>
      </c>
      <c r="D232" s="1" t="s">
        <v>2855</v>
      </c>
      <c r="E232" s="12">
        <f>1.000495*F232</f>
        <v>1.0004949999999999</v>
      </c>
      <c r="F232" s="12">
        <f>SI!E2*POWER(SI!E3/(SI!E4*SI!E7),2)</f>
        <v>1</v>
      </c>
      <c r="G232" s="1" t="s">
        <v>1115</v>
      </c>
      <c r="H232" s="1" t="s">
        <v>141</v>
      </c>
    </row>
    <row r="233" spans="1:8" ht="28.8">
      <c r="A233" s="1" t="s">
        <v>967</v>
      </c>
      <c r="B233" s="7" t="s">
        <v>124</v>
      </c>
      <c r="C233" s="1" t="s">
        <v>4316</v>
      </c>
      <c r="D233" s="1" t="s">
        <v>2855</v>
      </c>
      <c r="E233" s="12">
        <f>0.000000001*F233</f>
        <v>1.0000000000000001E-9</v>
      </c>
      <c r="F233" s="12">
        <f>SI!E2*POWER(SI!E3/(SI!E4*SI!E7),2)</f>
        <v>1</v>
      </c>
      <c r="G233" s="1" t="s">
        <v>1115</v>
      </c>
      <c r="H233" s="1" t="s">
        <v>982</v>
      </c>
    </row>
    <row r="234" spans="1:8" ht="28.8">
      <c r="A234" s="1" t="s">
        <v>235</v>
      </c>
      <c r="B234" s="1" t="s">
        <v>125</v>
      </c>
      <c r="C234" s="1" t="s">
        <v>4316</v>
      </c>
      <c r="D234" s="1" t="s">
        <v>2855</v>
      </c>
      <c r="E234" s="12">
        <f>F234</f>
        <v>1</v>
      </c>
      <c r="F234" s="12">
        <f>SI!E2*POWER(SI!E3/(SI!E4*SI!E7),2)</f>
        <v>1</v>
      </c>
      <c r="G234" s="1" t="s">
        <v>1115</v>
      </c>
      <c r="H234" s="1" t="s">
        <v>42</v>
      </c>
    </row>
    <row r="235" spans="1:8" ht="28.8">
      <c r="A235" s="1" t="s">
        <v>289</v>
      </c>
      <c r="B235" s="1" t="s">
        <v>26</v>
      </c>
      <c r="C235" s="1" t="s">
        <v>4316</v>
      </c>
      <c r="D235" s="1" t="s">
        <v>2855</v>
      </c>
      <c r="E235" s="12">
        <f>F235</f>
        <v>1</v>
      </c>
      <c r="F235" s="12">
        <f>SI!E2*POWER(SI!E3/(SI!E4*SI!E7),2)</f>
        <v>1</v>
      </c>
      <c r="G235" s="1" t="s">
        <v>1115</v>
      </c>
      <c r="H235" s="1" t="s">
        <v>46</v>
      </c>
    </row>
    <row r="236" spans="1:8" ht="28.8">
      <c r="A236" s="1" t="s">
        <v>235</v>
      </c>
      <c r="B236" s="1" t="s">
        <v>125</v>
      </c>
      <c r="C236" s="1" t="s">
        <v>4316</v>
      </c>
      <c r="D236" s="1" t="s">
        <v>2855</v>
      </c>
      <c r="E236" s="12">
        <f>1.000495*F236</f>
        <v>1.0004949999999999</v>
      </c>
      <c r="F236" s="12">
        <f>SI!E2*POWER(SI!E3/(SI!E4*SI!E7),2)</f>
        <v>1</v>
      </c>
      <c r="G236" s="1" t="s">
        <v>1115</v>
      </c>
      <c r="H236" s="1" t="s">
        <v>47</v>
      </c>
    </row>
    <row r="237" spans="1:8" ht="28.8">
      <c r="A237" s="1" t="s">
        <v>5829</v>
      </c>
      <c r="B237" s="1" t="s">
        <v>5830</v>
      </c>
      <c r="C237" s="1" t="s">
        <v>4316</v>
      </c>
      <c r="D237" s="1" t="s">
        <v>2855</v>
      </c>
      <c r="E237" s="12">
        <f>1.00049*F237</f>
        <v>1.0004900000000001</v>
      </c>
      <c r="F237" s="12">
        <f>SI!E2*POWER(SI!E3/(SI!E4*SI!E7),2)</f>
        <v>1</v>
      </c>
      <c r="G237" s="1" t="s">
        <v>1115</v>
      </c>
      <c r="H237" s="1" t="s">
        <v>47</v>
      </c>
    </row>
    <row r="238" spans="1:8" ht="28.8">
      <c r="A238" t="s">
        <v>3367</v>
      </c>
      <c r="B238" t="s">
        <v>3387</v>
      </c>
      <c r="C238" s="1" t="s">
        <v>4316</v>
      </c>
      <c r="D238" s="1" t="s">
        <v>2855</v>
      </c>
      <c r="E238" s="26">
        <f>1E+24*F238</f>
        <v>9.9999999999999998E+23</v>
      </c>
      <c r="F238" s="12">
        <f>SI!E2*POWER(SI!E3/(SI!E4*SI!E7),2)</f>
        <v>1</v>
      </c>
      <c r="G238" s="1" t="s">
        <v>1115</v>
      </c>
      <c r="H238" s="1" t="s">
        <v>42</v>
      </c>
    </row>
    <row r="239" spans="1:8" ht="28.8">
      <c r="A239" t="s">
        <v>3368</v>
      </c>
      <c r="B239" t="s">
        <v>3388</v>
      </c>
      <c r="C239" s="1" t="s">
        <v>4316</v>
      </c>
      <c r="D239" s="1" t="s">
        <v>2855</v>
      </c>
      <c r="E239" s="26">
        <f>1E+21*F239</f>
        <v>1E+21</v>
      </c>
      <c r="F239" s="12">
        <f>SI!E2*POWER(SI!E3/(SI!E4*SI!E7),2)</f>
        <v>1</v>
      </c>
      <c r="G239" s="1" t="s">
        <v>1115</v>
      </c>
      <c r="H239" s="1" t="s">
        <v>42</v>
      </c>
    </row>
    <row r="240" spans="1:8" ht="28.8">
      <c r="A240" t="s">
        <v>3369</v>
      </c>
      <c r="B240" t="s">
        <v>3389</v>
      </c>
      <c r="C240" s="1" t="s">
        <v>4316</v>
      </c>
      <c r="D240" s="1" t="s">
        <v>2855</v>
      </c>
      <c r="E240" s="26">
        <f>1000000000000000000*F240</f>
        <v>1E+18</v>
      </c>
      <c r="F240" s="12">
        <f>SI!E2*POWER(SI!E3/(SI!E4*SI!E7),2)</f>
        <v>1</v>
      </c>
      <c r="G240" s="1" t="s">
        <v>1115</v>
      </c>
      <c r="H240" s="1" t="s">
        <v>42</v>
      </c>
    </row>
    <row r="241" spans="1:8" ht="28.8">
      <c r="A241" t="s">
        <v>3370</v>
      </c>
      <c r="B241" t="s">
        <v>3390</v>
      </c>
      <c r="C241" s="1" t="s">
        <v>4316</v>
      </c>
      <c r="D241" s="1" t="s">
        <v>2855</v>
      </c>
      <c r="E241" s="26">
        <f>1000000000000000*F241</f>
        <v>1000000000000000</v>
      </c>
      <c r="F241" s="12">
        <f>SI!E2*POWER(SI!E3/(SI!E4*SI!E7),2)</f>
        <v>1</v>
      </c>
      <c r="G241" s="1" t="s">
        <v>1115</v>
      </c>
      <c r="H241" s="1" t="s">
        <v>42</v>
      </c>
    </row>
    <row r="242" spans="1:8" ht="28.8">
      <c r="A242" t="s">
        <v>3371</v>
      </c>
      <c r="B242" t="s">
        <v>3391</v>
      </c>
      <c r="C242" s="1" t="s">
        <v>4316</v>
      </c>
      <c r="D242" s="1" t="s">
        <v>2855</v>
      </c>
      <c r="E242" s="26">
        <f>1000000000000*F242</f>
        <v>1000000000000</v>
      </c>
      <c r="F242" s="12">
        <f>SI!E2*POWER(SI!E3/(SI!E4*SI!E7),2)</f>
        <v>1</v>
      </c>
      <c r="G242" s="1" t="s">
        <v>1115</v>
      </c>
      <c r="H242" s="1" t="s">
        <v>42</v>
      </c>
    </row>
    <row r="243" spans="1:8" ht="28.8">
      <c r="A243" t="s">
        <v>3372</v>
      </c>
      <c r="B243" t="s">
        <v>3392</v>
      </c>
      <c r="C243" s="1" t="s">
        <v>4316</v>
      </c>
      <c r="D243" s="1" t="s">
        <v>2855</v>
      </c>
      <c r="E243" s="26">
        <f>1000000000*F243</f>
        <v>1000000000</v>
      </c>
      <c r="F243" s="12">
        <f>SI!E2*POWER(SI!E3/(SI!E4*SI!E7),2)</f>
        <v>1</v>
      </c>
      <c r="G243" s="1" t="s">
        <v>1115</v>
      </c>
      <c r="H243" s="1" t="s">
        <v>42</v>
      </c>
    </row>
    <row r="244" spans="1:8" ht="28.8">
      <c r="A244" t="s">
        <v>3373</v>
      </c>
      <c r="B244" t="s">
        <v>3393</v>
      </c>
      <c r="C244" s="1" t="s">
        <v>4316</v>
      </c>
      <c r="D244" s="1" t="s">
        <v>2855</v>
      </c>
      <c r="E244" s="26">
        <f>1000000*F244</f>
        <v>1000000</v>
      </c>
      <c r="F244" s="12">
        <f>SI!E2*POWER(SI!E3/(SI!E4*SI!E7),2)</f>
        <v>1</v>
      </c>
      <c r="G244" s="1" t="s">
        <v>1115</v>
      </c>
      <c r="H244" s="1" t="s">
        <v>42</v>
      </c>
    </row>
    <row r="245" spans="1:8" ht="28.8">
      <c r="A245" t="s">
        <v>3374</v>
      </c>
      <c r="B245" t="s">
        <v>3394</v>
      </c>
      <c r="C245" s="1" t="s">
        <v>4316</v>
      </c>
      <c r="D245" s="1" t="s">
        <v>2855</v>
      </c>
      <c r="E245" s="26">
        <f>1000*F245</f>
        <v>1000</v>
      </c>
      <c r="F245" s="12">
        <f>SI!E2*POWER(SI!E3/(SI!E4*SI!E7),2)</f>
        <v>1</v>
      </c>
      <c r="G245" s="1" t="s">
        <v>1115</v>
      </c>
      <c r="H245" s="1" t="s">
        <v>42</v>
      </c>
    </row>
    <row r="246" spans="1:8" ht="28.8">
      <c r="A246" t="s">
        <v>3375</v>
      </c>
      <c r="B246" t="s">
        <v>3395</v>
      </c>
      <c r="C246" s="1" t="s">
        <v>4316</v>
      </c>
      <c r="D246" s="1" t="s">
        <v>2855</v>
      </c>
      <c r="E246" s="26">
        <f>100*F246</f>
        <v>100</v>
      </c>
      <c r="F246" s="12">
        <f>SI!E2*POWER(SI!E3/(SI!E4*SI!E7),2)</f>
        <v>1</v>
      </c>
      <c r="G246" s="1" t="s">
        <v>1115</v>
      </c>
      <c r="H246" s="1" t="s">
        <v>42</v>
      </c>
    </row>
    <row r="247" spans="1:8" ht="28.8">
      <c r="A247" t="s">
        <v>3376</v>
      </c>
      <c r="B247" t="s">
        <v>3396</v>
      </c>
      <c r="C247" s="1" t="s">
        <v>4316</v>
      </c>
      <c r="D247" s="1" t="s">
        <v>2855</v>
      </c>
      <c r="E247" s="26">
        <f>10*F247</f>
        <v>10</v>
      </c>
      <c r="F247" s="12">
        <f>SI!E2*POWER(SI!E3/(SI!E4*SI!E7),2)</f>
        <v>1</v>
      </c>
      <c r="G247" s="1" t="s">
        <v>1115</v>
      </c>
      <c r="H247" s="1" t="s">
        <v>42</v>
      </c>
    </row>
    <row r="248" spans="1:8" ht="28.8">
      <c r="A248" t="s">
        <v>3377</v>
      </c>
      <c r="B248" t="s">
        <v>3397</v>
      </c>
      <c r="C248" s="1" t="s">
        <v>4316</v>
      </c>
      <c r="D248" s="1" t="s">
        <v>2855</v>
      </c>
      <c r="E248" s="26">
        <f>0.1*F248</f>
        <v>0.1</v>
      </c>
      <c r="F248" s="12">
        <f>SI!E2*POWER(SI!E3/(SI!E4*SI!E7),2)</f>
        <v>1</v>
      </c>
      <c r="G248" s="1" t="s">
        <v>1115</v>
      </c>
      <c r="H248" s="1" t="s">
        <v>42</v>
      </c>
    </row>
    <row r="249" spans="1:8" ht="28.8">
      <c r="A249" t="s">
        <v>3378</v>
      </c>
      <c r="B249" t="s">
        <v>3398</v>
      </c>
      <c r="C249" s="1" t="s">
        <v>4316</v>
      </c>
      <c r="D249" s="1" t="s">
        <v>2855</v>
      </c>
      <c r="E249" s="26">
        <f>0.01*F249</f>
        <v>0.01</v>
      </c>
      <c r="F249" s="12">
        <f>SI!E2*POWER(SI!E3/(SI!E4*SI!E7),2)</f>
        <v>1</v>
      </c>
      <c r="G249" s="1" t="s">
        <v>1115</v>
      </c>
      <c r="H249" s="1" t="s">
        <v>42</v>
      </c>
    </row>
    <row r="250" spans="1:8" ht="28.8">
      <c r="A250" t="s">
        <v>3379</v>
      </c>
      <c r="B250" t="s">
        <v>3399</v>
      </c>
      <c r="C250" s="1" t="s">
        <v>4316</v>
      </c>
      <c r="D250" s="1" t="s">
        <v>2855</v>
      </c>
      <c r="E250" s="26">
        <f>0.001*F250</f>
        <v>1E-3</v>
      </c>
      <c r="F250" s="12">
        <f>SI!E2*POWER(SI!E3/(SI!E4*SI!E7),2)</f>
        <v>1</v>
      </c>
      <c r="G250" s="1" t="s">
        <v>1115</v>
      </c>
      <c r="H250" s="1" t="s">
        <v>42</v>
      </c>
    </row>
    <row r="251" spans="1:8" ht="28.8">
      <c r="A251" t="s">
        <v>3380</v>
      </c>
      <c r="B251" t="s">
        <v>3400</v>
      </c>
      <c r="C251" s="1" t="s">
        <v>4316</v>
      </c>
      <c r="D251" s="1" t="s">
        <v>2855</v>
      </c>
      <c r="E251" s="26">
        <f>0.000001*F251</f>
        <v>9.9999999999999995E-7</v>
      </c>
      <c r="F251" s="12">
        <f>SI!E2*POWER(SI!E3/(SI!E4*SI!E7),2)</f>
        <v>1</v>
      </c>
      <c r="G251" s="1" t="s">
        <v>1115</v>
      </c>
      <c r="H251" s="1" t="s">
        <v>42</v>
      </c>
    </row>
    <row r="252" spans="1:8" ht="28.8">
      <c r="A252" t="s">
        <v>3381</v>
      </c>
      <c r="B252" t="s">
        <v>3401</v>
      </c>
      <c r="C252" s="1" t="s">
        <v>4316</v>
      </c>
      <c r="D252" s="1" t="s">
        <v>2855</v>
      </c>
      <c r="E252" s="26">
        <f>0.000000001*F252</f>
        <v>1.0000000000000001E-9</v>
      </c>
      <c r="F252" s="12">
        <f>SI!E2*POWER(SI!E3/(SI!E4*SI!E7),2)</f>
        <v>1</v>
      </c>
      <c r="G252" s="1" t="s">
        <v>1115</v>
      </c>
      <c r="H252" s="1" t="s">
        <v>42</v>
      </c>
    </row>
    <row r="253" spans="1:8" ht="28.8">
      <c r="A253" t="s">
        <v>3382</v>
      </c>
      <c r="B253" t="s">
        <v>327</v>
      </c>
      <c r="C253" s="1" t="s">
        <v>4316</v>
      </c>
      <c r="D253" s="1" t="s">
        <v>2855</v>
      </c>
      <c r="E253" s="26">
        <f>0.000000000001*F253</f>
        <v>9.9999999999999998E-13</v>
      </c>
      <c r="F253" s="12">
        <f>SI!E2*POWER(SI!E3/(SI!E4*SI!E7),2)</f>
        <v>1</v>
      </c>
      <c r="G253" s="1" t="s">
        <v>1115</v>
      </c>
      <c r="H253" s="1" t="s">
        <v>42</v>
      </c>
    </row>
    <row r="254" spans="1:8" ht="28.8">
      <c r="A254" t="s">
        <v>3383</v>
      </c>
      <c r="B254" t="s">
        <v>3402</v>
      </c>
      <c r="C254" s="1" t="s">
        <v>4316</v>
      </c>
      <c r="D254" s="1" t="s">
        <v>2855</v>
      </c>
      <c r="E254" s="26">
        <f>0.000000000000001*F254</f>
        <v>1.0000000000000001E-15</v>
      </c>
      <c r="F254" s="12">
        <f>SI!E2*POWER(SI!E3/(SI!E4*SI!E7),2)</f>
        <v>1</v>
      </c>
      <c r="G254" s="1" t="s">
        <v>1115</v>
      </c>
      <c r="H254" s="1" t="s">
        <v>42</v>
      </c>
    </row>
    <row r="255" spans="1:8" ht="28.8">
      <c r="A255" t="s">
        <v>3384</v>
      </c>
      <c r="B255" t="s">
        <v>3021</v>
      </c>
      <c r="C255" s="1" t="s">
        <v>4316</v>
      </c>
      <c r="D255" s="1" t="s">
        <v>2855</v>
      </c>
      <c r="E255" s="26">
        <f>0.000000000000000001*F255</f>
        <v>1.0000000000000001E-18</v>
      </c>
      <c r="F255" s="12">
        <f>SI!E2*POWER(SI!E3/(SI!E4*SI!E7),2)</f>
        <v>1</v>
      </c>
      <c r="G255" s="1" t="s">
        <v>1115</v>
      </c>
      <c r="H255" s="1" t="s">
        <v>42</v>
      </c>
    </row>
    <row r="256" spans="1:8" ht="28.8">
      <c r="A256" t="s">
        <v>3385</v>
      </c>
      <c r="B256" t="s">
        <v>3403</v>
      </c>
      <c r="C256" s="1" t="s">
        <v>4316</v>
      </c>
      <c r="D256" s="1" t="s">
        <v>2855</v>
      </c>
      <c r="E256" s="26">
        <f>1E-21*F256</f>
        <v>9.9999999999999991E-22</v>
      </c>
      <c r="F256" s="12">
        <f>SI!E2*POWER(SI!E3/(SI!E4*SI!E7),2)</f>
        <v>1</v>
      </c>
      <c r="G256" s="1" t="s">
        <v>1115</v>
      </c>
      <c r="H256" s="1" t="s">
        <v>42</v>
      </c>
    </row>
    <row r="257" spans="1:8" ht="28.8">
      <c r="A257" t="s">
        <v>3386</v>
      </c>
      <c r="B257" t="s">
        <v>3404</v>
      </c>
      <c r="C257" s="1" t="s">
        <v>4316</v>
      </c>
      <c r="D257" s="1" t="s">
        <v>2855</v>
      </c>
      <c r="E257" s="26">
        <f>1E-24*F257</f>
        <v>9.9999999999999992E-25</v>
      </c>
      <c r="F257" s="12">
        <f>SI!E2*POWER(SI!E3/(SI!E4*SI!E7),2)</f>
        <v>1</v>
      </c>
      <c r="G257" s="1" t="s">
        <v>1115</v>
      </c>
      <c r="H257" s="1" t="s">
        <v>42</v>
      </c>
    </row>
    <row r="258" spans="1:8">
      <c r="A258" s="48"/>
      <c r="B258" s="48"/>
      <c r="C258" s="48"/>
      <c r="D258" s="48"/>
      <c r="E258" s="48"/>
      <c r="F258" s="48"/>
      <c r="G258" s="48"/>
      <c r="H258" s="48"/>
    </row>
    <row r="259" spans="1:8" ht="43.2">
      <c r="A259" s="1" t="s">
        <v>1155</v>
      </c>
      <c r="B259" s="1" t="s">
        <v>3027</v>
      </c>
      <c r="C259" s="1" t="s">
        <v>4290</v>
      </c>
      <c r="D259" s="1" t="s">
        <v>2850</v>
      </c>
      <c r="E259" s="12">
        <f>0.00000001*F259</f>
        <v>1E-8</v>
      </c>
      <c r="F259" s="12">
        <f>SI!E2*POWER(SI!E3/SI!E4,2)/(SI!E4*SI!E7)</f>
        <v>1</v>
      </c>
      <c r="G259" s="1" t="s">
        <v>1121</v>
      </c>
      <c r="H259" s="1" t="s">
        <v>36</v>
      </c>
    </row>
    <row r="260" spans="1:8" ht="43.2">
      <c r="A260" s="1" t="s">
        <v>5831</v>
      </c>
      <c r="B260" s="1" t="s">
        <v>5842</v>
      </c>
      <c r="C260" s="1" t="s">
        <v>4290</v>
      </c>
      <c r="D260" s="1" t="s">
        <v>2850</v>
      </c>
      <c r="E260" s="12">
        <f>0.00000001*F260</f>
        <v>1E-8</v>
      </c>
      <c r="F260" s="12">
        <f>SI!E2*POWER(SI!E3/SI!E4,2)/(SI!E4*SI!E7)</f>
        <v>1</v>
      </c>
      <c r="G260" s="1" t="s">
        <v>1121</v>
      </c>
      <c r="H260" s="1" t="s">
        <v>36</v>
      </c>
    </row>
    <row r="261" spans="1:8" ht="43.2">
      <c r="A261" s="1" t="s">
        <v>5832</v>
      </c>
      <c r="B261" s="1" t="s">
        <v>5843</v>
      </c>
      <c r="C261" s="1" t="s">
        <v>4290</v>
      </c>
      <c r="D261" s="1" t="s">
        <v>2850</v>
      </c>
      <c r="E261" s="12">
        <f>'Physical Constants'!E3*F261*0.000001</f>
        <v>299.79245800000001</v>
      </c>
      <c r="F261" s="12">
        <f>SI!E2*POWER(SI!E3/SI!E4,2)/(SI!E4*SI!E7)</f>
        <v>1</v>
      </c>
      <c r="G261" s="1" t="s">
        <v>1121</v>
      </c>
      <c r="H261" s="1" t="s">
        <v>36</v>
      </c>
    </row>
    <row r="262" spans="1:8" ht="43.2">
      <c r="A262" s="1" t="s">
        <v>2566</v>
      </c>
      <c r="B262" s="1" t="s">
        <v>3028</v>
      </c>
      <c r="C262" s="1" t="s">
        <v>4290</v>
      </c>
      <c r="D262" s="1" t="s">
        <v>2850</v>
      </c>
      <c r="E262" s="12">
        <f>'Physical Constants'!E3*F262*0.000001</f>
        <v>299.79245800000001</v>
      </c>
      <c r="F262" s="12">
        <f>SI!E2*POWER(SI!E3/SI!E4,2)/(SI!E4*SI!E7)</f>
        <v>1</v>
      </c>
      <c r="G262" s="1" t="s">
        <v>1121</v>
      </c>
      <c r="H262" s="1" t="s">
        <v>36</v>
      </c>
    </row>
    <row r="263" spans="1:8" ht="43.2">
      <c r="A263" s="1" t="s">
        <v>418</v>
      </c>
      <c r="B263" s="1" t="s">
        <v>419</v>
      </c>
      <c r="C263" s="1" t="s">
        <v>4290</v>
      </c>
      <c r="D263" s="1" t="s">
        <v>2850</v>
      </c>
      <c r="E263" s="12">
        <f>1.00033*F263</f>
        <v>1.0003299999999999</v>
      </c>
      <c r="F263" s="12">
        <f>SI!E2*POWER(SI!E3/SI!E4,2)/(SI!E4*SI!E7)</f>
        <v>1</v>
      </c>
      <c r="G263" s="1" t="s">
        <v>1121</v>
      </c>
      <c r="H263" s="1" t="s">
        <v>141</v>
      </c>
    </row>
    <row r="264" spans="1:8" ht="43.2">
      <c r="A264" s="1" t="s">
        <v>5834</v>
      </c>
      <c r="B264" s="1" t="s">
        <v>5833</v>
      </c>
      <c r="C264" s="1" t="s">
        <v>4290</v>
      </c>
      <c r="D264" s="1" t="s">
        <v>2850</v>
      </c>
      <c r="E264" s="12">
        <f>1.00034*F264</f>
        <v>1.00034</v>
      </c>
      <c r="F264" s="12">
        <f>SI!E2*POWER(SI!E3/SI!E4,2)/(SI!E4*SI!E7)</f>
        <v>1</v>
      </c>
      <c r="G264" s="1" t="s">
        <v>1121</v>
      </c>
      <c r="H264" s="1" t="s">
        <v>141</v>
      </c>
    </row>
    <row r="265" spans="1:8" ht="43.2">
      <c r="A265" s="1" t="s">
        <v>505</v>
      </c>
      <c r="B265" s="1" t="s">
        <v>26</v>
      </c>
      <c r="C265" s="1" t="s">
        <v>4290</v>
      </c>
      <c r="D265" s="1" t="s">
        <v>2850</v>
      </c>
      <c r="E265" s="12">
        <f>1.042*F265</f>
        <v>1.042</v>
      </c>
      <c r="F265" s="12">
        <f>SI!E2*POWER(SI!E3/SI!E4,2)/(SI!E4*SI!E7)</f>
        <v>1</v>
      </c>
      <c r="G265" s="1" t="s">
        <v>1121</v>
      </c>
      <c r="H265" s="1" t="s">
        <v>58</v>
      </c>
    </row>
    <row r="266" spans="1:8" ht="43.2">
      <c r="A266" s="1" t="s">
        <v>5834</v>
      </c>
      <c r="B266" s="1" t="s">
        <v>5833</v>
      </c>
      <c r="C266" s="1" t="s">
        <v>4290</v>
      </c>
      <c r="D266" s="1" t="s">
        <v>2850</v>
      </c>
      <c r="E266" s="12">
        <f>1.00034*F266</f>
        <v>1.00034</v>
      </c>
      <c r="F266" s="12">
        <f>SI!E2*POWER(SI!E3/SI!E4,2)/(SI!E4*SI!E7)</f>
        <v>1</v>
      </c>
      <c r="G266" s="1" t="s">
        <v>1121</v>
      </c>
      <c r="H266" s="1" t="s">
        <v>58</v>
      </c>
    </row>
    <row r="267" spans="1:8" ht="43.2">
      <c r="A267" s="1" t="s">
        <v>418</v>
      </c>
      <c r="B267" s="1" t="s">
        <v>419</v>
      </c>
      <c r="C267" s="1" t="s">
        <v>4290</v>
      </c>
      <c r="D267" s="1" t="s">
        <v>2850</v>
      </c>
      <c r="E267" s="12">
        <f>F267</f>
        <v>1</v>
      </c>
      <c r="F267" s="12">
        <f>SI!E2*POWER(SI!E3/SI!E4,2)/(SI!E4*SI!E7)</f>
        <v>1</v>
      </c>
      <c r="G267" s="1" t="s">
        <v>1121</v>
      </c>
      <c r="H267" s="1" t="s">
        <v>42</v>
      </c>
    </row>
    <row r="268" spans="1:8" ht="43.2">
      <c r="A268" s="1" t="s">
        <v>144</v>
      </c>
      <c r="B268" s="1" t="s">
        <v>26</v>
      </c>
      <c r="C268" s="1" t="s">
        <v>4290</v>
      </c>
      <c r="D268" s="1" t="s">
        <v>2850</v>
      </c>
      <c r="E268" s="12">
        <f>1000000*F268</f>
        <v>1000000</v>
      </c>
      <c r="F268" s="12">
        <f>SI!E2*POWER(SI!E3/SI!E4,2)/(SI!E4*SI!E7)</f>
        <v>1</v>
      </c>
      <c r="G268" s="1" t="s">
        <v>1121</v>
      </c>
      <c r="H268" s="1" t="s">
        <v>46</v>
      </c>
    </row>
    <row r="269" spans="1:8" ht="43.2">
      <c r="A269" s="1" t="s">
        <v>418</v>
      </c>
      <c r="B269" s="1" t="s">
        <v>419</v>
      </c>
      <c r="C269" s="1" t="s">
        <v>4290</v>
      </c>
      <c r="D269" s="1" t="s">
        <v>2850</v>
      </c>
      <c r="E269" s="12">
        <f>1.00033*F269</f>
        <v>1.0003299999999999</v>
      </c>
      <c r="F269" s="12">
        <f>SI!E2*POWER(SI!E3/SI!E4,2)/(SI!E4*SI!E7)</f>
        <v>1</v>
      </c>
      <c r="G269" s="1" t="s">
        <v>1121</v>
      </c>
      <c r="H269" s="1" t="s">
        <v>47</v>
      </c>
    </row>
    <row r="270" spans="1:8" ht="43.2">
      <c r="A270" t="s">
        <v>3716</v>
      </c>
      <c r="B270" t="s">
        <v>3736</v>
      </c>
      <c r="C270" s="1" t="s">
        <v>4290</v>
      </c>
      <c r="D270" s="1" t="s">
        <v>2850</v>
      </c>
      <c r="E270" s="26">
        <f>1E+24*F270</f>
        <v>9.9999999999999998E+23</v>
      </c>
      <c r="F270" s="12">
        <f>SI!E2*POWER(SI!E3/SI!E4,2)/(SI!E4*SI!E7)</f>
        <v>1</v>
      </c>
      <c r="G270" s="1" t="s">
        <v>1121</v>
      </c>
      <c r="H270" s="1" t="s">
        <v>42</v>
      </c>
    </row>
    <row r="271" spans="1:8" ht="43.2">
      <c r="A271" t="s">
        <v>3717</v>
      </c>
      <c r="B271" t="s">
        <v>3737</v>
      </c>
      <c r="C271" s="1" t="s">
        <v>4290</v>
      </c>
      <c r="D271" s="1" t="s">
        <v>2850</v>
      </c>
      <c r="E271" s="26">
        <f>1E+21*F271</f>
        <v>1E+21</v>
      </c>
      <c r="F271" s="12">
        <f>SI!E2*POWER(SI!E3/SI!E4,2)/(SI!E4*SI!E7)</f>
        <v>1</v>
      </c>
      <c r="G271" s="1" t="s">
        <v>1121</v>
      </c>
      <c r="H271" s="1" t="s">
        <v>42</v>
      </c>
    </row>
    <row r="272" spans="1:8" ht="43.2">
      <c r="A272" t="s">
        <v>3718</v>
      </c>
      <c r="B272" t="s">
        <v>3738</v>
      </c>
      <c r="C272" s="1" t="s">
        <v>4290</v>
      </c>
      <c r="D272" s="1" t="s">
        <v>2850</v>
      </c>
      <c r="E272" s="26">
        <f>1000000000000000000*F272</f>
        <v>1E+18</v>
      </c>
      <c r="F272" s="12">
        <f>SI!E2*POWER(SI!E3/SI!E4,2)/(SI!E4*SI!E7)</f>
        <v>1</v>
      </c>
      <c r="G272" s="1" t="s">
        <v>1121</v>
      </c>
      <c r="H272" s="1" t="s">
        <v>42</v>
      </c>
    </row>
    <row r="273" spans="1:8" ht="43.2">
      <c r="A273" t="s">
        <v>3719</v>
      </c>
      <c r="B273" t="s">
        <v>3739</v>
      </c>
      <c r="C273" s="1" t="s">
        <v>4290</v>
      </c>
      <c r="D273" s="1" t="s">
        <v>2850</v>
      </c>
      <c r="E273" s="26">
        <f>1000000000000000*F273</f>
        <v>1000000000000000</v>
      </c>
      <c r="F273" s="12">
        <f>SI!E2*POWER(SI!E3/SI!E4,2)/(SI!E4*SI!E7)</f>
        <v>1</v>
      </c>
      <c r="G273" s="1" t="s">
        <v>1121</v>
      </c>
      <c r="H273" s="1" t="s">
        <v>42</v>
      </c>
    </row>
    <row r="274" spans="1:8" ht="43.2">
      <c r="A274" t="s">
        <v>3720</v>
      </c>
      <c r="B274" t="s">
        <v>3740</v>
      </c>
      <c r="C274" s="1" t="s">
        <v>4290</v>
      </c>
      <c r="D274" s="1" t="s">
        <v>2850</v>
      </c>
      <c r="E274" s="26">
        <f>1000000000000*F274</f>
        <v>1000000000000</v>
      </c>
      <c r="F274" s="12">
        <f>SI!E2*POWER(SI!E3/SI!E4,2)/(SI!E4*SI!E7)</f>
        <v>1</v>
      </c>
      <c r="G274" s="1" t="s">
        <v>1121</v>
      </c>
      <c r="H274" s="1" t="s">
        <v>42</v>
      </c>
    </row>
    <row r="275" spans="1:8" ht="43.2">
      <c r="A275" t="s">
        <v>3721</v>
      </c>
      <c r="B275" t="s">
        <v>3741</v>
      </c>
      <c r="C275" s="1" t="s">
        <v>4290</v>
      </c>
      <c r="D275" s="1" t="s">
        <v>2850</v>
      </c>
      <c r="E275" s="26">
        <f>1000000000*F275</f>
        <v>1000000000</v>
      </c>
      <c r="F275" s="12">
        <f>SI!E2*POWER(SI!E3/SI!E4,2)/(SI!E4*SI!E7)</f>
        <v>1</v>
      </c>
      <c r="G275" s="1" t="s">
        <v>1121</v>
      </c>
      <c r="H275" s="1" t="s">
        <v>42</v>
      </c>
    </row>
    <row r="276" spans="1:8" ht="43.2">
      <c r="A276" t="s">
        <v>3722</v>
      </c>
      <c r="B276" t="s">
        <v>3742</v>
      </c>
      <c r="C276" s="1" t="s">
        <v>4290</v>
      </c>
      <c r="D276" s="1" t="s">
        <v>2850</v>
      </c>
      <c r="E276" s="26">
        <f>1000000*F276</f>
        <v>1000000</v>
      </c>
      <c r="F276" s="12">
        <f>SI!E2*POWER(SI!E3/SI!E4,2)/(SI!E4*SI!E7)</f>
        <v>1</v>
      </c>
      <c r="G276" s="1" t="s">
        <v>1121</v>
      </c>
      <c r="H276" s="1" t="s">
        <v>42</v>
      </c>
    </row>
    <row r="277" spans="1:8" ht="43.2">
      <c r="A277" t="s">
        <v>3723</v>
      </c>
      <c r="B277" t="s">
        <v>3756</v>
      </c>
      <c r="C277" s="1" t="s">
        <v>4290</v>
      </c>
      <c r="D277" s="1" t="s">
        <v>2850</v>
      </c>
      <c r="E277" s="26">
        <f>1000*F277</f>
        <v>1000</v>
      </c>
      <c r="F277" s="12">
        <f>SI!E2*POWER(SI!E3/SI!E4,2)/(SI!E4*SI!E7)</f>
        <v>1</v>
      </c>
      <c r="G277" s="1" t="s">
        <v>1121</v>
      </c>
      <c r="H277" s="1" t="s">
        <v>42</v>
      </c>
    </row>
    <row r="278" spans="1:8" ht="43.2">
      <c r="A278" t="s">
        <v>3724</v>
      </c>
      <c r="B278" t="s">
        <v>3757</v>
      </c>
      <c r="C278" s="1" t="s">
        <v>4290</v>
      </c>
      <c r="D278" s="1" t="s">
        <v>2850</v>
      </c>
      <c r="E278" s="26">
        <f>100*F278</f>
        <v>100</v>
      </c>
      <c r="F278" s="12">
        <f>SI!E2*POWER(SI!E3/SI!E4,2)/(SI!E4*SI!E7)</f>
        <v>1</v>
      </c>
      <c r="G278" s="1" t="s">
        <v>1121</v>
      </c>
      <c r="H278" s="1" t="s">
        <v>42</v>
      </c>
    </row>
    <row r="279" spans="1:8" ht="43.2">
      <c r="A279" t="s">
        <v>3725</v>
      </c>
      <c r="B279" t="s">
        <v>3758</v>
      </c>
      <c r="C279" s="1" t="s">
        <v>4290</v>
      </c>
      <c r="D279" s="1" t="s">
        <v>2850</v>
      </c>
      <c r="E279" s="26">
        <f>10*F279</f>
        <v>10</v>
      </c>
      <c r="F279" s="12">
        <f>SI!E2*POWER(SI!E3/SI!E4,2)/(SI!E4*SI!E7)</f>
        <v>1</v>
      </c>
      <c r="G279" s="1" t="s">
        <v>1121</v>
      </c>
      <c r="H279" s="1" t="s">
        <v>42</v>
      </c>
    </row>
    <row r="280" spans="1:8" ht="43.2">
      <c r="A280" t="s">
        <v>3726</v>
      </c>
      <c r="B280" t="s">
        <v>3759</v>
      </c>
      <c r="C280" s="1" t="s">
        <v>4290</v>
      </c>
      <c r="D280" s="1" t="s">
        <v>2850</v>
      </c>
      <c r="E280" s="26">
        <f>0.1*F280</f>
        <v>0.1</v>
      </c>
      <c r="F280" s="12">
        <f>SI!E2*POWER(SI!E3/SI!E4,2)/(SI!E4*SI!E7)</f>
        <v>1</v>
      </c>
      <c r="G280" s="1" t="s">
        <v>1121</v>
      </c>
      <c r="H280" s="1" t="s">
        <v>42</v>
      </c>
    </row>
    <row r="281" spans="1:8" ht="43.2">
      <c r="A281" t="s">
        <v>3727</v>
      </c>
      <c r="B281" t="s">
        <v>3760</v>
      </c>
      <c r="C281" s="1" t="s">
        <v>4290</v>
      </c>
      <c r="D281" s="1" t="s">
        <v>2850</v>
      </c>
      <c r="E281" s="26">
        <f>0.01*F281</f>
        <v>0.01</v>
      </c>
      <c r="F281" s="12">
        <f>SI!E2*POWER(SI!E3/SI!E4,2)/(SI!E4*SI!E7)</f>
        <v>1</v>
      </c>
      <c r="G281" s="1" t="s">
        <v>1121</v>
      </c>
      <c r="H281" s="1" t="s">
        <v>42</v>
      </c>
    </row>
    <row r="282" spans="1:8" ht="43.2">
      <c r="A282" t="s">
        <v>3728</v>
      </c>
      <c r="B282" t="s">
        <v>3761</v>
      </c>
      <c r="C282" s="1" t="s">
        <v>4290</v>
      </c>
      <c r="D282" s="1" t="s">
        <v>2850</v>
      </c>
      <c r="E282" s="26">
        <f>0.001*F282</f>
        <v>1E-3</v>
      </c>
      <c r="F282" s="12">
        <f>SI!E2*POWER(SI!E3/SI!E4,2)/(SI!E4*SI!E7)</f>
        <v>1</v>
      </c>
      <c r="G282" s="1" t="s">
        <v>1121</v>
      </c>
      <c r="H282" s="1" t="s">
        <v>42</v>
      </c>
    </row>
    <row r="283" spans="1:8" ht="43.2">
      <c r="A283" t="s">
        <v>3729</v>
      </c>
      <c r="B283" t="s">
        <v>3762</v>
      </c>
      <c r="C283" s="1" t="s">
        <v>4290</v>
      </c>
      <c r="D283" s="1" t="s">
        <v>2850</v>
      </c>
      <c r="E283" s="26">
        <f>0.000001*F283</f>
        <v>9.9999999999999995E-7</v>
      </c>
      <c r="F283" s="12">
        <f>SI!E2*POWER(SI!E3/SI!E4,2)/(SI!E4*SI!E7)</f>
        <v>1</v>
      </c>
      <c r="G283" s="1" t="s">
        <v>1121</v>
      </c>
      <c r="H283" s="1" t="s">
        <v>42</v>
      </c>
    </row>
    <row r="284" spans="1:8" ht="43.2">
      <c r="A284" t="s">
        <v>3730</v>
      </c>
      <c r="B284" t="s">
        <v>3763</v>
      </c>
      <c r="C284" s="1" t="s">
        <v>4290</v>
      </c>
      <c r="D284" s="1" t="s">
        <v>2850</v>
      </c>
      <c r="E284" s="26">
        <f>0.000000001*F284</f>
        <v>1.0000000000000001E-9</v>
      </c>
      <c r="F284" s="12">
        <f>SI!E2*POWER(SI!E3/SI!E4,2)/(SI!E4*SI!E7)</f>
        <v>1</v>
      </c>
      <c r="G284" s="1" t="s">
        <v>1121</v>
      </c>
      <c r="H284" s="1" t="s">
        <v>42</v>
      </c>
    </row>
    <row r="285" spans="1:8" ht="43.2">
      <c r="A285" t="s">
        <v>3731</v>
      </c>
      <c r="B285" t="s">
        <v>3764</v>
      </c>
      <c r="C285" s="1" t="s">
        <v>4290</v>
      </c>
      <c r="D285" s="1" t="s">
        <v>2850</v>
      </c>
      <c r="E285" s="26">
        <f>0.000000000001*F285</f>
        <v>9.9999999999999998E-13</v>
      </c>
      <c r="F285" s="12">
        <f>SI!E2*POWER(SI!E3/SI!E4,2)/(SI!E4*SI!E7)</f>
        <v>1</v>
      </c>
      <c r="G285" s="1" t="s">
        <v>1121</v>
      </c>
      <c r="H285" s="1" t="s">
        <v>42</v>
      </c>
    </row>
    <row r="286" spans="1:8" ht="43.2">
      <c r="A286" t="s">
        <v>3732</v>
      </c>
      <c r="B286" t="s">
        <v>3765</v>
      </c>
      <c r="C286" s="1" t="s">
        <v>4290</v>
      </c>
      <c r="D286" s="1" t="s">
        <v>2850</v>
      </c>
      <c r="E286" s="26">
        <f>0.000000000000001*F286</f>
        <v>1.0000000000000001E-15</v>
      </c>
      <c r="F286" s="12">
        <f>SI!E2*POWER(SI!E3/SI!E4,2)/(SI!E4*SI!E7)</f>
        <v>1</v>
      </c>
      <c r="G286" s="1" t="s">
        <v>1121</v>
      </c>
      <c r="H286" s="1" t="s">
        <v>42</v>
      </c>
    </row>
    <row r="287" spans="1:8" ht="43.2">
      <c r="A287" t="s">
        <v>3733</v>
      </c>
      <c r="B287" t="s">
        <v>3766</v>
      </c>
      <c r="C287" s="1" t="s">
        <v>4290</v>
      </c>
      <c r="D287" s="1" t="s">
        <v>2850</v>
      </c>
      <c r="E287" s="26">
        <f>0.000000000000000001*F287</f>
        <v>1.0000000000000001E-18</v>
      </c>
      <c r="F287" s="12">
        <f>SI!E2*POWER(SI!E3/SI!E4,2)/(SI!E4*SI!E7)</f>
        <v>1</v>
      </c>
      <c r="G287" s="1" t="s">
        <v>1121</v>
      </c>
      <c r="H287" s="1" t="s">
        <v>42</v>
      </c>
    </row>
    <row r="288" spans="1:8" ht="43.2">
      <c r="A288" t="s">
        <v>3734</v>
      </c>
      <c r="B288" t="s">
        <v>3767</v>
      </c>
      <c r="C288" s="1" t="s">
        <v>4290</v>
      </c>
      <c r="D288" s="1" t="s">
        <v>2850</v>
      </c>
      <c r="E288" s="26">
        <f>1E-21*F288</f>
        <v>9.9999999999999991E-22</v>
      </c>
      <c r="F288" s="12">
        <f>SI!E2*POWER(SI!E3/SI!E4,2)/(SI!E4*SI!E7)</f>
        <v>1</v>
      </c>
      <c r="G288" s="1" t="s">
        <v>1121</v>
      </c>
      <c r="H288" s="1" t="s">
        <v>42</v>
      </c>
    </row>
    <row r="289" spans="1:8" ht="43.2">
      <c r="A289" t="s">
        <v>3735</v>
      </c>
      <c r="B289" t="s">
        <v>3768</v>
      </c>
      <c r="C289" s="1" t="s">
        <v>4290</v>
      </c>
      <c r="D289" s="1" t="s">
        <v>2850</v>
      </c>
      <c r="E289" s="26">
        <f>1E-24*F289</f>
        <v>9.9999999999999992E-25</v>
      </c>
      <c r="F289" s="12">
        <f>SI!E2*POWER(SI!E3/SI!E4,2)/(SI!E4*SI!E7)</f>
        <v>1</v>
      </c>
      <c r="G289" s="1" t="s">
        <v>1121</v>
      </c>
      <c r="H289" s="1" t="s">
        <v>42</v>
      </c>
    </row>
    <row r="290" spans="1:8">
      <c r="A290" s="248"/>
      <c r="B290" s="248"/>
      <c r="C290" s="248"/>
      <c r="D290" s="248"/>
      <c r="E290" s="250"/>
      <c r="F290" s="250"/>
      <c r="G290" s="248"/>
      <c r="H290" s="248"/>
    </row>
    <row r="291" spans="1:8" ht="28.8">
      <c r="A291" s="1" t="s">
        <v>1154</v>
      </c>
      <c r="B291" s="1" t="s">
        <v>3029</v>
      </c>
      <c r="C291" s="1" t="s">
        <v>4291</v>
      </c>
      <c r="D291" s="1" t="s">
        <v>2860</v>
      </c>
      <c r="E291" s="12">
        <f>0.000000001*F291</f>
        <v>1.0000000000000001E-9</v>
      </c>
      <c r="F291" s="12">
        <f>SI!E2*POWER(SI!E3/(SI!E4*SI!E7),2)/SI!E4</f>
        <v>1</v>
      </c>
      <c r="G291" s="1" t="s">
        <v>1126</v>
      </c>
      <c r="H291" s="1" t="s">
        <v>36</v>
      </c>
    </row>
    <row r="292" spans="1:8" ht="28.8">
      <c r="A292" s="1" t="s">
        <v>5835</v>
      </c>
      <c r="B292" s="1" t="s">
        <v>5837</v>
      </c>
      <c r="C292" s="1" t="s">
        <v>4291</v>
      </c>
      <c r="D292" s="1" t="s">
        <v>2860</v>
      </c>
      <c r="E292" s="12">
        <f>0.000000001*F292</f>
        <v>1.0000000000000001E-9</v>
      </c>
      <c r="F292" s="12">
        <f>SI!E2*POWER(SI!E3/(SI!E4*SI!E7),2)/SI!E4</f>
        <v>1</v>
      </c>
      <c r="G292" s="1" t="s">
        <v>1126</v>
      </c>
      <c r="H292" s="1" t="s">
        <v>36</v>
      </c>
    </row>
    <row r="293" spans="1:8" ht="28.8">
      <c r="A293" s="1" t="s">
        <v>5836</v>
      </c>
      <c r="B293" s="1" t="s">
        <v>5838</v>
      </c>
      <c r="C293" s="1" t="s">
        <v>4291</v>
      </c>
      <c r="D293" s="1" t="s">
        <v>2860</v>
      </c>
      <c r="E293" s="12">
        <f>0.00001*POWER('Physical Constants'!E3,2)*F293</f>
        <v>898755178736.81763</v>
      </c>
      <c r="F293" s="12">
        <f>SI!E2*POWER(SI!E3/(SI!E4*SI!E7),2)/SI!E4</f>
        <v>1</v>
      </c>
      <c r="G293" s="1" t="s">
        <v>1126</v>
      </c>
      <c r="H293" s="1" t="s">
        <v>36</v>
      </c>
    </row>
    <row r="294" spans="1:8" ht="28.8">
      <c r="A294" s="1" t="s">
        <v>191</v>
      </c>
      <c r="B294" s="1" t="s">
        <v>26</v>
      </c>
      <c r="C294" s="1" t="s">
        <v>4291</v>
      </c>
      <c r="D294" s="1" t="s">
        <v>2860</v>
      </c>
      <c r="E294" s="12">
        <f>0.00001*POWER('Physical Constants'!E3,2)*F294</f>
        <v>898755178736.81763</v>
      </c>
      <c r="F294" s="12">
        <f>SI!E2*POWER(SI!E3/(SI!E4*SI!E7),2)/SI!E4</f>
        <v>1</v>
      </c>
      <c r="G294" s="1" t="s">
        <v>1126</v>
      </c>
      <c r="H294" s="1" t="s">
        <v>36</v>
      </c>
    </row>
    <row r="295" spans="1:8" ht="28.8">
      <c r="A295" s="1" t="s">
        <v>379</v>
      </c>
      <c r="B295" s="1" t="s">
        <v>26</v>
      </c>
      <c r="C295" s="1" t="s">
        <v>4291</v>
      </c>
      <c r="D295" s="1" t="s">
        <v>2860</v>
      </c>
      <c r="E295" s="12">
        <f>F295/1.063</f>
        <v>0.94073377234242717</v>
      </c>
      <c r="F295" s="12">
        <f>SI!E2*POWER(SI!E3/(SI!E4*SI!E7),2)/SI!E4</f>
        <v>1</v>
      </c>
      <c r="G295" s="1" t="s">
        <v>1126</v>
      </c>
      <c r="H295" s="1" t="s">
        <v>59</v>
      </c>
    </row>
    <row r="296" spans="1:8" ht="28.8">
      <c r="A296" s="1" t="s">
        <v>314</v>
      </c>
      <c r="B296" s="1" t="s">
        <v>26</v>
      </c>
      <c r="C296" s="1" t="s">
        <v>4291</v>
      </c>
      <c r="D296" s="1" t="s">
        <v>2860</v>
      </c>
      <c r="E296" s="12">
        <f>1.000495*F296</f>
        <v>1.0004949999999999</v>
      </c>
      <c r="F296" s="12">
        <f>SI!E2*POWER(SI!E3/(SI!E4*SI!E7),2)/SI!E4</f>
        <v>1</v>
      </c>
      <c r="G296" s="1" t="s">
        <v>1126</v>
      </c>
      <c r="H296" s="1" t="s">
        <v>141</v>
      </c>
    </row>
    <row r="297" spans="1:8" ht="28.8">
      <c r="A297" s="1" t="s">
        <v>5839</v>
      </c>
      <c r="B297" s="1" t="s">
        <v>26</v>
      </c>
      <c r="C297" s="1" t="s">
        <v>4291</v>
      </c>
      <c r="D297" s="1" t="s">
        <v>2860</v>
      </c>
      <c r="E297" s="12">
        <f>0.9972*F297</f>
        <v>0.99719999999999998</v>
      </c>
      <c r="F297" s="12">
        <f>SI!E2*POWER(SI!E3/(SI!E4*SI!E7),2)/SI!E4</f>
        <v>1</v>
      </c>
      <c r="G297" s="1" t="s">
        <v>1126</v>
      </c>
      <c r="H297" s="1" t="s">
        <v>141</v>
      </c>
    </row>
    <row r="298" spans="1:8" ht="28.8">
      <c r="A298" s="1" t="s">
        <v>5840</v>
      </c>
      <c r="B298" s="1" t="s">
        <v>26</v>
      </c>
      <c r="C298" s="1" t="s">
        <v>4291</v>
      </c>
      <c r="D298" s="1" t="s">
        <v>2860</v>
      </c>
      <c r="E298" s="12">
        <f>1.00049*F298</f>
        <v>1.0004900000000001</v>
      </c>
      <c r="F298" s="12">
        <f>SI!E2*POWER(SI!E3/(SI!E4*SI!E7),2)/SI!E4</f>
        <v>1</v>
      </c>
      <c r="G298" s="1" t="s">
        <v>1126</v>
      </c>
      <c r="H298" s="1" t="s">
        <v>141</v>
      </c>
    </row>
    <row r="299" spans="1:8" ht="28.8">
      <c r="A299" s="1" t="s">
        <v>5841</v>
      </c>
      <c r="B299" s="1" t="s">
        <v>26</v>
      </c>
      <c r="C299" s="1" t="s">
        <v>4291</v>
      </c>
      <c r="D299" s="1" t="s">
        <v>2860</v>
      </c>
      <c r="E299" s="12">
        <f>0.00125241098979*F299</f>
        <v>1.25241098979E-3</v>
      </c>
      <c r="F299" s="12">
        <f>SI!E2*POWER(SI!E3/(SI!E4*SI!E7),2)/SI!E4</f>
        <v>1</v>
      </c>
      <c r="G299" s="1" t="s">
        <v>1126</v>
      </c>
      <c r="H299" s="1" t="s">
        <v>982</v>
      </c>
    </row>
    <row r="300" spans="1:8" ht="28.8">
      <c r="A300" s="1" t="s">
        <v>251</v>
      </c>
      <c r="B300" s="1" t="s">
        <v>26</v>
      </c>
      <c r="C300" s="1" t="s">
        <v>4291</v>
      </c>
      <c r="D300" s="1" t="s">
        <v>2860</v>
      </c>
      <c r="E300" s="12">
        <f>0.64*F300</f>
        <v>0.64</v>
      </c>
      <c r="F300" s="12">
        <f>SI!E2*POWER(SI!E3/(SI!E4*SI!E7),2)/SI!E4</f>
        <v>1</v>
      </c>
      <c r="G300" s="1" t="s">
        <v>1126</v>
      </c>
      <c r="H300" s="1" t="s">
        <v>42</v>
      </c>
    </row>
    <row r="301" spans="1:8" ht="28.8">
      <c r="A301" s="1" t="s">
        <v>314</v>
      </c>
      <c r="B301" s="4" t="s">
        <v>315</v>
      </c>
      <c r="C301" s="1" t="s">
        <v>4291</v>
      </c>
      <c r="D301" s="1" t="s">
        <v>2860</v>
      </c>
      <c r="E301" s="12">
        <f>F301</f>
        <v>1</v>
      </c>
      <c r="F301" s="12">
        <f>SI!E2*POWER(SI!E3/(SI!E4*SI!E7),2)/SI!E4</f>
        <v>1</v>
      </c>
      <c r="G301" s="1" t="s">
        <v>1126</v>
      </c>
      <c r="H301" s="1" t="s">
        <v>42</v>
      </c>
    </row>
    <row r="302" spans="1:8" ht="28.8">
      <c r="A302" s="1" t="s">
        <v>347</v>
      </c>
      <c r="B302" s="1" t="s">
        <v>26</v>
      </c>
      <c r="C302" s="1" t="s">
        <v>4291</v>
      </c>
      <c r="D302" s="1" t="s">
        <v>2860</v>
      </c>
      <c r="E302" s="12">
        <f>1000000*F302</f>
        <v>1000000</v>
      </c>
      <c r="F302" s="12">
        <f>SI!E2*POWER(SI!E3/(SI!E4*SI!E7),2)/SI!E4</f>
        <v>1</v>
      </c>
      <c r="G302" s="1" t="s">
        <v>1126</v>
      </c>
      <c r="H302" s="1" t="s">
        <v>46</v>
      </c>
    </row>
    <row r="303" spans="1:8" ht="28.8">
      <c r="A303" s="1" t="s">
        <v>427</v>
      </c>
      <c r="B303" s="1" t="s">
        <v>26</v>
      </c>
      <c r="C303" s="1" t="s">
        <v>4291</v>
      </c>
      <c r="D303" s="1" t="s">
        <v>2860</v>
      </c>
      <c r="E303" s="12">
        <f>0.0025*F303</f>
        <v>2.5000000000000001E-3</v>
      </c>
      <c r="F303" s="12">
        <f>SI!E2*POWER(SI!E3/(SI!E4*SI!E7),2)/SI!E4</f>
        <v>1</v>
      </c>
      <c r="G303" s="1" t="s">
        <v>1126</v>
      </c>
      <c r="H303" s="1" t="s">
        <v>46</v>
      </c>
    </row>
    <row r="304" spans="1:8" ht="28.8">
      <c r="A304" s="1" t="s">
        <v>314</v>
      </c>
      <c r="B304" s="1" t="s">
        <v>26</v>
      </c>
      <c r="C304" s="1" t="s">
        <v>4291</v>
      </c>
      <c r="D304" s="1" t="s">
        <v>2860</v>
      </c>
      <c r="E304" s="12">
        <f>1.000495*F304</f>
        <v>1.0004949999999999</v>
      </c>
      <c r="F304" s="12">
        <f>SI!E2*POWER(SI!E3/(SI!E4*SI!E7),2)/SI!E4</f>
        <v>1</v>
      </c>
      <c r="G304" s="1" t="s">
        <v>1126</v>
      </c>
      <c r="H304" s="1" t="s">
        <v>47</v>
      </c>
    </row>
    <row r="305" spans="1:8" ht="28.8">
      <c r="A305" s="1" t="s">
        <v>5839</v>
      </c>
      <c r="B305" s="1" t="s">
        <v>26</v>
      </c>
      <c r="C305" s="1" t="s">
        <v>4291</v>
      </c>
      <c r="D305" s="1" t="s">
        <v>2860</v>
      </c>
      <c r="E305" s="12">
        <f>0.9972*F305</f>
        <v>0.99719999999999998</v>
      </c>
      <c r="F305" s="12">
        <f>SI!E2*POWER(SI!E3/(SI!E4*SI!E7),2)/SI!E4</f>
        <v>1</v>
      </c>
      <c r="G305" s="1" t="s">
        <v>1126</v>
      </c>
      <c r="H305" s="1" t="s">
        <v>47</v>
      </c>
    </row>
    <row r="306" spans="1:8" ht="28.8">
      <c r="A306" s="1" t="s">
        <v>5840</v>
      </c>
      <c r="B306" s="1" t="s">
        <v>26</v>
      </c>
      <c r="C306" s="1" t="s">
        <v>4291</v>
      </c>
      <c r="D306" s="1" t="s">
        <v>2860</v>
      </c>
      <c r="E306" s="12">
        <f>1.00049*F306</f>
        <v>1.0004900000000001</v>
      </c>
      <c r="F306" s="12">
        <f>SI!E2*POWER(SI!E3/(SI!E4*SI!E7),2)/SI!E4</f>
        <v>1</v>
      </c>
      <c r="G306" s="1" t="s">
        <v>1126</v>
      </c>
      <c r="H306" s="1" t="s">
        <v>47</v>
      </c>
    </row>
    <row r="307" spans="1:8" ht="28.8">
      <c r="A307" t="s">
        <v>3561</v>
      </c>
      <c r="B307" t="s">
        <v>3579</v>
      </c>
      <c r="C307" s="1" t="s">
        <v>4291</v>
      </c>
      <c r="D307" s="1" t="s">
        <v>2860</v>
      </c>
      <c r="E307" s="26">
        <f>1E+24*F307</f>
        <v>9.9999999999999998E+23</v>
      </c>
      <c r="F307" s="12">
        <f>SI!E2*POWER(SI!E3/(SI!E4*SI!E7),2)/SI!E4</f>
        <v>1</v>
      </c>
      <c r="G307" s="1" t="s">
        <v>1126</v>
      </c>
      <c r="H307" s="1" t="s">
        <v>42</v>
      </c>
    </row>
    <row r="308" spans="1:8" ht="28.8">
      <c r="A308" t="s">
        <v>3562</v>
      </c>
      <c r="B308" t="s">
        <v>3597</v>
      </c>
      <c r="C308" s="1" t="s">
        <v>4291</v>
      </c>
      <c r="D308" s="1" t="s">
        <v>2860</v>
      </c>
      <c r="E308" s="26">
        <f>1E+21*F308</f>
        <v>1E+21</v>
      </c>
      <c r="F308" s="12">
        <f>SI!E2*POWER(SI!E3/(SI!E4*SI!E7),2)/SI!E4</f>
        <v>1</v>
      </c>
      <c r="G308" s="1" t="s">
        <v>1126</v>
      </c>
      <c r="H308" s="1" t="s">
        <v>42</v>
      </c>
    </row>
    <row r="309" spans="1:8" ht="28.8">
      <c r="A309" t="s">
        <v>3563</v>
      </c>
      <c r="B309" t="s">
        <v>3596</v>
      </c>
      <c r="C309" s="1" t="s">
        <v>4291</v>
      </c>
      <c r="D309" s="1" t="s">
        <v>2860</v>
      </c>
      <c r="E309" s="26">
        <f>1000000000000000000*F309</f>
        <v>1E+18</v>
      </c>
      <c r="F309" s="12">
        <f>SI!E2*POWER(SI!E3/(SI!E4*SI!E7),2)/SI!E4</f>
        <v>1</v>
      </c>
      <c r="G309" s="1" t="s">
        <v>1126</v>
      </c>
      <c r="H309" s="1" t="s">
        <v>42</v>
      </c>
    </row>
    <row r="310" spans="1:8" ht="28.8">
      <c r="A310" t="s">
        <v>3564</v>
      </c>
      <c r="B310" t="s">
        <v>3595</v>
      </c>
      <c r="C310" s="1" t="s">
        <v>4291</v>
      </c>
      <c r="D310" s="1" t="s">
        <v>2860</v>
      </c>
      <c r="E310" s="26">
        <f>1000000000000000*F310</f>
        <v>1000000000000000</v>
      </c>
      <c r="F310" s="12">
        <f>SI!E2*POWER(SI!E3/(SI!E4*SI!E7),2)/SI!E4</f>
        <v>1</v>
      </c>
      <c r="G310" s="1" t="s">
        <v>1126</v>
      </c>
      <c r="H310" s="1" t="s">
        <v>42</v>
      </c>
    </row>
    <row r="311" spans="1:8" ht="28.8">
      <c r="A311" t="s">
        <v>3565</v>
      </c>
      <c r="B311" t="s">
        <v>3594</v>
      </c>
      <c r="C311" s="1" t="s">
        <v>4291</v>
      </c>
      <c r="D311" s="1" t="s">
        <v>2860</v>
      </c>
      <c r="E311" s="26">
        <f>1000000000000*F311</f>
        <v>1000000000000</v>
      </c>
      <c r="F311" s="12">
        <f>SI!E2*POWER(SI!E3/(SI!E4*SI!E7),2)/SI!E4</f>
        <v>1</v>
      </c>
      <c r="G311" s="1" t="s">
        <v>1126</v>
      </c>
      <c r="H311" s="1" t="s">
        <v>42</v>
      </c>
    </row>
    <row r="312" spans="1:8" ht="28.8">
      <c r="A312" t="s">
        <v>3566</v>
      </c>
      <c r="B312" t="s">
        <v>3593</v>
      </c>
      <c r="C312" s="1" t="s">
        <v>4291</v>
      </c>
      <c r="D312" s="1" t="s">
        <v>2860</v>
      </c>
      <c r="E312" s="26">
        <f>1000000000*F312</f>
        <v>1000000000</v>
      </c>
      <c r="F312" s="12">
        <f>SI!E2*POWER(SI!E3/(SI!E4*SI!E7),2)/SI!E4</f>
        <v>1</v>
      </c>
      <c r="G312" s="1" t="s">
        <v>1126</v>
      </c>
      <c r="H312" s="1" t="s">
        <v>42</v>
      </c>
    </row>
    <row r="313" spans="1:8" ht="28.8">
      <c r="A313" t="s">
        <v>3567</v>
      </c>
      <c r="B313" t="s">
        <v>3592</v>
      </c>
      <c r="C313" s="1" t="s">
        <v>4291</v>
      </c>
      <c r="D313" s="1" t="s">
        <v>2860</v>
      </c>
      <c r="E313" s="26">
        <f>1000000*F313</f>
        <v>1000000</v>
      </c>
      <c r="F313" s="12">
        <f>SI!E2*POWER(SI!E3/(SI!E4*SI!E7),2)/SI!E4</f>
        <v>1</v>
      </c>
      <c r="G313" s="1" t="s">
        <v>1126</v>
      </c>
      <c r="H313" s="1" t="s">
        <v>42</v>
      </c>
    </row>
    <row r="314" spans="1:8" ht="28.8">
      <c r="A314" t="s">
        <v>3790</v>
      </c>
      <c r="B314" t="s">
        <v>3591</v>
      </c>
      <c r="C314" s="1" t="s">
        <v>4291</v>
      </c>
      <c r="D314" s="1" t="s">
        <v>2860</v>
      </c>
      <c r="E314" s="26">
        <f>1000*F314</f>
        <v>1000</v>
      </c>
      <c r="F314" s="12">
        <f>SI!E2*POWER(SI!E3/(SI!E4*SI!E7),2)/SI!E4</f>
        <v>1</v>
      </c>
      <c r="G314" s="1" t="s">
        <v>1126</v>
      </c>
      <c r="H314" s="1" t="s">
        <v>42</v>
      </c>
    </row>
    <row r="315" spans="1:8" ht="28.8">
      <c r="A315" t="s">
        <v>3568</v>
      </c>
      <c r="B315" t="s">
        <v>3590</v>
      </c>
      <c r="C315" s="1" t="s">
        <v>4291</v>
      </c>
      <c r="D315" s="1" t="s">
        <v>2860</v>
      </c>
      <c r="E315" s="26">
        <f>100*F315</f>
        <v>100</v>
      </c>
      <c r="F315" s="12">
        <f>SI!E2*POWER(SI!E3/(SI!E4*SI!E7),2)/SI!E4</f>
        <v>1</v>
      </c>
      <c r="G315" s="1" t="s">
        <v>1126</v>
      </c>
      <c r="H315" s="1" t="s">
        <v>42</v>
      </c>
    </row>
    <row r="316" spans="1:8" ht="28.8">
      <c r="A316" t="s">
        <v>3789</v>
      </c>
      <c r="B316" t="s">
        <v>3580</v>
      </c>
      <c r="C316" s="1" t="s">
        <v>4291</v>
      </c>
      <c r="D316" s="1" t="s">
        <v>2860</v>
      </c>
      <c r="E316" s="26">
        <f>10*F316</f>
        <v>10</v>
      </c>
      <c r="F316" s="12">
        <f>SI!E2*POWER(SI!E3/(SI!E4*SI!E7),2)/SI!E4</f>
        <v>1</v>
      </c>
      <c r="G316" s="1" t="s">
        <v>1126</v>
      </c>
      <c r="H316" s="1" t="s">
        <v>42</v>
      </c>
    </row>
    <row r="317" spans="1:8" ht="28.8">
      <c r="A317" t="s">
        <v>3569</v>
      </c>
      <c r="B317" t="s">
        <v>3589</v>
      </c>
      <c r="C317" s="1" t="s">
        <v>4291</v>
      </c>
      <c r="D317" s="1" t="s">
        <v>2860</v>
      </c>
      <c r="E317" s="26">
        <f>0.1*F317</f>
        <v>0.1</v>
      </c>
      <c r="F317" s="12">
        <f>SI!E2*POWER(SI!E3/(SI!E4*SI!E7),2)/SI!E4</f>
        <v>1</v>
      </c>
      <c r="G317" s="1" t="s">
        <v>1126</v>
      </c>
      <c r="H317" s="1" t="s">
        <v>42</v>
      </c>
    </row>
    <row r="318" spans="1:8" ht="28.8">
      <c r="A318" t="s">
        <v>3570</v>
      </c>
      <c r="B318" t="s">
        <v>3588</v>
      </c>
      <c r="C318" s="1" t="s">
        <v>4291</v>
      </c>
      <c r="D318" s="1" t="s">
        <v>2860</v>
      </c>
      <c r="E318" s="26">
        <f>0.01*F318</f>
        <v>0.01</v>
      </c>
      <c r="F318" s="12">
        <f>SI!E2*POWER(SI!E3/(SI!E4*SI!E7),2)/SI!E4</f>
        <v>1</v>
      </c>
      <c r="G318" s="1" t="s">
        <v>1126</v>
      </c>
      <c r="H318" s="1" t="s">
        <v>42</v>
      </c>
    </row>
    <row r="319" spans="1:8" ht="28.8">
      <c r="A319" t="s">
        <v>3571</v>
      </c>
      <c r="B319" t="s">
        <v>3587</v>
      </c>
      <c r="C319" s="1" t="s">
        <v>4291</v>
      </c>
      <c r="D319" s="1" t="s">
        <v>2860</v>
      </c>
      <c r="E319" s="26">
        <f>0.001*F319</f>
        <v>1E-3</v>
      </c>
      <c r="F319" s="12">
        <f>SI!E2*POWER(SI!E3/(SI!E4*SI!E7),2)/SI!E4</f>
        <v>1</v>
      </c>
      <c r="G319" s="1" t="s">
        <v>1126</v>
      </c>
      <c r="H319" s="1" t="s">
        <v>42</v>
      </c>
    </row>
    <row r="320" spans="1:8" ht="28.8">
      <c r="A320" t="s">
        <v>3572</v>
      </c>
      <c r="B320" t="s">
        <v>3586</v>
      </c>
      <c r="C320" s="1" t="s">
        <v>4291</v>
      </c>
      <c r="D320" s="1" t="s">
        <v>2860</v>
      </c>
      <c r="E320" s="26">
        <f>0.000001*F320</f>
        <v>9.9999999999999995E-7</v>
      </c>
      <c r="F320" s="12">
        <f>SI!E2*POWER(SI!E3/(SI!E4*SI!E7),2)/SI!E4</f>
        <v>1</v>
      </c>
      <c r="G320" s="1" t="s">
        <v>1126</v>
      </c>
      <c r="H320" s="1" t="s">
        <v>42</v>
      </c>
    </row>
    <row r="321" spans="1:8" ht="28.8">
      <c r="A321" t="s">
        <v>3573</v>
      </c>
      <c r="B321" t="s">
        <v>3585</v>
      </c>
      <c r="C321" s="1" t="s">
        <v>4291</v>
      </c>
      <c r="D321" s="1" t="s">
        <v>2860</v>
      </c>
      <c r="E321" s="26">
        <f>0.000000001*F321</f>
        <v>1.0000000000000001E-9</v>
      </c>
      <c r="F321" s="12">
        <f>SI!E2*POWER(SI!E3/(SI!E4*SI!E7),2)/SI!E4</f>
        <v>1</v>
      </c>
      <c r="G321" s="1" t="s">
        <v>1126</v>
      </c>
      <c r="H321" s="1" t="s">
        <v>42</v>
      </c>
    </row>
    <row r="322" spans="1:8" ht="28.8">
      <c r="A322" t="s">
        <v>3574</v>
      </c>
      <c r="B322" t="s">
        <v>3584</v>
      </c>
      <c r="C322" s="1" t="s">
        <v>4291</v>
      </c>
      <c r="D322" s="1" t="s">
        <v>2860</v>
      </c>
      <c r="E322" s="26">
        <f>0.000000000001*F322</f>
        <v>9.9999999999999998E-13</v>
      </c>
      <c r="F322" s="12">
        <f>SI!E2*POWER(SI!E3/(SI!E4*SI!E7),2)/SI!E4</f>
        <v>1</v>
      </c>
      <c r="G322" s="1" t="s">
        <v>1126</v>
      </c>
      <c r="H322" s="1" t="s">
        <v>42</v>
      </c>
    </row>
    <row r="323" spans="1:8" ht="28.8">
      <c r="A323" t="s">
        <v>3575</v>
      </c>
      <c r="B323" t="s">
        <v>3583</v>
      </c>
      <c r="C323" s="1" t="s">
        <v>4291</v>
      </c>
      <c r="D323" s="1" t="s">
        <v>2860</v>
      </c>
      <c r="E323" s="26">
        <f>0.000000000000001*F323</f>
        <v>1.0000000000000001E-15</v>
      </c>
      <c r="F323" s="12">
        <f>SI!E2*POWER(SI!E3/(SI!E4*SI!E7),2)/SI!E4</f>
        <v>1</v>
      </c>
      <c r="G323" s="1" t="s">
        <v>1126</v>
      </c>
      <c r="H323" s="1" t="s">
        <v>42</v>
      </c>
    </row>
    <row r="324" spans="1:8" ht="28.8">
      <c r="A324" t="s">
        <v>3576</v>
      </c>
      <c r="B324" t="s">
        <v>3029</v>
      </c>
      <c r="C324" s="1" t="s">
        <v>4291</v>
      </c>
      <c r="D324" s="1" t="s">
        <v>2860</v>
      </c>
      <c r="E324" s="26">
        <f>0.000000000000000001*F324</f>
        <v>1.0000000000000001E-18</v>
      </c>
      <c r="F324" s="12">
        <f>SI!E2*POWER(SI!E3/(SI!E4*SI!E7),2)/SI!E4</f>
        <v>1</v>
      </c>
      <c r="G324" s="1" t="s">
        <v>1126</v>
      </c>
      <c r="H324" s="1" t="s">
        <v>42</v>
      </c>
    </row>
    <row r="325" spans="1:8" ht="28.8">
      <c r="A325" t="s">
        <v>3577</v>
      </c>
      <c r="B325" t="s">
        <v>3581</v>
      </c>
      <c r="C325" s="1" t="s">
        <v>4291</v>
      </c>
      <c r="D325" s="1" t="s">
        <v>2860</v>
      </c>
      <c r="E325" s="26">
        <f>1E-21*F325</f>
        <v>9.9999999999999991E-22</v>
      </c>
      <c r="F325" s="12">
        <f>SI!E2*POWER(SI!E3/(SI!E4*SI!E7),2)/SI!E4</f>
        <v>1</v>
      </c>
      <c r="G325" s="1" t="s">
        <v>1126</v>
      </c>
      <c r="H325" s="1" t="s">
        <v>42</v>
      </c>
    </row>
    <row r="326" spans="1:8" ht="28.8">
      <c r="A326" t="s">
        <v>3578</v>
      </c>
      <c r="B326" t="s">
        <v>3582</v>
      </c>
      <c r="C326" s="1" t="s">
        <v>4291</v>
      </c>
      <c r="D326" s="1" t="s">
        <v>2860</v>
      </c>
      <c r="E326" s="26">
        <f>1E-24*F326</f>
        <v>9.9999999999999992E-25</v>
      </c>
      <c r="F326" s="12">
        <f>SI!E2*POWER(SI!E3/(SI!E4*SI!E7),2)/SI!E4</f>
        <v>1</v>
      </c>
      <c r="G326" s="1" t="s">
        <v>1126</v>
      </c>
      <c r="H326" s="1" t="s">
        <v>42</v>
      </c>
    </row>
    <row r="327" spans="1:8">
      <c r="A327" s="48"/>
      <c r="B327" s="48"/>
      <c r="C327" s="48"/>
      <c r="D327" s="48"/>
      <c r="E327" s="48"/>
      <c r="F327" s="48"/>
      <c r="G327" s="48"/>
      <c r="H327" s="48"/>
    </row>
    <row r="328" spans="1:8" ht="16.5">
      <c r="A328" s="1" t="s">
        <v>5851</v>
      </c>
      <c r="B328" s="8" t="s">
        <v>5850</v>
      </c>
      <c r="C328" s="1" t="s">
        <v>4317</v>
      </c>
      <c r="D328" s="1" t="s">
        <v>2905</v>
      </c>
      <c r="E328" s="12">
        <f>F328</f>
        <v>1.6624261125245993E-9</v>
      </c>
      <c r="F328" s="12">
        <f>(PI()*POWER((0.001/2)*Systems!D6/12,2)/Systems!D6)*SI!E2*POWER(SI!E3/SI!E4,3)/POWER(SI!E7,2)</f>
        <v>1.6624261125245993E-9</v>
      </c>
      <c r="G328" s="1" t="s">
        <v>1132</v>
      </c>
      <c r="H328" s="1" t="s">
        <v>1148</v>
      </c>
    </row>
    <row r="329" spans="1:8" ht="16.5">
      <c r="A329" s="1" t="s">
        <v>5852</v>
      </c>
      <c r="B329" s="1" t="s">
        <v>2832</v>
      </c>
      <c r="C329" s="1" t="s">
        <v>4317</v>
      </c>
      <c r="D329" s="1" t="s">
        <v>2905</v>
      </c>
      <c r="E329" s="12">
        <f>1.72413793103E-10*F329</f>
        <v>1.72413793103E-10</v>
      </c>
      <c r="F329" s="12">
        <f>SI!E2*POWER(SI!E3/SI!E4,3)/POWER(SI!E7,2)</f>
        <v>1</v>
      </c>
      <c r="G329" s="1" t="s">
        <v>1132</v>
      </c>
      <c r="H329" s="1" t="s">
        <v>58</v>
      </c>
    </row>
    <row r="330" spans="1:8" ht="16.5">
      <c r="A330" s="1" t="s">
        <v>347</v>
      </c>
      <c r="B330" s="1" t="s">
        <v>26</v>
      </c>
      <c r="C330" s="1" t="s">
        <v>4317</v>
      </c>
      <c r="D330" s="1" t="s">
        <v>2905</v>
      </c>
      <c r="E330" s="12">
        <f>0.0000001*F330</f>
        <v>9.9999999999999995E-8</v>
      </c>
      <c r="F330" s="12">
        <f>SI!E2*POWER(SI!E3/SI!E4,3)/POWER(SI!E7,2)</f>
        <v>1</v>
      </c>
      <c r="G330" s="1" t="s">
        <v>1132</v>
      </c>
      <c r="H330" s="1" t="s">
        <v>46</v>
      </c>
    </row>
    <row r="331" spans="1:8" ht="16.5">
      <c r="A331" s="1" t="s">
        <v>5853</v>
      </c>
      <c r="B331" s="8" t="s">
        <v>5854</v>
      </c>
      <c r="C331" s="1" t="s">
        <v>4317</v>
      </c>
      <c r="D331" s="1" t="s">
        <v>2905</v>
      </c>
      <c r="E331" s="12">
        <f>F331</f>
        <v>1</v>
      </c>
      <c r="F331" s="12">
        <f>SI!E2*SI!E3/(POWER(SI!E4,3)*POWER(SI!E7,2))</f>
        <v>1</v>
      </c>
      <c r="G331" s="1" t="s">
        <v>1132</v>
      </c>
      <c r="H331" s="1" t="s">
        <v>42</v>
      </c>
    </row>
    <row r="332" spans="1:8">
      <c r="A332" s="248"/>
      <c r="B332" s="248"/>
      <c r="C332" s="248"/>
      <c r="D332" s="248"/>
      <c r="E332" s="250"/>
      <c r="F332" s="250"/>
      <c r="G332" s="248"/>
      <c r="H332" s="248"/>
    </row>
    <row r="333" spans="1:8" ht="28.8">
      <c r="A333" s="1" t="s">
        <v>5855</v>
      </c>
      <c r="B333" s="1" t="s">
        <v>26</v>
      </c>
      <c r="C333" s="1" t="s">
        <v>4292</v>
      </c>
      <c r="D333" s="1" t="s">
        <v>2894</v>
      </c>
      <c r="E333" s="12">
        <f>F333</f>
        <v>100000</v>
      </c>
      <c r="F333" s="12">
        <f>('Physical Definitions'!E24/POWER('Physical Definitions'!E22,5))*SI!E2/(SI!E4*POWER(SI!E3,4))</f>
        <v>100000</v>
      </c>
      <c r="G333" s="1" t="s">
        <v>1092</v>
      </c>
      <c r="H333" s="1" t="s">
        <v>36</v>
      </c>
    </row>
    <row r="334" spans="1:8" ht="28.8">
      <c r="A334" s="1" t="s">
        <v>5856</v>
      </c>
      <c r="B334" s="1" t="s">
        <v>26</v>
      </c>
      <c r="C334" s="1" t="s">
        <v>4292</v>
      </c>
      <c r="D334" s="1" t="s">
        <v>2894</v>
      </c>
      <c r="E334" s="12">
        <f>0.00001*F334</f>
        <v>1.0000000000000001E-5</v>
      </c>
      <c r="F334" s="12">
        <f>SI!E2/(SI!E4*POWER(SI!E3,4))</f>
        <v>1</v>
      </c>
      <c r="G334" s="1" t="s">
        <v>1092</v>
      </c>
      <c r="H334" s="1" t="s">
        <v>36</v>
      </c>
    </row>
    <row r="335" spans="1:8" ht="28.8">
      <c r="A335" s="1" t="s">
        <v>5857</v>
      </c>
      <c r="B335" s="1" t="s">
        <v>26</v>
      </c>
      <c r="C335" s="1" t="s">
        <v>4292</v>
      </c>
      <c r="D335" s="1" t="s">
        <v>2894</v>
      </c>
      <c r="E335" s="12">
        <f>0.00001*F335</f>
        <v>1.0000000000000001E-5</v>
      </c>
      <c r="F335" s="12">
        <f>SI!E2/(POWER(SI!E3,4)*SI!E4)</f>
        <v>1</v>
      </c>
      <c r="G335" s="1" t="s">
        <v>1092</v>
      </c>
      <c r="H335" s="1" t="s">
        <v>36</v>
      </c>
    </row>
    <row r="336" spans="1:8" ht="28.8">
      <c r="A336" s="1" t="s">
        <v>5857</v>
      </c>
      <c r="B336" s="1" t="s">
        <v>26</v>
      </c>
      <c r="C336" s="1" t="s">
        <v>4292</v>
      </c>
      <c r="D336" s="1" t="s">
        <v>2894</v>
      </c>
      <c r="E336" s="12">
        <f>F336</f>
        <v>1</v>
      </c>
      <c r="F336" s="12">
        <f>SI!E2/(POWER(SI!E3,4)*SI!E4)</f>
        <v>1</v>
      </c>
      <c r="G336" s="1" t="s">
        <v>1092</v>
      </c>
      <c r="H336" s="1" t="s">
        <v>42</v>
      </c>
    </row>
    <row r="337" spans="1:8" ht="28.8">
      <c r="A337" s="1" t="s">
        <v>5855</v>
      </c>
      <c r="B337" s="1" t="s">
        <v>26</v>
      </c>
      <c r="C337" s="1" t="s">
        <v>4292</v>
      </c>
      <c r="D337" s="1" t="s">
        <v>2894</v>
      </c>
      <c r="E337" s="12">
        <f>F337</f>
        <v>1</v>
      </c>
      <c r="F337" s="12">
        <f>SI!E2/(SI!E4*POWER(SI!E3,4))</f>
        <v>1</v>
      </c>
      <c r="G337" s="1" t="s">
        <v>1092</v>
      </c>
      <c r="H337" s="1" t="s">
        <v>42</v>
      </c>
    </row>
    <row r="338" spans="1:8" ht="28.8">
      <c r="A338" s="1" t="s">
        <v>5856</v>
      </c>
      <c r="B338" s="1" t="s">
        <v>26</v>
      </c>
      <c r="C338" s="1" t="s">
        <v>4292</v>
      </c>
      <c r="D338" s="1" t="s">
        <v>2894</v>
      </c>
      <c r="E338" s="12">
        <f>F338</f>
        <v>1</v>
      </c>
      <c r="F338" s="12">
        <f>SI!E2/(SI!E4*POWER(SI!E3,4))</f>
        <v>1</v>
      </c>
      <c r="G338" s="1" t="s">
        <v>1092</v>
      </c>
      <c r="H338" s="1" t="s">
        <v>42</v>
      </c>
    </row>
    <row r="339" spans="1:8">
      <c r="A339" s="248"/>
      <c r="B339" s="248"/>
      <c r="C339" s="248"/>
      <c r="D339" s="248"/>
      <c r="E339" s="250"/>
      <c r="F339" s="250"/>
      <c r="G339" s="248"/>
      <c r="H339" s="248"/>
    </row>
    <row r="340" spans="1:8" ht="28.8">
      <c r="A340" s="1" t="s">
        <v>5858</v>
      </c>
      <c r="B340" s="1" t="s">
        <v>1196</v>
      </c>
      <c r="C340" s="1" t="s">
        <v>4293</v>
      </c>
      <c r="D340" s="1" t="s">
        <v>2881</v>
      </c>
      <c r="E340" s="12">
        <f>F340</f>
        <v>514220674762.16913</v>
      </c>
      <c r="F340" s="12">
        <f>('Physical Constants'!E4/(4*PI()*'Physical Measurements'!E2*'Physical Measurements'!E5*'Physical Measurements'!E5))*SI!E2*SI!E3/(SI!E7*POWER(SI!E4,3))</f>
        <v>514220674762.16913</v>
      </c>
      <c r="G340" s="1" t="s">
        <v>1084</v>
      </c>
      <c r="H340" s="1" t="s">
        <v>6</v>
      </c>
    </row>
    <row r="341" spans="1:8" ht="28.8">
      <c r="A341" s="1" t="s">
        <v>5859</v>
      </c>
      <c r="B341" s="1" t="s">
        <v>1197</v>
      </c>
      <c r="C341" s="1" t="s">
        <v>4293</v>
      </c>
      <c r="D341" s="1" t="s">
        <v>2881</v>
      </c>
      <c r="E341" s="12">
        <f>F341</f>
        <v>27.211386245930335</v>
      </c>
      <c r="F341" s="12">
        <f>('Physical Constants'!E4/(4*PI()*'Physical Measurements'!E2*'Physical Measurements'!E5))*SI!E2*SI!E3/(SI!E7*POWER(SI!E4,3))</f>
        <v>27.211386245930335</v>
      </c>
      <c r="G341" s="1" t="s">
        <v>1084</v>
      </c>
      <c r="H341" s="1" t="s">
        <v>6</v>
      </c>
    </row>
    <row r="342" spans="1:8" ht="28.8">
      <c r="A342" s="1" t="s">
        <v>5860</v>
      </c>
      <c r="B342" s="1" t="s">
        <v>4162</v>
      </c>
      <c r="C342" s="1" t="s">
        <v>4293</v>
      </c>
      <c r="D342" s="1" t="s">
        <v>2881</v>
      </c>
      <c r="E342" s="12">
        <f>F342/1000</f>
        <v>1E-3</v>
      </c>
      <c r="F342" s="12">
        <f>SI!E2*SI!E3/(SI!E7*POWER(SI!E4,3))</f>
        <v>1</v>
      </c>
      <c r="G342" s="1" t="s">
        <v>1084</v>
      </c>
      <c r="H342" s="1" t="s">
        <v>42</v>
      </c>
    </row>
    <row r="343" spans="1:8" ht="28.8">
      <c r="A343" s="1" t="s">
        <v>5861</v>
      </c>
      <c r="B343" s="1" t="s">
        <v>2780</v>
      </c>
      <c r="C343" s="1" t="s">
        <v>4293</v>
      </c>
      <c r="D343" s="1" t="s">
        <v>2881</v>
      </c>
      <c r="E343" s="12">
        <f>F343</f>
        <v>1</v>
      </c>
      <c r="F343" s="12">
        <f>SI!E2*SI!E3/(SI!E7*POWER(SI!E4,3))</f>
        <v>1</v>
      </c>
      <c r="G343" s="1" t="s">
        <v>1084</v>
      </c>
      <c r="H343" s="1" t="s">
        <v>42</v>
      </c>
    </row>
    <row r="344" spans="1:8" ht="28.8">
      <c r="A344" s="1" t="s">
        <v>5862</v>
      </c>
      <c r="B344" s="1" t="s">
        <v>4158</v>
      </c>
      <c r="C344" s="1" t="s">
        <v>4293</v>
      </c>
      <c r="D344" s="1" t="s">
        <v>2881</v>
      </c>
      <c r="E344" s="12">
        <f>F344/'Physical Definitions'!E22</f>
        <v>100</v>
      </c>
      <c r="F344" s="12">
        <f>SI!E2*SI!E3/(SI!E7*POWER(SI!E4,3))</f>
        <v>1</v>
      </c>
      <c r="G344" s="1" t="s">
        <v>1084</v>
      </c>
      <c r="H344" s="1" t="s">
        <v>42</v>
      </c>
    </row>
    <row r="345" spans="1:8" ht="28.8">
      <c r="A345" s="1" t="s">
        <v>5863</v>
      </c>
      <c r="B345" s="1" t="s">
        <v>4159</v>
      </c>
      <c r="C345" s="1" t="s">
        <v>4293</v>
      </c>
      <c r="D345" s="1" t="s">
        <v>2881</v>
      </c>
      <c r="E345" s="12">
        <f>F345/'Physical Definitions'!E21</f>
        <v>1000</v>
      </c>
      <c r="F345" s="12">
        <f>SI!E2*SI!E3/(SI!E7*POWER(SI!E4,3))</f>
        <v>1</v>
      </c>
      <c r="G345" s="1" t="s">
        <v>1084</v>
      </c>
      <c r="H345" s="1" t="s">
        <v>42</v>
      </c>
    </row>
    <row r="346" spans="1:8" ht="28.8">
      <c r="A346" s="1" t="s">
        <v>5864</v>
      </c>
      <c r="B346" s="1" t="s">
        <v>4160</v>
      </c>
      <c r="C346" s="1" t="s">
        <v>4293</v>
      </c>
      <c r="D346" s="1" t="s">
        <v>2881</v>
      </c>
      <c r="E346" s="12">
        <f>F346/0.000001</f>
        <v>1000000</v>
      </c>
      <c r="F346" s="12">
        <f>SI!E2*SI!E3/(SI!E7*POWER(SI!E4,3))</f>
        <v>1</v>
      </c>
      <c r="G346" s="1" t="s">
        <v>1084</v>
      </c>
      <c r="H346" s="1" t="s">
        <v>42</v>
      </c>
    </row>
    <row r="347" spans="1:8" ht="28.8">
      <c r="A347" s="1" t="s">
        <v>5865</v>
      </c>
      <c r="B347" s="1" t="s">
        <v>4161</v>
      </c>
      <c r="C347" s="1" t="s">
        <v>4293</v>
      </c>
      <c r="D347" s="1" t="s">
        <v>2881</v>
      </c>
      <c r="E347" s="12">
        <f>F347/0.000000001</f>
        <v>999999999.99999988</v>
      </c>
      <c r="F347" s="12">
        <f>SI!E2*SI!E3/(SI!E7*POWER(SI!E4,3))</f>
        <v>1</v>
      </c>
      <c r="G347" s="1" t="s">
        <v>1084</v>
      </c>
      <c r="H347" s="1" t="s">
        <v>42</v>
      </c>
    </row>
    <row r="348" spans="1:8" ht="28.8">
      <c r="A348" s="1" t="s">
        <v>5866</v>
      </c>
      <c r="B348" s="1" t="s">
        <v>4163</v>
      </c>
      <c r="C348" s="1" t="s">
        <v>4293</v>
      </c>
      <c r="D348" s="1" t="s">
        <v>2881</v>
      </c>
      <c r="E348" s="12">
        <f>0.001*F348</f>
        <v>1E-3</v>
      </c>
      <c r="F348" s="12">
        <f>SI!E2*SI!E3/(SI!E7*POWER(SI!E4,3))</f>
        <v>1</v>
      </c>
      <c r="G348" s="1" t="s">
        <v>1084</v>
      </c>
      <c r="H348" s="1" t="s">
        <v>42</v>
      </c>
    </row>
    <row r="349" spans="1:8" ht="28.8">
      <c r="A349" s="1" t="s">
        <v>5867</v>
      </c>
      <c r="B349" s="1" t="s">
        <v>4164</v>
      </c>
      <c r="C349" s="1" t="s">
        <v>4293</v>
      </c>
      <c r="D349" s="1" t="s">
        <v>2881</v>
      </c>
      <c r="E349" s="12">
        <f>0.001*F349/'Physical Definitions'!E22</f>
        <v>0.1</v>
      </c>
      <c r="F349" s="12">
        <f>SI!E2*SI!E3/(SI!E7*POWER(SI!E4,3))</f>
        <v>1</v>
      </c>
      <c r="G349" s="1" t="s">
        <v>1084</v>
      </c>
      <c r="H349" s="1" t="s">
        <v>42</v>
      </c>
    </row>
    <row r="350" spans="1:8" ht="28.8">
      <c r="A350" s="1" t="s">
        <v>5868</v>
      </c>
      <c r="B350" s="1" t="s">
        <v>4165</v>
      </c>
      <c r="C350" s="1" t="s">
        <v>4293</v>
      </c>
      <c r="D350" s="1" t="s">
        <v>2881</v>
      </c>
      <c r="E350" s="12">
        <f>0.001*F350/'Physical Definitions'!E21</f>
        <v>1</v>
      </c>
      <c r="F350" s="12">
        <f>SI!E2*SI!E3/(SI!E7*POWER(SI!E4,3))</f>
        <v>1</v>
      </c>
      <c r="G350" s="1" t="s">
        <v>1084</v>
      </c>
      <c r="H350" s="1" t="s">
        <v>42</v>
      </c>
    </row>
    <row r="351" spans="1:8" ht="28.8">
      <c r="A351" s="1" t="s">
        <v>5869</v>
      </c>
      <c r="B351" s="1" t="s">
        <v>4166</v>
      </c>
      <c r="C351" s="1" t="s">
        <v>4293</v>
      </c>
      <c r="D351" s="1" t="s">
        <v>2881</v>
      </c>
      <c r="E351" s="12">
        <f>0.001*F351/0.000001</f>
        <v>1000.0000000000001</v>
      </c>
      <c r="F351" s="12">
        <f>SI!E2*SI!E3/(SI!E7*POWER(SI!E4,3))</f>
        <v>1</v>
      </c>
      <c r="G351" s="1" t="s">
        <v>1084</v>
      </c>
      <c r="H351" s="1" t="s">
        <v>42</v>
      </c>
    </row>
    <row r="352" spans="1:8" ht="28.8">
      <c r="A352" s="1" t="s">
        <v>5870</v>
      </c>
      <c r="B352" s="1" t="s">
        <v>4167</v>
      </c>
      <c r="C352" s="1" t="s">
        <v>4293</v>
      </c>
      <c r="D352" s="1" t="s">
        <v>2881</v>
      </c>
      <c r="E352" s="12">
        <f>0.001*F352/0.000000001</f>
        <v>1000000</v>
      </c>
      <c r="F352" s="12">
        <f>SI!E2*SI!E3/(SI!E7*POWER(SI!E4,3))</f>
        <v>1</v>
      </c>
      <c r="G352" s="1" t="s">
        <v>1084</v>
      </c>
      <c r="H352" s="1" t="s">
        <v>42</v>
      </c>
    </row>
    <row r="353" spans="1:8" ht="28.8">
      <c r="A353" s="1" t="s">
        <v>5871</v>
      </c>
      <c r="B353" s="1" t="s">
        <v>4168</v>
      </c>
      <c r="C353" s="1" t="s">
        <v>4293</v>
      </c>
      <c r="D353" s="1" t="s">
        <v>2881</v>
      </c>
      <c r="E353" s="12">
        <f>0.000001*F353</f>
        <v>9.9999999999999995E-7</v>
      </c>
      <c r="F353" s="12">
        <f>SI!E2*SI!E3/(SI!E7*POWER(SI!E4,3))</f>
        <v>1</v>
      </c>
      <c r="G353" s="1" t="s">
        <v>1084</v>
      </c>
      <c r="H353" s="1" t="s">
        <v>42</v>
      </c>
    </row>
    <row r="354" spans="1:8" ht="28.8">
      <c r="A354" s="1" t="s">
        <v>5872</v>
      </c>
      <c r="B354" s="1" t="s">
        <v>4169</v>
      </c>
      <c r="C354" s="1" t="s">
        <v>4293</v>
      </c>
      <c r="D354" s="1" t="s">
        <v>2881</v>
      </c>
      <c r="E354" s="12">
        <f>0.000001*F354/'Physical Definitions'!E22</f>
        <v>9.9999999999999991E-5</v>
      </c>
      <c r="F354" s="12">
        <f>SI!E2*SI!E3/(SI!E7*POWER(SI!E4,3))</f>
        <v>1</v>
      </c>
      <c r="G354" s="1" t="s">
        <v>1084</v>
      </c>
      <c r="H354" s="1" t="s">
        <v>42</v>
      </c>
    </row>
    <row r="355" spans="1:8" ht="28.8">
      <c r="A355" s="1" t="s">
        <v>5873</v>
      </c>
      <c r="B355" s="1" t="s">
        <v>4170</v>
      </c>
      <c r="C355" s="1" t="s">
        <v>4293</v>
      </c>
      <c r="D355" s="1" t="s">
        <v>2881</v>
      </c>
      <c r="E355" s="12">
        <f>0.000001*F355/'Physical Definitions'!E21</f>
        <v>1E-3</v>
      </c>
      <c r="F355" s="12">
        <f>SI!E2*SI!E3/(SI!E7*POWER(SI!E4,3))</f>
        <v>1</v>
      </c>
      <c r="G355" s="1" t="s">
        <v>1084</v>
      </c>
      <c r="H355" s="1" t="s">
        <v>42</v>
      </c>
    </row>
    <row r="356" spans="1:8" ht="28.8">
      <c r="A356" s="1" t="s">
        <v>5874</v>
      </c>
      <c r="B356" s="1" t="s">
        <v>4171</v>
      </c>
      <c r="C356" s="1" t="s">
        <v>4293</v>
      </c>
      <c r="D356" s="1" t="s">
        <v>2881</v>
      </c>
      <c r="E356" s="12">
        <f>0.000001*F356/0.000001</f>
        <v>1</v>
      </c>
      <c r="F356" s="12">
        <f>SI!E2*SI!E3/(SI!E7*POWER(SI!E4,3))</f>
        <v>1</v>
      </c>
      <c r="G356" s="1" t="s">
        <v>1084</v>
      </c>
      <c r="H356" s="1" t="s">
        <v>42</v>
      </c>
    </row>
    <row r="357" spans="1:8" ht="28.8">
      <c r="A357" s="1" t="s">
        <v>5875</v>
      </c>
      <c r="B357" s="1" t="s">
        <v>4172</v>
      </c>
      <c r="C357" s="1" t="s">
        <v>4293</v>
      </c>
      <c r="D357" s="1" t="s">
        <v>2881</v>
      </c>
      <c r="E357" s="12">
        <f>0.000001*F357/0.000000001</f>
        <v>999.99999999999989</v>
      </c>
      <c r="F357" s="12">
        <f>SI!E2*SI!E3/(SI!E7*POWER(SI!E4,3))</f>
        <v>1</v>
      </c>
      <c r="G357" s="1" t="s">
        <v>1084</v>
      </c>
      <c r="H357" s="1" t="s">
        <v>42</v>
      </c>
    </row>
    <row r="358" spans="1:8" ht="28.8">
      <c r="A358" s="1" t="s">
        <v>5876</v>
      </c>
      <c r="B358" s="1" t="s">
        <v>4173</v>
      </c>
      <c r="C358" s="1" t="s">
        <v>4293</v>
      </c>
      <c r="D358" s="1" t="s">
        <v>2881</v>
      </c>
      <c r="E358" s="12">
        <f>F358/(5280*Systems!D6)</f>
        <v>6.2137119223733392E-4</v>
      </c>
      <c r="F358" s="12">
        <f>SI!E2*SI!E3/(SI!E7*POWER(SI!E4,3))</f>
        <v>1</v>
      </c>
      <c r="G358" s="1" t="s">
        <v>1084</v>
      </c>
      <c r="H358" s="1" t="s">
        <v>982</v>
      </c>
    </row>
    <row r="359" spans="1:8" ht="28.8">
      <c r="A359" s="1" t="s">
        <v>5877</v>
      </c>
      <c r="B359" s="1" t="s">
        <v>4174</v>
      </c>
      <c r="C359" s="1" t="s">
        <v>4293</v>
      </c>
      <c r="D359" s="1" t="s">
        <v>2881</v>
      </c>
      <c r="E359" s="12">
        <f>F359/(3*Systems!D6)</f>
        <v>1.0936132983377076</v>
      </c>
      <c r="F359" s="12">
        <f>SI!E2*SI!E3/(SI!E7*POWER(SI!E4,3))</f>
        <v>1</v>
      </c>
      <c r="G359" s="1" t="s">
        <v>1084</v>
      </c>
      <c r="H359" s="1" t="s">
        <v>982</v>
      </c>
    </row>
    <row r="360" spans="1:8" ht="28.8">
      <c r="A360" s="1" t="s">
        <v>5878</v>
      </c>
      <c r="B360" s="1" t="s">
        <v>4175</v>
      </c>
      <c r="C360" s="1" t="s">
        <v>4293</v>
      </c>
      <c r="D360" s="1" t="s">
        <v>2881</v>
      </c>
      <c r="E360" s="12">
        <f>F360/Systems!D6</f>
        <v>3.280839895013123</v>
      </c>
      <c r="F360" s="12">
        <f>SI!E2*SI!E3/(SI!E7*POWER(SI!E4,3))</f>
        <v>1</v>
      </c>
      <c r="G360" s="1" t="s">
        <v>1084</v>
      </c>
      <c r="H360" s="1" t="s">
        <v>982</v>
      </c>
    </row>
    <row r="361" spans="1:8" ht="28.8">
      <c r="A361" s="1" t="s">
        <v>5879</v>
      </c>
      <c r="B361" s="1" t="s">
        <v>4176</v>
      </c>
      <c r="C361" s="1" t="s">
        <v>4293</v>
      </c>
      <c r="D361" s="1" t="s">
        <v>2881</v>
      </c>
      <c r="E361" s="12">
        <f>12*F361/Systems!D6</f>
        <v>39.370078740157481</v>
      </c>
      <c r="F361" s="12">
        <f>SI!E2*SI!E3/(SI!E7*POWER(SI!E4,3))</f>
        <v>1</v>
      </c>
      <c r="G361" s="1" t="s">
        <v>1084</v>
      </c>
      <c r="H361" s="1" t="s">
        <v>982</v>
      </c>
    </row>
    <row r="362" spans="1:8" ht="28.8">
      <c r="A362" s="1" t="s">
        <v>5880</v>
      </c>
      <c r="B362" s="1" t="s">
        <v>4177</v>
      </c>
      <c r="C362" s="1" t="s">
        <v>4293</v>
      </c>
      <c r="D362" s="1" t="s">
        <v>2881</v>
      </c>
      <c r="E362" s="12">
        <f>0.001*F362/(3*Systems!D6)</f>
        <v>1.0936132983377076E-3</v>
      </c>
      <c r="F362" s="12">
        <f>SI!E2*SI!E3/(SI!E7*POWER(SI!E4,3))</f>
        <v>1</v>
      </c>
      <c r="G362" s="1" t="s">
        <v>1084</v>
      </c>
      <c r="H362" s="1" t="s">
        <v>982</v>
      </c>
    </row>
    <row r="363" spans="1:8" ht="28.8">
      <c r="A363" s="1" t="s">
        <v>5881</v>
      </c>
      <c r="B363" s="1" t="s">
        <v>4178</v>
      </c>
      <c r="C363" s="1" t="s">
        <v>4293</v>
      </c>
      <c r="D363" s="1" t="s">
        <v>2881</v>
      </c>
      <c r="E363" s="12">
        <f>0.001*F363/Systems!D6</f>
        <v>3.2808398950131233E-3</v>
      </c>
      <c r="F363" s="12">
        <f>SI!E2*SI!E3/(SI!E7*POWER(SI!E4,3))</f>
        <v>1</v>
      </c>
      <c r="G363" s="1" t="s">
        <v>1084</v>
      </c>
      <c r="H363" s="1" t="s">
        <v>982</v>
      </c>
    </row>
    <row r="364" spans="1:8" ht="28.8">
      <c r="A364" s="1" t="s">
        <v>5882</v>
      </c>
      <c r="B364" s="1" t="s">
        <v>4179</v>
      </c>
      <c r="C364" s="1" t="s">
        <v>4293</v>
      </c>
      <c r="D364" s="1" t="s">
        <v>2881</v>
      </c>
      <c r="E364" s="12">
        <f>0.001*12*F364/Systems!D6</f>
        <v>3.937007874015748E-2</v>
      </c>
      <c r="F364" s="12">
        <f>SI!E2*SI!E3/(SI!E7*POWER(SI!E4,3))</f>
        <v>1</v>
      </c>
      <c r="G364" s="1" t="s">
        <v>1084</v>
      </c>
      <c r="H364" s="1" t="s">
        <v>982</v>
      </c>
    </row>
    <row r="365" spans="1:8" ht="28.8">
      <c r="A365" s="1" t="s">
        <v>5883</v>
      </c>
      <c r="B365" s="1" t="s">
        <v>4180</v>
      </c>
      <c r="C365" s="1" t="s">
        <v>4293</v>
      </c>
      <c r="D365" s="1" t="s">
        <v>2881</v>
      </c>
      <c r="E365" s="12">
        <f>0.000001*F365/(3*Systems!D6)</f>
        <v>1.0936132983377075E-6</v>
      </c>
      <c r="F365" s="12">
        <f>SI!E2*SI!E3/(SI!E7*POWER(SI!E4,3))</f>
        <v>1</v>
      </c>
      <c r="G365" s="1" t="s">
        <v>1084</v>
      </c>
      <c r="H365" s="1" t="s">
        <v>982</v>
      </c>
    </row>
    <row r="366" spans="1:8" ht="28.8">
      <c r="A366" s="1" t="s">
        <v>5884</v>
      </c>
      <c r="B366" s="1" t="s">
        <v>4181</v>
      </c>
      <c r="C366" s="1" t="s">
        <v>4293</v>
      </c>
      <c r="D366" s="1" t="s">
        <v>2881</v>
      </c>
      <c r="E366" s="12">
        <f>0.000001*F366/Systems!D6</f>
        <v>3.2808398950131231E-6</v>
      </c>
      <c r="F366" s="12">
        <f>SI!E2*SI!E3/(SI!E7*POWER(SI!E4,3))</f>
        <v>1</v>
      </c>
      <c r="G366" s="1" t="s">
        <v>1084</v>
      </c>
      <c r="H366" s="1" t="s">
        <v>982</v>
      </c>
    </row>
    <row r="367" spans="1:8" ht="28.8">
      <c r="A367" s="1" t="s">
        <v>5885</v>
      </c>
      <c r="B367" s="1" t="s">
        <v>4182</v>
      </c>
      <c r="C367" s="1" t="s">
        <v>4293</v>
      </c>
      <c r="D367" s="1" t="s">
        <v>2881</v>
      </c>
      <c r="E367" s="12">
        <f>0.000001*12*F367/Systems!D6</f>
        <v>3.9370078740157478E-5</v>
      </c>
      <c r="F367" s="12">
        <f>SI!E2*SI!E3/(SI!E7*POWER(SI!E4,3))</f>
        <v>1</v>
      </c>
      <c r="G367" s="1" t="s">
        <v>1084</v>
      </c>
      <c r="H367" s="1" t="s">
        <v>982</v>
      </c>
    </row>
    <row r="368" spans="1:8">
      <c r="A368" s="48"/>
      <c r="B368" s="48"/>
      <c r="C368" s="48"/>
      <c r="D368" s="48"/>
      <c r="E368" s="48"/>
      <c r="F368" s="48"/>
      <c r="G368" s="48"/>
      <c r="H368" s="48"/>
    </row>
    <row r="369" spans="1:8" ht="43.2">
      <c r="A369" s="1" t="s">
        <v>5886</v>
      </c>
      <c r="B369" s="1" t="s">
        <v>1201</v>
      </c>
      <c r="C369" s="1" t="s">
        <v>4318</v>
      </c>
      <c r="D369" s="1" t="s">
        <v>2849</v>
      </c>
      <c r="E369" s="12">
        <f>F369</f>
        <v>235051.75675813091</v>
      </c>
      <c r="F369" s="12">
        <f>('Physical Constants'!E2/(2*PI()*'Physical Constants'!E4*POWER('Physical Measurements'!E5,2)))*SI!E2/(SI!E7*POWER(SI!E4,2))</f>
        <v>235051.75675813091</v>
      </c>
      <c r="G369" s="1" t="s">
        <v>1088</v>
      </c>
      <c r="H369" s="1" t="s">
        <v>6</v>
      </c>
    </row>
    <row r="370" spans="1:8" ht="43.2">
      <c r="A370" s="1" t="s">
        <v>217</v>
      </c>
      <c r="B370" s="1" t="s">
        <v>2968</v>
      </c>
      <c r="C370" s="1" t="s">
        <v>4318</v>
      </c>
      <c r="D370" s="1" t="s">
        <v>2849</v>
      </c>
      <c r="E370" s="12">
        <f>0.0001*F370</f>
        <v>1E-4</v>
      </c>
      <c r="F370" s="12">
        <f>SI!E2/(SI!E7*POWER(SI!E4,2))</f>
        <v>1</v>
      </c>
      <c r="G370" s="1" t="s">
        <v>1088</v>
      </c>
      <c r="H370" s="1" t="s">
        <v>36</v>
      </c>
    </row>
    <row r="371" spans="1:8" ht="43.2">
      <c r="A371" s="1" t="s">
        <v>216</v>
      </c>
      <c r="B371" s="4" t="s">
        <v>174</v>
      </c>
      <c r="C371" s="1" t="s">
        <v>4318</v>
      </c>
      <c r="D371" s="1" t="s">
        <v>2849</v>
      </c>
      <c r="E371" s="12">
        <f>0.000000001*F371</f>
        <v>1.0000000000000001E-9</v>
      </c>
      <c r="F371" s="12">
        <f>SI!E2/(SI!E7*POWER(SI!E4,2))</f>
        <v>1</v>
      </c>
      <c r="G371" s="1" t="s">
        <v>1088</v>
      </c>
      <c r="H371" s="1" t="s">
        <v>982</v>
      </c>
    </row>
    <row r="372" spans="1:8" ht="43.2">
      <c r="A372" s="1" t="s">
        <v>404</v>
      </c>
      <c r="B372" s="1" t="s">
        <v>21</v>
      </c>
      <c r="C372" s="1" t="s">
        <v>4318</v>
      </c>
      <c r="D372" s="1" t="s">
        <v>2849</v>
      </c>
      <c r="E372" s="12">
        <f>F372</f>
        <v>1</v>
      </c>
      <c r="F372" s="12">
        <f>SI!E2/(SI!E7*POWER(SI!E4,2))</f>
        <v>1</v>
      </c>
      <c r="G372" s="1" t="s">
        <v>1088</v>
      </c>
      <c r="H372" s="1" t="s">
        <v>42</v>
      </c>
    </row>
    <row r="373" spans="1:8" ht="43.2">
      <c r="A373" t="s">
        <v>3675</v>
      </c>
      <c r="B373" t="s">
        <v>3696</v>
      </c>
      <c r="C373" s="1" t="s">
        <v>4318</v>
      </c>
      <c r="D373" s="1" t="s">
        <v>2849</v>
      </c>
      <c r="E373" s="26">
        <f>1E+24*F373</f>
        <v>9.9999999999999998E+23</v>
      </c>
      <c r="F373" s="12">
        <f>SI!E2/(SI!E7*POWER(SI!E4,2))</f>
        <v>1</v>
      </c>
      <c r="G373" s="1" t="s">
        <v>1088</v>
      </c>
      <c r="H373" s="1" t="s">
        <v>42</v>
      </c>
    </row>
    <row r="374" spans="1:8" ht="43.2">
      <c r="A374" t="s">
        <v>3676</v>
      </c>
      <c r="B374" t="s">
        <v>3697</v>
      </c>
      <c r="C374" s="1" t="s">
        <v>4318</v>
      </c>
      <c r="D374" s="1" t="s">
        <v>2849</v>
      </c>
      <c r="E374" s="26">
        <f>1E+21*F374</f>
        <v>1E+21</v>
      </c>
      <c r="F374" s="12">
        <f>SI!E2/(SI!E7*POWER(SI!E4,2))</f>
        <v>1</v>
      </c>
      <c r="G374" s="1" t="s">
        <v>1088</v>
      </c>
      <c r="H374" s="1" t="s">
        <v>42</v>
      </c>
    </row>
    <row r="375" spans="1:8" ht="43.2">
      <c r="A375" t="s">
        <v>3677</v>
      </c>
      <c r="B375" t="s">
        <v>3698</v>
      </c>
      <c r="C375" s="1" t="s">
        <v>4318</v>
      </c>
      <c r="D375" s="1" t="s">
        <v>2849</v>
      </c>
      <c r="E375" s="26">
        <f>1000000000000000000*F375</f>
        <v>1E+18</v>
      </c>
      <c r="F375" s="12">
        <f>SI!E2/(SI!E7*POWER(SI!E4,2))</f>
        <v>1</v>
      </c>
      <c r="G375" s="1" t="s">
        <v>1088</v>
      </c>
      <c r="H375" s="1" t="s">
        <v>42</v>
      </c>
    </row>
    <row r="376" spans="1:8" ht="43.2">
      <c r="A376" t="s">
        <v>3678</v>
      </c>
      <c r="B376" t="s">
        <v>3699</v>
      </c>
      <c r="C376" s="1" t="s">
        <v>4318</v>
      </c>
      <c r="D376" s="1" t="s">
        <v>2849</v>
      </c>
      <c r="E376" s="26">
        <f>1000000000000000*F376</f>
        <v>1000000000000000</v>
      </c>
      <c r="F376" s="12">
        <f>SI!E2/(SI!E7*POWER(SI!E4,2))</f>
        <v>1</v>
      </c>
      <c r="G376" s="1" t="s">
        <v>1088</v>
      </c>
      <c r="H376" s="1" t="s">
        <v>42</v>
      </c>
    </row>
    <row r="377" spans="1:8" ht="43.2">
      <c r="A377" t="s">
        <v>3679</v>
      </c>
      <c r="B377" t="s">
        <v>3700</v>
      </c>
      <c r="C377" s="1" t="s">
        <v>4318</v>
      </c>
      <c r="D377" s="1" t="s">
        <v>2849</v>
      </c>
      <c r="E377" s="26">
        <f>1000000000000*F377</f>
        <v>1000000000000</v>
      </c>
      <c r="F377" s="12">
        <f>SI!E2/(SI!E7*POWER(SI!E4,2))</f>
        <v>1</v>
      </c>
      <c r="G377" s="1" t="s">
        <v>1088</v>
      </c>
      <c r="H377" s="1" t="s">
        <v>42</v>
      </c>
    </row>
    <row r="378" spans="1:8" ht="43.2">
      <c r="A378" t="s">
        <v>3680</v>
      </c>
      <c r="B378" t="s">
        <v>3701</v>
      </c>
      <c r="C378" s="1" t="s">
        <v>4318</v>
      </c>
      <c r="D378" s="1" t="s">
        <v>2849</v>
      </c>
      <c r="E378" s="26">
        <f>1000000000*F378</f>
        <v>1000000000</v>
      </c>
      <c r="F378" s="12">
        <f>SI!E2/(SI!E7*POWER(SI!E4,2))</f>
        <v>1</v>
      </c>
      <c r="G378" s="1" t="s">
        <v>1088</v>
      </c>
      <c r="H378" s="1" t="s">
        <v>42</v>
      </c>
    </row>
    <row r="379" spans="1:8" ht="43.2">
      <c r="A379" t="s">
        <v>3681</v>
      </c>
      <c r="B379" t="s">
        <v>3702</v>
      </c>
      <c r="C379" s="1" t="s">
        <v>4318</v>
      </c>
      <c r="D379" s="1" t="s">
        <v>2849</v>
      </c>
      <c r="E379" s="26">
        <f>1000000*F379</f>
        <v>1000000</v>
      </c>
      <c r="F379" s="12">
        <f>SI!E2/(SI!E7*POWER(SI!E4,2))</f>
        <v>1</v>
      </c>
      <c r="G379" s="1" t="s">
        <v>1088</v>
      </c>
      <c r="H379" s="1" t="s">
        <v>42</v>
      </c>
    </row>
    <row r="380" spans="1:8" ht="43.2">
      <c r="A380" t="s">
        <v>3682</v>
      </c>
      <c r="B380" t="s">
        <v>3703</v>
      </c>
      <c r="C380" s="1" t="s">
        <v>4318</v>
      </c>
      <c r="D380" s="1" t="s">
        <v>2849</v>
      </c>
      <c r="E380" s="26">
        <f>1000*F380</f>
        <v>1000</v>
      </c>
      <c r="F380" s="12">
        <f>SI!E2/(SI!E7*POWER(SI!E4,2))</f>
        <v>1</v>
      </c>
      <c r="G380" s="1" t="s">
        <v>1088</v>
      </c>
      <c r="H380" s="1" t="s">
        <v>42</v>
      </c>
    </row>
    <row r="381" spans="1:8" ht="43.2">
      <c r="A381" t="s">
        <v>3683</v>
      </c>
      <c r="B381" t="s">
        <v>3704</v>
      </c>
      <c r="C381" s="1" t="s">
        <v>4318</v>
      </c>
      <c r="D381" s="1" t="s">
        <v>2849</v>
      </c>
      <c r="E381" s="26">
        <f>100*F381</f>
        <v>100</v>
      </c>
      <c r="F381" s="12">
        <f>SI!E2/(SI!E7*POWER(SI!E4,2))</f>
        <v>1</v>
      </c>
      <c r="G381" s="1" t="s">
        <v>1088</v>
      </c>
      <c r="H381" s="1" t="s">
        <v>42</v>
      </c>
    </row>
    <row r="382" spans="1:8" ht="43.2">
      <c r="A382" t="s">
        <v>3684</v>
      </c>
      <c r="B382" t="s">
        <v>3705</v>
      </c>
      <c r="C382" s="1" t="s">
        <v>4318</v>
      </c>
      <c r="D382" s="1" t="s">
        <v>2849</v>
      </c>
      <c r="E382" s="26">
        <f>10*F382</f>
        <v>10</v>
      </c>
      <c r="F382" s="12">
        <f>SI!E2/(SI!E7*POWER(SI!E4,2))</f>
        <v>1</v>
      </c>
      <c r="G382" s="1" t="s">
        <v>1088</v>
      </c>
      <c r="H382" s="1" t="s">
        <v>42</v>
      </c>
    </row>
    <row r="383" spans="1:8" ht="43.2">
      <c r="A383" t="s">
        <v>3685</v>
      </c>
      <c r="B383" t="s">
        <v>3706</v>
      </c>
      <c r="C383" s="1" t="s">
        <v>4318</v>
      </c>
      <c r="D383" s="1" t="s">
        <v>2849</v>
      </c>
      <c r="E383" s="26">
        <f>0.1*F383</f>
        <v>0.1</v>
      </c>
      <c r="F383" s="12">
        <f>SI!E2/(SI!E7*POWER(SI!E4,2))</f>
        <v>1</v>
      </c>
      <c r="G383" s="1" t="s">
        <v>1088</v>
      </c>
      <c r="H383" s="1" t="s">
        <v>42</v>
      </c>
    </row>
    <row r="384" spans="1:8" ht="43.2">
      <c r="A384" t="s">
        <v>3686</v>
      </c>
      <c r="B384" t="s">
        <v>3707</v>
      </c>
      <c r="C384" s="1" t="s">
        <v>4318</v>
      </c>
      <c r="D384" s="1" t="s">
        <v>2849</v>
      </c>
      <c r="E384" s="26">
        <f>0.01*F384</f>
        <v>0.01</v>
      </c>
      <c r="F384" s="12">
        <f>SI!E2/(SI!E7*POWER(SI!E4,2))</f>
        <v>1</v>
      </c>
      <c r="G384" s="1" t="s">
        <v>1088</v>
      </c>
      <c r="H384" s="1" t="s">
        <v>42</v>
      </c>
    </row>
    <row r="385" spans="1:8" ht="43.2">
      <c r="A385" t="s">
        <v>3687</v>
      </c>
      <c r="B385" t="s">
        <v>3708</v>
      </c>
      <c r="C385" s="1" t="s">
        <v>4318</v>
      </c>
      <c r="D385" s="1" t="s">
        <v>2849</v>
      </c>
      <c r="E385" s="26">
        <f>0.001*F385</f>
        <v>1E-3</v>
      </c>
      <c r="F385" s="12">
        <f>SI!E2/(SI!E7*POWER(SI!E4,2))</f>
        <v>1</v>
      </c>
      <c r="G385" s="1" t="s">
        <v>1088</v>
      </c>
      <c r="H385" s="1" t="s">
        <v>42</v>
      </c>
    </row>
    <row r="386" spans="1:8" ht="43.2">
      <c r="A386" t="s">
        <v>3688</v>
      </c>
      <c r="B386" t="s">
        <v>3709</v>
      </c>
      <c r="C386" s="1" t="s">
        <v>4318</v>
      </c>
      <c r="D386" s="1" t="s">
        <v>2849</v>
      </c>
      <c r="E386" s="26">
        <f>0.000001*F386</f>
        <v>9.9999999999999995E-7</v>
      </c>
      <c r="F386" s="12">
        <f>SI!E2/(SI!E7*POWER(SI!E4,2))</f>
        <v>1</v>
      </c>
      <c r="G386" s="1" t="s">
        <v>1088</v>
      </c>
      <c r="H386" s="1" t="s">
        <v>42</v>
      </c>
    </row>
    <row r="387" spans="1:8" ht="43.2">
      <c r="A387" t="s">
        <v>3689</v>
      </c>
      <c r="B387" t="s">
        <v>3710</v>
      </c>
      <c r="C387" s="1" t="s">
        <v>4318</v>
      </c>
      <c r="D387" s="1" t="s">
        <v>2849</v>
      </c>
      <c r="E387" s="26">
        <f>0.000000001*F387</f>
        <v>1.0000000000000001E-9</v>
      </c>
      <c r="F387" s="12">
        <f>SI!E2/(SI!E7*POWER(SI!E4,2))</f>
        <v>1</v>
      </c>
      <c r="G387" s="1" t="s">
        <v>1088</v>
      </c>
      <c r="H387" s="1" t="s">
        <v>42</v>
      </c>
    </row>
    <row r="388" spans="1:8" ht="43.2">
      <c r="A388" t="s">
        <v>3690</v>
      </c>
      <c r="B388" t="s">
        <v>3711</v>
      </c>
      <c r="C388" s="1" t="s">
        <v>4318</v>
      </c>
      <c r="D388" s="1" t="s">
        <v>2849</v>
      </c>
      <c r="E388" s="26">
        <f>0.000000000001*F388</f>
        <v>9.9999999999999998E-13</v>
      </c>
      <c r="F388" s="12">
        <f>SI!E2/(SI!E7*POWER(SI!E4,2))</f>
        <v>1</v>
      </c>
      <c r="G388" s="1" t="s">
        <v>1088</v>
      </c>
      <c r="H388" s="1" t="s">
        <v>42</v>
      </c>
    </row>
    <row r="389" spans="1:8" ht="43.2">
      <c r="A389" t="s">
        <v>3691</v>
      </c>
      <c r="B389" t="s">
        <v>3712</v>
      </c>
      <c r="C389" s="1" t="s">
        <v>4318</v>
      </c>
      <c r="D389" s="1" t="s">
        <v>2849</v>
      </c>
      <c r="E389" s="26">
        <f>0.000000000000001*F389</f>
        <v>1.0000000000000001E-15</v>
      </c>
      <c r="F389" s="12">
        <f>SI!E2/(SI!E7*POWER(SI!E4,2))</f>
        <v>1</v>
      </c>
      <c r="G389" s="1" t="s">
        <v>1088</v>
      </c>
      <c r="H389" s="1" t="s">
        <v>42</v>
      </c>
    </row>
    <row r="390" spans="1:8" ht="43.2">
      <c r="A390" t="s">
        <v>3692</v>
      </c>
      <c r="B390" t="s">
        <v>3713</v>
      </c>
      <c r="C390" s="1" t="s">
        <v>4318</v>
      </c>
      <c r="D390" s="1" t="s">
        <v>2849</v>
      </c>
      <c r="E390" s="26">
        <f>0.000000000000000001*F390</f>
        <v>1.0000000000000001E-18</v>
      </c>
      <c r="F390" s="12">
        <f>SI!E2/(SI!E7*POWER(SI!E4,2))</f>
        <v>1</v>
      </c>
      <c r="G390" s="1" t="s">
        <v>1088</v>
      </c>
      <c r="H390" s="1" t="s">
        <v>42</v>
      </c>
    </row>
    <row r="391" spans="1:8" ht="43.2">
      <c r="A391" t="s">
        <v>3693</v>
      </c>
      <c r="B391" t="s">
        <v>3714</v>
      </c>
      <c r="C391" s="1" t="s">
        <v>4318</v>
      </c>
      <c r="D391" s="1" t="s">
        <v>2849</v>
      </c>
      <c r="E391" s="26">
        <f>1E-21*F391</f>
        <v>9.9999999999999991E-22</v>
      </c>
      <c r="F391" s="12">
        <f>SI!E2/(SI!E7*POWER(SI!E4,2))</f>
        <v>1</v>
      </c>
      <c r="G391" s="1" t="s">
        <v>1088</v>
      </c>
      <c r="H391" s="1" t="s">
        <v>42</v>
      </c>
    </row>
    <row r="392" spans="1:8" ht="43.2">
      <c r="A392" t="s">
        <v>3694</v>
      </c>
      <c r="B392" t="s">
        <v>3715</v>
      </c>
      <c r="C392" s="1" t="s">
        <v>4318</v>
      </c>
      <c r="D392" s="1" t="s">
        <v>2849</v>
      </c>
      <c r="E392" s="26">
        <f>1E-24*F392</f>
        <v>9.9999999999999992E-25</v>
      </c>
      <c r="F392" s="12">
        <f>SI!E2/(SI!E7*POWER(SI!E4,2))</f>
        <v>1</v>
      </c>
      <c r="G392" s="1" t="s">
        <v>1088</v>
      </c>
      <c r="H392" s="1" t="s">
        <v>42</v>
      </c>
    </row>
    <row r="393" spans="1:8">
      <c r="A393" s="248"/>
      <c r="B393" s="248"/>
      <c r="C393" s="248"/>
      <c r="D393" s="248"/>
      <c r="E393" s="250"/>
      <c r="F393" s="250"/>
      <c r="G393" s="248"/>
      <c r="H393" s="248"/>
    </row>
    <row r="394" spans="1:8" ht="43.2">
      <c r="A394" s="1" t="s">
        <v>5887</v>
      </c>
      <c r="B394" s="1" t="s">
        <v>2969</v>
      </c>
      <c r="C394" s="1" t="s">
        <v>7082</v>
      </c>
      <c r="D394" s="1" t="s">
        <v>2882</v>
      </c>
      <c r="E394" s="12">
        <f>F394</f>
        <v>9.7173624292076243E+21</v>
      </c>
      <c r="F394" s="12">
        <f>('Physical Constants'!E4/(4*PI()*'Physical Measurements'!E2*POWER('Physical Measurements'!E5,3)))*SI!E2/(SI!E7*POWER(SI!E4,3))</f>
        <v>9.7173624292076243E+21</v>
      </c>
      <c r="G394" s="1" t="s">
        <v>1086</v>
      </c>
      <c r="H394" s="1" t="s">
        <v>6</v>
      </c>
    </row>
    <row r="395" spans="1:8" ht="43.2">
      <c r="A395" s="1" t="s">
        <v>408</v>
      </c>
      <c r="B395" s="1" t="s">
        <v>409</v>
      </c>
      <c r="C395" s="1" t="s">
        <v>7082</v>
      </c>
      <c r="D395" s="1" t="s">
        <v>2882</v>
      </c>
      <c r="E395" s="12">
        <f>1E+21*F395</f>
        <v>1E+21</v>
      </c>
      <c r="F395" s="12">
        <f>SI!E2/(SI!E7*POWER(SI!E4,3))</f>
        <v>1</v>
      </c>
      <c r="G395" s="1" t="s">
        <v>1086</v>
      </c>
      <c r="H395" s="1" t="s">
        <v>36</v>
      </c>
    </row>
    <row r="396" spans="1:8">
      <c r="A396" s="48"/>
      <c r="B396" s="48"/>
      <c r="C396" s="48"/>
      <c r="D396" s="48"/>
      <c r="E396" s="48"/>
      <c r="F396" s="48"/>
      <c r="G396" s="48"/>
      <c r="H396" s="48"/>
    </row>
    <row r="397" spans="1:8" ht="28.8">
      <c r="A397" s="1" t="s">
        <v>5888</v>
      </c>
      <c r="B397" s="1" t="s">
        <v>4098</v>
      </c>
      <c r="C397" s="1" t="s">
        <v>4294</v>
      </c>
      <c r="D397" s="1" t="s">
        <v>2926</v>
      </c>
      <c r="E397" s="12">
        <f>F397/1000</f>
        <v>1E-3</v>
      </c>
      <c r="F397" s="12">
        <f>SI!E2*SI!E3/(SI!E7*POWER(SI!E4,2))</f>
        <v>1</v>
      </c>
      <c r="G397" s="1" t="s">
        <v>1147</v>
      </c>
      <c r="H397" s="1" t="s">
        <v>42</v>
      </c>
    </row>
    <row r="398" spans="1:8" ht="28.8">
      <c r="A398" s="1" t="s">
        <v>5889</v>
      </c>
      <c r="B398" s="1" t="s">
        <v>2789</v>
      </c>
      <c r="C398" s="1" t="s">
        <v>4294</v>
      </c>
      <c r="D398" s="1" t="s">
        <v>2926</v>
      </c>
      <c r="E398" s="12">
        <f>F398</f>
        <v>1</v>
      </c>
      <c r="F398" s="12">
        <f>SI!E2*SI!E3/(SI!E7*POWER(SI!E4,2))</f>
        <v>1</v>
      </c>
      <c r="G398" s="1" t="s">
        <v>1147</v>
      </c>
      <c r="H398" s="1" t="s">
        <v>42</v>
      </c>
    </row>
    <row r="399" spans="1:8" ht="28.8">
      <c r="A399" s="1" t="s">
        <v>5890</v>
      </c>
      <c r="B399" s="1" t="s">
        <v>4094</v>
      </c>
      <c r="C399" s="1" t="s">
        <v>4294</v>
      </c>
      <c r="D399" s="1" t="s">
        <v>2926</v>
      </c>
      <c r="E399" s="12">
        <f>F399/0.01</f>
        <v>100</v>
      </c>
      <c r="F399" s="12">
        <f>SI!E2*SI!E3/(SI!E7*POWER(SI!E4,2))</f>
        <v>1</v>
      </c>
      <c r="G399" s="1" t="s">
        <v>1147</v>
      </c>
      <c r="H399" s="1" t="s">
        <v>148</v>
      </c>
    </row>
    <row r="400" spans="1:8" ht="28.8">
      <c r="A400" s="1" t="s">
        <v>5891</v>
      </c>
      <c r="B400" s="1" t="s">
        <v>4095</v>
      </c>
      <c r="C400" s="1" t="s">
        <v>4294</v>
      </c>
      <c r="D400" s="1" t="s">
        <v>2926</v>
      </c>
      <c r="E400" s="12">
        <f>F400/0.001</f>
        <v>1000</v>
      </c>
      <c r="F400" s="12">
        <f>SI!E2*SI!E3/(SI!E7*POWER(SI!E4,2))</f>
        <v>1</v>
      </c>
      <c r="G400" s="1" t="s">
        <v>1147</v>
      </c>
      <c r="H400" s="1" t="s">
        <v>148</v>
      </c>
    </row>
    <row r="401" spans="1:8" ht="28.8">
      <c r="A401" s="1" t="s">
        <v>5892</v>
      </c>
      <c r="B401" s="1" t="s">
        <v>4096</v>
      </c>
      <c r="C401" s="1" t="s">
        <v>4294</v>
      </c>
      <c r="D401" s="1" t="s">
        <v>2926</v>
      </c>
      <c r="E401" s="12">
        <f>F401/0.000001</f>
        <v>1000000</v>
      </c>
      <c r="F401" s="12">
        <f>SI!E2*SI!E3/(SI!E7*POWER(SI!E4,2))</f>
        <v>1</v>
      </c>
      <c r="G401" s="1" t="s">
        <v>1147</v>
      </c>
      <c r="H401" s="1" t="s">
        <v>148</v>
      </c>
    </row>
    <row r="402" spans="1:8" ht="28.8">
      <c r="A402" s="1" t="s">
        <v>5893</v>
      </c>
      <c r="B402" s="1" t="s">
        <v>4097</v>
      </c>
      <c r="C402" s="1" t="s">
        <v>4294</v>
      </c>
      <c r="D402" s="1" t="s">
        <v>2926</v>
      </c>
      <c r="E402" s="12">
        <f>F402/0.000000001</f>
        <v>999999999.99999988</v>
      </c>
      <c r="F402" s="12">
        <f>SI!E2*SI!E3/(SI!E7*POWER(SI!E4,2))</f>
        <v>1</v>
      </c>
      <c r="G402" s="1" t="s">
        <v>1147</v>
      </c>
      <c r="H402" s="1" t="s">
        <v>148</v>
      </c>
    </row>
    <row r="403" spans="1:8" ht="28.8">
      <c r="A403" s="1" t="s">
        <v>5894</v>
      </c>
      <c r="B403" s="1" t="s">
        <v>4099</v>
      </c>
      <c r="C403" s="1" t="s">
        <v>4294</v>
      </c>
      <c r="D403" s="1" t="s">
        <v>2926</v>
      </c>
      <c r="E403" s="12">
        <f>F403/(5280*Systems!D6)</f>
        <v>6.2137119223733392E-4</v>
      </c>
      <c r="F403" s="12">
        <f>SI!E2*SI!E3/(SI!E7*POWER(SI!E4,2))</f>
        <v>1</v>
      </c>
      <c r="G403" s="1" t="s">
        <v>1147</v>
      </c>
      <c r="H403" s="1" t="s">
        <v>982</v>
      </c>
    </row>
    <row r="404" spans="1:8" ht="28.8">
      <c r="A404" s="1" t="s">
        <v>5895</v>
      </c>
      <c r="B404" s="1" t="s">
        <v>4100</v>
      </c>
      <c r="C404" s="1" t="s">
        <v>4294</v>
      </c>
      <c r="D404" s="1" t="s">
        <v>2926</v>
      </c>
      <c r="E404" s="12">
        <f>F404/(3*Systems!D6)</f>
        <v>1.0936132983377076</v>
      </c>
      <c r="F404" s="12">
        <f>SI!E2*SI!E3/(SI!E7*POWER(SI!E4,2))</f>
        <v>1</v>
      </c>
      <c r="G404" s="1" t="s">
        <v>1147</v>
      </c>
      <c r="H404" s="1" t="s">
        <v>982</v>
      </c>
    </row>
    <row r="405" spans="1:8" ht="28.8">
      <c r="A405" s="1" t="s">
        <v>5896</v>
      </c>
      <c r="B405" s="1" t="s">
        <v>4101</v>
      </c>
      <c r="C405" s="1" t="s">
        <v>4294</v>
      </c>
      <c r="D405" s="1" t="s">
        <v>2926</v>
      </c>
      <c r="E405" s="12">
        <f>F405/Systems!D6</f>
        <v>3.280839895013123</v>
      </c>
      <c r="F405" s="12">
        <f>SI!E2*SI!E3/(SI!E7*POWER(SI!E4,2))</f>
        <v>1</v>
      </c>
      <c r="G405" s="1" t="s">
        <v>1147</v>
      </c>
      <c r="H405" s="1" t="s">
        <v>982</v>
      </c>
    </row>
    <row r="406" spans="1:8" ht="28.8">
      <c r="A406" s="1" t="s">
        <v>5897</v>
      </c>
      <c r="B406" s="1" t="s">
        <v>4102</v>
      </c>
      <c r="C406" s="1" t="s">
        <v>4294</v>
      </c>
      <c r="D406" s="1" t="s">
        <v>2926</v>
      </c>
      <c r="E406" s="12">
        <f>12*F406/Systems!D6</f>
        <v>39.370078740157481</v>
      </c>
      <c r="F406" s="12">
        <f>SI!E2*SI!E3/(SI!E7*POWER(SI!E4,2))</f>
        <v>1</v>
      </c>
      <c r="G406" s="1" t="s">
        <v>1147</v>
      </c>
      <c r="H406" s="1" t="s">
        <v>982</v>
      </c>
    </row>
    <row r="407" spans="1:8">
      <c r="A407" s="48"/>
      <c r="B407" s="48"/>
      <c r="C407" s="48"/>
      <c r="D407" s="48"/>
      <c r="E407" s="48"/>
      <c r="F407" s="48"/>
      <c r="G407" s="48"/>
      <c r="H407" s="48"/>
    </row>
    <row r="408" spans="1:8" ht="16.5">
      <c r="A408" s="1" t="s">
        <v>5898</v>
      </c>
      <c r="B408" s="1" t="s">
        <v>4103</v>
      </c>
      <c r="C408" s="1" t="s">
        <v>4295</v>
      </c>
      <c r="D408" s="1" t="s">
        <v>4088</v>
      </c>
      <c r="E408" s="12">
        <f>F408/1000</f>
        <v>1E-3</v>
      </c>
      <c r="F408" s="12">
        <f>SI!E2*SI!E3/POWER(SI!E4*SI!E7,2)</f>
        <v>1</v>
      </c>
      <c r="G408" s="1" t="s">
        <v>1071</v>
      </c>
      <c r="H408" s="1" t="s">
        <v>42</v>
      </c>
    </row>
    <row r="409" spans="1:8" ht="16.5">
      <c r="A409" s="1" t="s">
        <v>5899</v>
      </c>
      <c r="B409" s="1" t="s">
        <v>1738</v>
      </c>
      <c r="C409" s="1" t="s">
        <v>4295</v>
      </c>
      <c r="D409" s="1" t="s">
        <v>4088</v>
      </c>
      <c r="E409" s="12">
        <f>F409</f>
        <v>1</v>
      </c>
      <c r="F409" s="12">
        <f>SI!E2*SI!E3/POWER(SI!E4*SI!E7,2)</f>
        <v>1</v>
      </c>
      <c r="G409" s="1" t="s">
        <v>1071</v>
      </c>
      <c r="H409" s="1" t="s">
        <v>42</v>
      </c>
    </row>
    <row r="410" spans="1:8" ht="16.5">
      <c r="A410" s="1" t="s">
        <v>5900</v>
      </c>
      <c r="B410" s="1" t="s">
        <v>4104</v>
      </c>
      <c r="C410" s="1" t="s">
        <v>4295</v>
      </c>
      <c r="D410" s="1" t="s">
        <v>4088</v>
      </c>
      <c r="E410" s="12">
        <f>F410/0.01</f>
        <v>100</v>
      </c>
      <c r="F410" s="12">
        <f>SI!E2*SI!E3/POWER(SI!E4*SI!E7,2)</f>
        <v>1</v>
      </c>
      <c r="G410" s="1" t="s">
        <v>1071</v>
      </c>
      <c r="H410" s="1" t="s">
        <v>42</v>
      </c>
    </row>
    <row r="411" spans="1:8" ht="16.5">
      <c r="A411" s="1" t="s">
        <v>5901</v>
      </c>
      <c r="B411" s="1" t="s">
        <v>4105</v>
      </c>
      <c r="C411" s="1" t="s">
        <v>4295</v>
      </c>
      <c r="D411" s="1" t="s">
        <v>4088</v>
      </c>
      <c r="E411" s="12">
        <f>F411/0.001</f>
        <v>1000</v>
      </c>
      <c r="F411" s="12">
        <f>SI!E2*SI!E3/POWER(SI!E4*SI!E7,2)</f>
        <v>1</v>
      </c>
      <c r="G411" s="1" t="s">
        <v>1071</v>
      </c>
      <c r="H411" s="1" t="s">
        <v>42</v>
      </c>
    </row>
    <row r="412" spans="1:8" ht="16.5">
      <c r="A412" s="1" t="s">
        <v>5902</v>
      </c>
      <c r="B412" s="1" t="s">
        <v>4106</v>
      </c>
      <c r="C412" s="1" t="s">
        <v>4295</v>
      </c>
      <c r="D412" s="1" t="s">
        <v>4088</v>
      </c>
      <c r="E412" s="12">
        <f>F412/0.000001</f>
        <v>1000000</v>
      </c>
      <c r="F412" s="12">
        <f>SI!E2*SI!E3/POWER(SI!E4*SI!E7,2)</f>
        <v>1</v>
      </c>
      <c r="G412" s="1" t="s">
        <v>1071</v>
      </c>
      <c r="H412" s="1" t="s">
        <v>42</v>
      </c>
    </row>
    <row r="413" spans="1:8" ht="16.5">
      <c r="A413" s="1" t="s">
        <v>5903</v>
      </c>
      <c r="B413" s="1" t="s">
        <v>4107</v>
      </c>
      <c r="C413" s="1" t="s">
        <v>4295</v>
      </c>
      <c r="D413" s="1" t="s">
        <v>4088</v>
      </c>
      <c r="E413" s="12">
        <f>F413/0.000000001</f>
        <v>999999999.99999988</v>
      </c>
      <c r="F413" s="12">
        <f>SI!E2*SI!E3/POWER(SI!E4*SI!E7,2)</f>
        <v>1</v>
      </c>
      <c r="G413" s="1" t="s">
        <v>1071</v>
      </c>
      <c r="H413" s="1" t="s">
        <v>42</v>
      </c>
    </row>
    <row r="414" spans="1:8" ht="16.5">
      <c r="A414" s="1" t="s">
        <v>5904</v>
      </c>
      <c r="B414" s="1" t="s">
        <v>4108</v>
      </c>
      <c r="C414" s="1" t="s">
        <v>4295</v>
      </c>
      <c r="D414" s="1" t="s">
        <v>4088</v>
      </c>
      <c r="E414" s="12">
        <f>F414/(5280*Systems!D6)</f>
        <v>6.2137119223733392E-4</v>
      </c>
      <c r="F414" s="12">
        <f>SI!E2*SI!E3/POWER(SI!E4*SI!E7,2)</f>
        <v>1</v>
      </c>
      <c r="G414" s="1" t="s">
        <v>1071</v>
      </c>
      <c r="H414" s="1" t="s">
        <v>982</v>
      </c>
    </row>
    <row r="415" spans="1:8" ht="16.5">
      <c r="A415" s="1" t="s">
        <v>5905</v>
      </c>
      <c r="B415" s="1" t="s">
        <v>4109</v>
      </c>
      <c r="C415" s="1" t="s">
        <v>4295</v>
      </c>
      <c r="D415" s="1" t="s">
        <v>4088</v>
      </c>
      <c r="E415" s="12">
        <f>F415/(3*Systems!D6)</f>
        <v>1.0936132983377076</v>
      </c>
      <c r="F415" s="12">
        <f>SI!E2*SI!E3/POWER(SI!E4*SI!E7,2)</f>
        <v>1</v>
      </c>
      <c r="G415" s="1" t="s">
        <v>1071</v>
      </c>
      <c r="H415" s="1" t="s">
        <v>982</v>
      </c>
    </row>
    <row r="416" spans="1:8" ht="16.5">
      <c r="A416" s="1" t="s">
        <v>5906</v>
      </c>
      <c r="B416" s="1" t="s">
        <v>4110</v>
      </c>
      <c r="C416" s="1" t="s">
        <v>4295</v>
      </c>
      <c r="D416" s="1" t="s">
        <v>4088</v>
      </c>
      <c r="E416" s="12">
        <f>F416/Systems!D6</f>
        <v>3.280839895013123</v>
      </c>
      <c r="F416" s="12">
        <f>SI!E2*SI!E3/POWER(SI!E4*SI!E7,2)</f>
        <v>1</v>
      </c>
      <c r="G416" s="1" t="s">
        <v>1071</v>
      </c>
      <c r="H416" s="1" t="s">
        <v>982</v>
      </c>
    </row>
    <row r="417" spans="1:8" ht="16.5">
      <c r="A417" s="1" t="s">
        <v>5907</v>
      </c>
      <c r="B417" s="1" t="s">
        <v>4111</v>
      </c>
      <c r="C417" s="1" t="s">
        <v>4295</v>
      </c>
      <c r="D417" s="1" t="s">
        <v>4088</v>
      </c>
      <c r="E417" s="12">
        <f>12*F417/Systems!D6</f>
        <v>39.370078740157481</v>
      </c>
      <c r="F417" s="12">
        <f>SI!E2*SI!E3/POWER(SI!E4*SI!E7,2)</f>
        <v>1</v>
      </c>
      <c r="G417" s="1" t="s">
        <v>1071</v>
      </c>
      <c r="H417" s="1" t="s">
        <v>982</v>
      </c>
    </row>
    <row r="418" spans="1:8">
      <c r="A418" s="48"/>
      <c r="B418" s="48"/>
      <c r="C418" s="48"/>
      <c r="D418" s="48"/>
      <c r="E418" s="48"/>
      <c r="F418" s="48"/>
      <c r="G418" s="48"/>
      <c r="H418" s="48"/>
    </row>
  </sheetData>
  <sortState xmlns:xlrd2="http://schemas.microsoft.com/office/spreadsheetml/2017/richdata2" ref="A19:H26">
    <sortCondition ref="A18:A26"/>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1A2FC-EA21-485B-8D37-F0954C26A467}">
  <sheetPr codeName="Sheet20"/>
  <dimension ref="A1:H167"/>
  <sheetViews>
    <sheetView topLeftCell="A85" workbookViewId="0">
      <selection activeCell="B90" sqref="B90"/>
    </sheetView>
  </sheetViews>
  <sheetFormatPr defaultRowHeight="14.4"/>
  <cols>
    <col min="1" max="1" width="26.20703125" customWidth="1"/>
    <col min="2" max="2" width="20.26171875" customWidth="1"/>
    <col min="3" max="3" width="20.83984375" customWidth="1"/>
    <col min="4" max="4" width="17.9453125" customWidth="1"/>
    <col min="5" max="5" width="26.1015625" customWidth="1"/>
    <col min="6" max="7" width="20.41796875" customWidth="1"/>
  </cols>
  <sheetData>
    <row r="1" spans="1:8">
      <c r="A1" s="2" t="s">
        <v>11</v>
      </c>
      <c r="B1" s="2" t="s">
        <v>1</v>
      </c>
      <c r="C1" s="2" t="s">
        <v>2</v>
      </c>
      <c r="D1" s="2" t="s">
        <v>3</v>
      </c>
      <c r="E1" s="2" t="s">
        <v>4</v>
      </c>
      <c r="F1" s="128" t="s">
        <v>937</v>
      </c>
      <c r="G1" s="2" t="s">
        <v>0</v>
      </c>
      <c r="H1" s="2" t="s">
        <v>5</v>
      </c>
    </row>
    <row r="2" spans="1:8" ht="16.8">
      <c r="A2" s="1" t="s">
        <v>5920</v>
      </c>
      <c r="B2" s="1" t="s">
        <v>4306</v>
      </c>
      <c r="C2" s="1" t="s">
        <v>9</v>
      </c>
      <c r="D2" s="1" t="s">
        <v>2856</v>
      </c>
      <c r="E2" s="12">
        <f>F2</f>
        <v>4.3597447221978555E-18</v>
      </c>
      <c r="F2" s="12">
        <f>(POWER('Physical Constants'!E4,2)/(4*PI()*'Physical Measurements'!E2*'Physical Measurements'!E5))*SI!E2*POWER(SI!E3/SI!E4,2)</f>
        <v>4.3597447221978555E-18</v>
      </c>
      <c r="G2" s="1" t="s">
        <v>1101</v>
      </c>
      <c r="H2" s="1" t="s">
        <v>6</v>
      </c>
    </row>
    <row r="3" spans="1:8" ht="16.5">
      <c r="A3" s="1" t="s">
        <v>5921</v>
      </c>
      <c r="B3" s="1" t="s">
        <v>26</v>
      </c>
      <c r="C3" s="1" t="s">
        <v>9</v>
      </c>
      <c r="D3" s="1" t="s">
        <v>2856</v>
      </c>
      <c r="E3" s="12">
        <f>F3</f>
        <v>6119790000</v>
      </c>
      <c r="F3" s="12">
        <f>137*44670000*SI!E2*POWER(SI!E3/SI!E4,2)</f>
        <v>6119790000</v>
      </c>
      <c r="G3" s="1" t="s">
        <v>1101</v>
      </c>
      <c r="H3" s="1" t="s">
        <v>47</v>
      </c>
    </row>
    <row r="4" spans="1:8" ht="16.5">
      <c r="A4" s="1" t="s">
        <v>84</v>
      </c>
      <c r="B4" s="1" t="s">
        <v>26</v>
      </c>
      <c r="C4" s="1" t="s">
        <v>9</v>
      </c>
      <c r="D4" s="1" t="s">
        <v>2856</v>
      </c>
      <c r="E4" s="12">
        <f>F4</f>
        <v>6119790000</v>
      </c>
      <c r="F4" s="12">
        <f>137*44670000*SI!E2*POWER(SI!E3/SI!E4,2)</f>
        <v>6119790000</v>
      </c>
      <c r="G4" s="1" t="s">
        <v>1101</v>
      </c>
      <c r="H4" s="1" t="s">
        <v>47</v>
      </c>
    </row>
    <row r="5" spans="1:8" ht="16.5">
      <c r="A5" s="1" t="s">
        <v>94</v>
      </c>
      <c r="B5" s="1" t="s">
        <v>26</v>
      </c>
      <c r="C5" s="1" t="s">
        <v>9</v>
      </c>
      <c r="D5" s="1" t="s">
        <v>2856</v>
      </c>
      <c r="E5" s="12">
        <f>1000000000*F5</f>
        <v>1.6021766339999998E-10</v>
      </c>
      <c r="F5" s="12">
        <f>'Physical Constants'!E4*SI!E2*POWER(SI!E3/SI!E4,2)</f>
        <v>1.6021766339999999E-19</v>
      </c>
      <c r="G5" s="1" t="s">
        <v>1101</v>
      </c>
      <c r="H5" s="1" t="s">
        <v>47</v>
      </c>
    </row>
    <row r="6" spans="1:8" ht="16.5">
      <c r="A6" s="1" t="s">
        <v>5922</v>
      </c>
      <c r="B6" s="1" t="s">
        <v>26</v>
      </c>
      <c r="C6" s="1" t="s">
        <v>9</v>
      </c>
      <c r="D6" s="1" t="s">
        <v>2856</v>
      </c>
      <c r="E6" s="12">
        <f>F6</f>
        <v>3600000</v>
      </c>
      <c r="F6" s="12">
        <f>('Physical Definitions'!E5*1000)*SI!E2*POWER(SI!E3/SI!E4,2)</f>
        <v>3600000</v>
      </c>
      <c r="G6" s="1" t="s">
        <v>1101</v>
      </c>
      <c r="H6" s="1" t="s">
        <v>1148</v>
      </c>
    </row>
    <row r="7" spans="1:8" ht="16.5">
      <c r="A7" s="1" t="s">
        <v>7434</v>
      </c>
      <c r="B7" s="1" t="s">
        <v>5923</v>
      </c>
      <c r="C7" s="1" t="s">
        <v>9</v>
      </c>
      <c r="D7" s="1" t="s">
        <v>2856</v>
      </c>
      <c r="E7" s="12">
        <f>1054.678*F7</f>
        <v>1054.6780000000001</v>
      </c>
      <c r="F7" s="12">
        <f>SI!E2*POWER(SI!E3/SI!E4,2)</f>
        <v>1</v>
      </c>
      <c r="G7" s="1" t="s">
        <v>1101</v>
      </c>
      <c r="H7" s="1" t="s">
        <v>46</v>
      </c>
    </row>
    <row r="8" spans="1:8" ht="16.5">
      <c r="A8" s="1" t="s">
        <v>7435</v>
      </c>
      <c r="B8" s="1" t="s">
        <v>5924</v>
      </c>
      <c r="C8" s="1" t="s">
        <v>9</v>
      </c>
      <c r="D8" s="1" t="s">
        <v>2856</v>
      </c>
      <c r="E8" s="12">
        <f>1059.67*F8</f>
        <v>1059.67</v>
      </c>
      <c r="F8" s="12">
        <f>SI!E2*POWER(SI!E3/SI!E4,2)</f>
        <v>1</v>
      </c>
      <c r="G8" s="1" t="s">
        <v>1101</v>
      </c>
      <c r="H8" s="1" t="s">
        <v>46</v>
      </c>
    </row>
    <row r="9" spans="1:8" ht="16.5">
      <c r="A9" s="1" t="s">
        <v>7436</v>
      </c>
      <c r="B9" s="1" t="s">
        <v>5925</v>
      </c>
      <c r="C9" s="1" t="s">
        <v>9</v>
      </c>
      <c r="D9" s="1" t="s">
        <v>2856</v>
      </c>
      <c r="E9" s="12">
        <f>1059.67*F9</f>
        <v>1059.67</v>
      </c>
      <c r="F9" s="12">
        <f>SI!E2*POWER(SI!E3/SI!E4,2)</f>
        <v>1</v>
      </c>
      <c r="G9" s="1" t="s">
        <v>1101</v>
      </c>
      <c r="H9" s="1" t="s">
        <v>46</v>
      </c>
    </row>
    <row r="10" spans="1:8" ht="16.5">
      <c r="A10" s="1" t="s">
        <v>7437</v>
      </c>
      <c r="B10" s="1" t="s">
        <v>5926</v>
      </c>
      <c r="C10" s="1" t="s">
        <v>9</v>
      </c>
      <c r="D10" s="1" t="s">
        <v>2856</v>
      </c>
      <c r="E10" s="12">
        <f>1054.804*F10</f>
        <v>1054.8040000000001</v>
      </c>
      <c r="F10" s="12">
        <f>SI!E2*POWER(SI!E3/SI!E4,2)</f>
        <v>1</v>
      </c>
      <c r="G10" s="1" t="s">
        <v>1101</v>
      </c>
      <c r="H10" s="1" t="s">
        <v>47</v>
      </c>
    </row>
    <row r="11" spans="1:8" ht="16.5">
      <c r="A11" s="1" t="s">
        <v>7438</v>
      </c>
      <c r="B11" s="1" t="s">
        <v>5927</v>
      </c>
      <c r="C11" s="1" t="s">
        <v>9</v>
      </c>
      <c r="D11" s="1" t="s">
        <v>2856</v>
      </c>
      <c r="E11" s="12">
        <f>1054.678*F11</f>
        <v>1054.6780000000001</v>
      </c>
      <c r="F11" s="12">
        <f>SI!E2*POWER(SI!E3/SI!E4,2)</f>
        <v>1</v>
      </c>
      <c r="G11" s="1" t="s">
        <v>1101</v>
      </c>
      <c r="H11" s="1" t="s">
        <v>46</v>
      </c>
    </row>
    <row r="12" spans="1:8" ht="16.5">
      <c r="A12" s="1" t="s">
        <v>7439</v>
      </c>
      <c r="B12" s="1" t="s">
        <v>5928</v>
      </c>
      <c r="C12" s="1" t="s">
        <v>9</v>
      </c>
      <c r="D12" s="1" t="s">
        <v>2856</v>
      </c>
      <c r="E12" s="12">
        <f>1054.76*F12</f>
        <v>1054.76</v>
      </c>
      <c r="F12" s="12">
        <f>SI!E2*POWER(SI!E3/SI!E4,2)</f>
        <v>1</v>
      </c>
      <c r="G12" s="1" t="s">
        <v>1101</v>
      </c>
      <c r="H12" s="1" t="s">
        <v>46</v>
      </c>
    </row>
    <row r="13" spans="1:8" ht="16.5">
      <c r="A13" s="1" t="s">
        <v>7440</v>
      </c>
      <c r="B13" s="1" t="s">
        <v>5929</v>
      </c>
      <c r="C13" s="1" t="s">
        <v>9</v>
      </c>
      <c r="D13" s="1" t="s">
        <v>2856</v>
      </c>
      <c r="E13" s="12">
        <f>1054.615*F13</f>
        <v>1054.615</v>
      </c>
      <c r="F13" s="12">
        <f>SI!E2*POWER(SI!E3/SI!E4,2)</f>
        <v>1</v>
      </c>
      <c r="G13" s="1" t="s">
        <v>1101</v>
      </c>
      <c r="H13" s="1" t="s">
        <v>46</v>
      </c>
    </row>
    <row r="14" spans="1:8" ht="16.5">
      <c r="A14" s="1" t="s">
        <v>7441</v>
      </c>
      <c r="B14" s="1" t="s">
        <v>5930</v>
      </c>
      <c r="C14" s="1" t="s">
        <v>9</v>
      </c>
      <c r="D14" s="1" t="s">
        <v>2856</v>
      </c>
      <c r="E14" s="12">
        <f>1055.06*F14</f>
        <v>1055.06</v>
      </c>
      <c r="F14" s="12">
        <f>SI!E2*POWER(SI!E3/SI!E4,2)</f>
        <v>1</v>
      </c>
      <c r="G14" s="1" t="s">
        <v>1101</v>
      </c>
      <c r="H14" s="1" t="s">
        <v>46</v>
      </c>
    </row>
    <row r="15" spans="1:8" ht="16.5">
      <c r="A15" s="1" t="s">
        <v>7442</v>
      </c>
      <c r="B15" s="1" t="s">
        <v>5931</v>
      </c>
      <c r="C15" s="1" t="s">
        <v>9</v>
      </c>
      <c r="D15" s="1" t="s">
        <v>2856</v>
      </c>
      <c r="E15" s="12">
        <f>F15</f>
        <v>1055.05585262</v>
      </c>
      <c r="F15" s="12">
        <f>'Physical Definitions'!E15*SI!E2*POWER(SI!E3/SI!E4,2)</f>
        <v>1055.05585262</v>
      </c>
      <c r="G15" s="1" t="s">
        <v>1101</v>
      </c>
      <c r="H15" s="1" t="s">
        <v>46</v>
      </c>
    </row>
    <row r="16" spans="1:8" ht="16.5">
      <c r="A16" s="1" t="s">
        <v>7443</v>
      </c>
      <c r="B16" s="1" t="s">
        <v>5932</v>
      </c>
      <c r="C16" s="1" t="s">
        <v>9</v>
      </c>
      <c r="D16" s="1" t="s">
        <v>2856</v>
      </c>
      <c r="E16" s="12">
        <f>F16</f>
        <v>1055.8699999999999</v>
      </c>
      <c r="F16" s="12">
        <f>'Physical Measurements'!E21*SI!E2*POWER(SI!E3/SI!E4,2)</f>
        <v>1055.8699999999999</v>
      </c>
      <c r="G16" s="1" t="s">
        <v>1101</v>
      </c>
      <c r="H16" s="1" t="s">
        <v>117</v>
      </c>
    </row>
    <row r="17" spans="1:8" ht="16.5">
      <c r="A17" s="1" t="s">
        <v>7443</v>
      </c>
      <c r="B17" s="1" t="s">
        <v>5932</v>
      </c>
      <c r="C17" s="1" t="s">
        <v>9</v>
      </c>
      <c r="D17" s="1" t="s">
        <v>2856</v>
      </c>
      <c r="E17" s="12">
        <f>1055.87*F17</f>
        <v>1055.8699999999999</v>
      </c>
      <c r="F17" s="12">
        <f>SI!E2*POWER(SI!E3/SI!E4,2)</f>
        <v>1</v>
      </c>
      <c r="G17" s="1" t="s">
        <v>1101</v>
      </c>
      <c r="H17" s="1" t="s">
        <v>46</v>
      </c>
    </row>
    <row r="18" spans="1:8" ht="16.5">
      <c r="A18" s="1" t="s">
        <v>7444</v>
      </c>
      <c r="B18" s="1" t="s">
        <v>5933</v>
      </c>
      <c r="C18" s="1" t="s">
        <v>9</v>
      </c>
      <c r="D18" s="1" t="s">
        <v>2856</v>
      </c>
      <c r="E18" s="12">
        <f>F18</f>
        <v>1054.350264488889</v>
      </c>
      <c r="F18" s="12">
        <f>(5*1000*Systems!L6*'Physical Definitions'!E16/9)*SI!E2*POWER(SI!E3/SI!E4,2)</f>
        <v>1054.350264488889</v>
      </c>
      <c r="G18" s="1" t="s">
        <v>1101</v>
      </c>
      <c r="H18" s="1" t="s">
        <v>46</v>
      </c>
    </row>
    <row r="19" spans="1:8" ht="16.5">
      <c r="A19" s="1" t="s">
        <v>3020</v>
      </c>
      <c r="B19" s="1" t="s">
        <v>109</v>
      </c>
      <c r="C19" s="1" t="s">
        <v>9</v>
      </c>
      <c r="D19" s="1" t="s">
        <v>2856</v>
      </c>
      <c r="E19" s="12">
        <f>1000*F19</f>
        <v>4184</v>
      </c>
      <c r="F19" s="12">
        <f>'Physical Definitions'!E16*SI!E2*POWER(SI!E3/SI!E4,2)</f>
        <v>4.1840000000000002</v>
      </c>
      <c r="G19" s="1" t="s">
        <v>1101</v>
      </c>
      <c r="H19" s="1" t="s">
        <v>982</v>
      </c>
    </row>
    <row r="20" spans="1:8" ht="16.5">
      <c r="A20" s="1" t="s">
        <v>5934</v>
      </c>
      <c r="B20" s="1" t="s">
        <v>5935</v>
      </c>
      <c r="C20" s="1" t="s">
        <v>9</v>
      </c>
      <c r="D20" s="1" t="s">
        <v>2856</v>
      </c>
      <c r="E20" s="12">
        <f>'Physical Measurements'!E22*F20</f>
        <v>4.1855000000000002</v>
      </c>
      <c r="F20" s="12">
        <f>SI!E2*POWER(SI!E3/SI!E4,2)</f>
        <v>1</v>
      </c>
      <c r="G20" s="1" t="s">
        <v>1101</v>
      </c>
      <c r="H20" s="1" t="s">
        <v>982</v>
      </c>
    </row>
    <row r="21" spans="1:8" ht="16.5">
      <c r="A21" s="1" t="s">
        <v>5940</v>
      </c>
      <c r="B21" s="1" t="s">
        <v>5936</v>
      </c>
      <c r="C21" s="1" t="s">
        <v>9</v>
      </c>
      <c r="D21" s="1" t="s">
        <v>2856</v>
      </c>
      <c r="E21" s="12">
        <f>'Physical Measurements'!E23*F21</f>
        <v>4.1900199999999996</v>
      </c>
      <c r="F21" s="12">
        <f>SI!E2*POWER(SI!E3/SI!E4,2)</f>
        <v>1</v>
      </c>
      <c r="G21" s="1" t="s">
        <v>1101</v>
      </c>
      <c r="H21" s="1" t="s">
        <v>982</v>
      </c>
    </row>
    <row r="22" spans="1:8" ht="16.5">
      <c r="A22" s="1" t="s">
        <v>5941</v>
      </c>
      <c r="B22" s="1" t="s">
        <v>5937</v>
      </c>
      <c r="C22" s="1" t="s">
        <v>9</v>
      </c>
      <c r="D22" s="1" t="s">
        <v>2856</v>
      </c>
      <c r="E22" s="12">
        <f>'Physical Measurements'!E24*F22</f>
        <v>4.2045000000000003</v>
      </c>
      <c r="F22" s="12">
        <f>SI!E2*POWER(SI!E3/SI!E4,2)</f>
        <v>1</v>
      </c>
      <c r="G22" s="1" t="s">
        <v>1101</v>
      </c>
      <c r="H22" s="1" t="s">
        <v>982</v>
      </c>
    </row>
    <row r="23" spans="1:8" ht="16.5">
      <c r="A23" s="1" t="s">
        <v>5942</v>
      </c>
      <c r="B23" s="1" t="s">
        <v>5938</v>
      </c>
      <c r="C23" s="1" t="s">
        <v>9</v>
      </c>
      <c r="D23" s="1" t="s">
        <v>2856</v>
      </c>
      <c r="E23" s="12">
        <f>F23</f>
        <v>4.1867999999999999</v>
      </c>
      <c r="F23" s="12">
        <f>'Physical Definitions'!E18*SI!E2*POWER(SI!E3/SI!E4,2)</f>
        <v>4.1867999999999999</v>
      </c>
      <c r="G23" s="1" t="s">
        <v>1101</v>
      </c>
      <c r="H23" s="1" t="s">
        <v>58</v>
      </c>
    </row>
    <row r="24" spans="1:8" ht="16.5">
      <c r="A24" s="1" t="s">
        <v>5943</v>
      </c>
      <c r="B24" s="1" t="s">
        <v>2831</v>
      </c>
      <c r="C24" s="1" t="s">
        <v>9</v>
      </c>
      <c r="D24" s="1" t="s">
        <v>2856</v>
      </c>
      <c r="E24" s="12">
        <f>'Physical Measurements'!E25*F24</f>
        <v>4.1900199999999996</v>
      </c>
      <c r="F24" s="12">
        <f>SI!E2*POWER(SI!E3/SI!E4,2)</f>
        <v>1</v>
      </c>
      <c r="G24" s="1" t="s">
        <v>1101</v>
      </c>
      <c r="H24" s="1" t="s">
        <v>982</v>
      </c>
    </row>
    <row r="25" spans="1:8" ht="16.5">
      <c r="A25" s="1" t="s">
        <v>5944</v>
      </c>
      <c r="B25" s="1" t="s">
        <v>5939</v>
      </c>
      <c r="C25" s="1" t="s">
        <v>9</v>
      </c>
      <c r="D25" s="1" t="s">
        <v>2856</v>
      </c>
      <c r="E25" s="12">
        <f>F25</f>
        <v>4.1840000000000002</v>
      </c>
      <c r="F25" s="12">
        <f>'Physical Definitions'!E16*SI!E2*POWER(SI!E3/SI!E4,2)</f>
        <v>4.1840000000000002</v>
      </c>
      <c r="G25" s="1" t="s">
        <v>1101</v>
      </c>
      <c r="H25" s="1" t="s">
        <v>47</v>
      </c>
    </row>
    <row r="26" spans="1:8" ht="16.5">
      <c r="A26" s="1" t="s">
        <v>7445</v>
      </c>
      <c r="B26" s="1" t="s">
        <v>498</v>
      </c>
      <c r="C26" s="1" t="s">
        <v>9</v>
      </c>
      <c r="D26" s="1" t="s">
        <v>2856</v>
      </c>
      <c r="E26" s="12">
        <f>453.59237*F26</f>
        <v>1899.1005347160001</v>
      </c>
      <c r="F26" s="12">
        <f>'Physical Definitions'!E18*SI!E2*POWER(SI!E3/SI!E4,2)</f>
        <v>4.1867999999999999</v>
      </c>
      <c r="G26" s="1" t="s">
        <v>1101</v>
      </c>
      <c r="H26" s="1" t="s">
        <v>1148</v>
      </c>
    </row>
    <row r="27" spans="1:8" ht="16.5">
      <c r="A27" s="1" t="s">
        <v>5945</v>
      </c>
      <c r="B27" s="1" t="s">
        <v>5946</v>
      </c>
      <c r="C27" s="1" t="s">
        <v>9</v>
      </c>
      <c r="D27" s="1" t="s">
        <v>2856</v>
      </c>
      <c r="E27" s="12">
        <f>1.8*1055.06*F27</f>
        <v>1899.1079999999999</v>
      </c>
      <c r="F27" s="166">
        <f>SI!E2*POWER(SI!E3/SI!E4,2)</f>
        <v>1</v>
      </c>
      <c r="G27" s="1" t="s">
        <v>1101</v>
      </c>
      <c r="H27" s="1" t="s">
        <v>1148</v>
      </c>
    </row>
    <row r="28" spans="1:8" ht="16.5">
      <c r="A28" s="1" t="s">
        <v>6911</v>
      </c>
      <c r="B28" s="1" t="s">
        <v>5947</v>
      </c>
      <c r="C28" s="1" t="s">
        <v>9</v>
      </c>
      <c r="D28" s="1" t="s">
        <v>2856</v>
      </c>
      <c r="E28" s="12">
        <f>1.8991E+30*F28</f>
        <v>1.8990999999999999E+30</v>
      </c>
      <c r="F28" s="12">
        <f>SI!E2*POWER(SI!E3/SI!E4,2)</f>
        <v>1</v>
      </c>
      <c r="G28" s="1" t="s">
        <v>1101</v>
      </c>
      <c r="H28" s="1" t="s">
        <v>1148</v>
      </c>
    </row>
    <row r="29" spans="1:8" ht="16.5">
      <c r="A29" s="1" t="s">
        <v>1566</v>
      </c>
      <c r="B29" s="1" t="s">
        <v>26</v>
      </c>
      <c r="C29" s="1" t="s">
        <v>9</v>
      </c>
      <c r="D29" s="1" t="s">
        <v>2856</v>
      </c>
      <c r="E29" s="12">
        <f>F29</f>
        <v>1.3558179483314003</v>
      </c>
      <c r="F29" s="12">
        <f>(Systems!L15*'Physical Definitions'!E13*Systems!D15)*SI!E2*POWER(SI!E3/SI!E4,2)</f>
        <v>1.3558179483314003</v>
      </c>
      <c r="G29" s="1" t="s">
        <v>1101</v>
      </c>
      <c r="H29" s="1" t="s">
        <v>117</v>
      </c>
    </row>
    <row r="30" spans="1:8" ht="16.5">
      <c r="A30" s="1" t="s">
        <v>1566</v>
      </c>
      <c r="B30" s="1" t="s">
        <v>26</v>
      </c>
      <c r="C30" s="1" t="s">
        <v>9</v>
      </c>
      <c r="D30" s="1" t="s">
        <v>2856</v>
      </c>
      <c r="E30" s="12">
        <f>F30</f>
        <v>1.3558179483314003</v>
      </c>
      <c r="F30" s="12">
        <f>(Systems!L6*'Physical Definitions'!E13*Systems!D6)*SI!E2*POWER(SI!E3/SI!E4,2)</f>
        <v>1.3558179483314003</v>
      </c>
      <c r="G30" s="1" t="s">
        <v>1101</v>
      </c>
      <c r="H30" s="1" t="s">
        <v>46</v>
      </c>
    </row>
    <row r="31" spans="1:8" ht="16.5">
      <c r="A31" s="1" t="s">
        <v>5948</v>
      </c>
      <c r="B31" s="1" t="s">
        <v>5949</v>
      </c>
      <c r="C31" s="1" t="s">
        <v>9</v>
      </c>
      <c r="D31" s="1" t="s">
        <v>2856</v>
      </c>
      <c r="E31" s="12">
        <f>F31</f>
        <v>1.0000000000000001E-7</v>
      </c>
      <c r="F31" s="12">
        <f>('Physical Definitions'!E24*'Physical Definitions'!E22)*SI!E2*POWER(SI!E3/SI!E4,2)</f>
        <v>1.0000000000000001E-7</v>
      </c>
      <c r="G31" s="1" t="s">
        <v>1101</v>
      </c>
      <c r="H31" s="1" t="s">
        <v>36</v>
      </c>
    </row>
    <row r="32" spans="1:8" ht="16.5">
      <c r="A32" s="1" t="s">
        <v>516</v>
      </c>
      <c r="B32" s="1" t="s">
        <v>184</v>
      </c>
      <c r="C32" s="1" t="s">
        <v>9</v>
      </c>
      <c r="D32" s="1" t="s">
        <v>2856</v>
      </c>
      <c r="E32" s="12">
        <f>F32</f>
        <v>1.6021766339999999E-19</v>
      </c>
      <c r="F32" s="12">
        <f>'Physical Constants'!E4*SI!E2*POWER(SI!E3/SI!E4,2)</f>
        <v>1.6021766339999999E-19</v>
      </c>
      <c r="G32" s="1" t="s">
        <v>1101</v>
      </c>
      <c r="H32" s="1" t="s">
        <v>982</v>
      </c>
    </row>
    <row r="33" spans="1:8" ht="16.5">
      <c r="A33" s="1" t="s">
        <v>187</v>
      </c>
      <c r="B33" s="1" t="s">
        <v>26</v>
      </c>
      <c r="C33" s="1" t="s">
        <v>9</v>
      </c>
      <c r="D33" s="1" t="s">
        <v>2856</v>
      </c>
      <c r="E33" s="12">
        <f>0.0000001*F33</f>
        <v>9.9999999999999995E-8</v>
      </c>
      <c r="F33" s="12">
        <f>SI!E2*POWER(SI!E3/SI!E4,2)</f>
        <v>1</v>
      </c>
      <c r="G33" s="1" t="s">
        <v>1101</v>
      </c>
      <c r="H33" s="1" t="s">
        <v>36</v>
      </c>
    </row>
    <row r="34" spans="1:8" ht="16.5">
      <c r="A34" s="1" t="s">
        <v>5950</v>
      </c>
      <c r="B34" s="1" t="s">
        <v>5951</v>
      </c>
      <c r="C34" s="1" t="s">
        <v>9</v>
      </c>
      <c r="D34" s="1" t="s">
        <v>2856</v>
      </c>
      <c r="E34" s="12">
        <f>F34</f>
        <v>1.3558179483314006</v>
      </c>
      <c r="F34" s="12">
        <f>(Systems!L15*Systems!D15*'Physical Definitions'!E13)*SI!E2*POWER(SI!E3/SI!E4,2)</f>
        <v>1.3558179483314006</v>
      </c>
      <c r="G34" s="1" t="s">
        <v>1101</v>
      </c>
      <c r="H34" s="1" t="s">
        <v>117</v>
      </c>
    </row>
    <row r="35" spans="1:8" ht="16.5">
      <c r="A35" s="1" t="s">
        <v>5953</v>
      </c>
      <c r="B35" s="1" t="s">
        <v>5952</v>
      </c>
      <c r="C35" s="1" t="s">
        <v>9</v>
      </c>
      <c r="D35" s="1" t="s">
        <v>2856</v>
      </c>
      <c r="E35" s="12">
        <f>F35</f>
        <v>4.2140110093804806E-2</v>
      </c>
      <c r="F35" s="12">
        <f>(Systems!L15*POWER(Systems!D15,2))*SI!E2*POWER(SI!E3/SI!E4,2)</f>
        <v>4.2140110093804806E-2</v>
      </c>
      <c r="G35" s="1" t="s">
        <v>1101</v>
      </c>
      <c r="H35" s="1" t="s">
        <v>117</v>
      </c>
    </row>
    <row r="36" spans="1:8" ht="16.5">
      <c r="A36" s="1" t="s">
        <v>5953</v>
      </c>
      <c r="B36" s="1" t="s">
        <v>5952</v>
      </c>
      <c r="C36" s="1" t="s">
        <v>9</v>
      </c>
      <c r="D36" s="1" t="s">
        <v>2856</v>
      </c>
      <c r="E36" s="12">
        <f>F36</f>
        <v>4.2140110093804806E-2</v>
      </c>
      <c r="F36" s="12">
        <f>Systems!L6*POWER(Systems!D6,2)*SI!E2*POWER(SI!E3/SI!E4,2)</f>
        <v>4.2140110093804806E-2</v>
      </c>
      <c r="G36" s="1" t="s">
        <v>1101</v>
      </c>
      <c r="H36" s="1" t="s">
        <v>46</v>
      </c>
    </row>
    <row r="37" spans="1:8" ht="16.5">
      <c r="A37" s="1" t="s">
        <v>5950</v>
      </c>
      <c r="B37" s="1" t="s">
        <v>5951</v>
      </c>
      <c r="C37" s="1" t="s">
        <v>9</v>
      </c>
      <c r="D37" s="1" t="s">
        <v>2856</v>
      </c>
      <c r="E37" s="12">
        <f>F37</f>
        <v>1.3558179483314006</v>
      </c>
      <c r="F37" s="12">
        <f>Systems!L6*Systems!D6*'Physical Definitions'!E13*SI!E2*POWER(SI!E3/SI!E4,2)</f>
        <v>1.3558179483314006</v>
      </c>
      <c r="G37" s="1" t="s">
        <v>1101</v>
      </c>
      <c r="H37" s="1" t="s">
        <v>46</v>
      </c>
    </row>
    <row r="38" spans="1:8" ht="16.5">
      <c r="A38" s="1" t="s">
        <v>210</v>
      </c>
      <c r="B38" s="1" t="s">
        <v>194</v>
      </c>
      <c r="C38" s="1" t="s">
        <v>9</v>
      </c>
      <c r="D38" s="1" t="s">
        <v>2856</v>
      </c>
      <c r="E38" s="166">
        <f>1000*F38</f>
        <v>4185.5</v>
      </c>
      <c r="F38" s="12">
        <f>'Physical Measurements'!E22*SI!E2*POWER(SI!E3/SI!E4,2)</f>
        <v>4.1855000000000002</v>
      </c>
      <c r="G38" s="1" t="s">
        <v>1101</v>
      </c>
      <c r="H38" s="1" t="s">
        <v>982</v>
      </c>
    </row>
    <row r="39" spans="1:8" ht="16.5">
      <c r="A39" s="1" t="s">
        <v>1720</v>
      </c>
      <c r="B39" s="1" t="s">
        <v>26</v>
      </c>
      <c r="C39" s="1" t="s">
        <v>9</v>
      </c>
      <c r="D39" s="1" t="s">
        <v>2856</v>
      </c>
      <c r="E39" s="12">
        <f>F39</f>
        <v>4.3597447221978555E-18</v>
      </c>
      <c r="F39" s="12">
        <f>(POWER('Physical Constants'!E4,2)/(4*PI()*'Physical Measurements'!E2*'Physical Measurements'!E5))*SI!E2*POWER(SI!E3/SI!E4,2)</f>
        <v>4.3597447221978555E-18</v>
      </c>
      <c r="G39" s="1" t="s">
        <v>1101</v>
      </c>
      <c r="H39" s="1" t="s">
        <v>6</v>
      </c>
    </row>
    <row r="40" spans="1:8" ht="16.5">
      <c r="A40" s="1" t="s">
        <v>253</v>
      </c>
      <c r="B40" s="1" t="s">
        <v>15</v>
      </c>
      <c r="C40" s="1" t="s">
        <v>9</v>
      </c>
      <c r="D40" s="1" t="s">
        <v>2856</v>
      </c>
      <c r="E40" s="12">
        <f>1.000165*F40</f>
        <v>1.000165</v>
      </c>
      <c r="F40" s="12">
        <f>SI!E2*POWER(SI!E3/SI!E4,2)</f>
        <v>1</v>
      </c>
      <c r="G40" s="1" t="s">
        <v>1101</v>
      </c>
      <c r="H40" s="1" t="s">
        <v>58</v>
      </c>
    </row>
    <row r="41" spans="1:8" ht="16.5">
      <c r="A41" s="1" t="s">
        <v>253</v>
      </c>
      <c r="B41" s="1" t="s">
        <v>15</v>
      </c>
      <c r="C41" s="1" t="s">
        <v>9</v>
      </c>
      <c r="D41" s="1" t="s">
        <v>2856</v>
      </c>
      <c r="E41" s="12">
        <f>F41</f>
        <v>1</v>
      </c>
      <c r="F41" s="12">
        <f>SI!E2*POWER(SI!E3/SI!E4,2)</f>
        <v>1</v>
      </c>
      <c r="G41" s="1" t="s">
        <v>1101</v>
      </c>
      <c r="H41" s="1" t="s">
        <v>42</v>
      </c>
    </row>
    <row r="42" spans="1:8" ht="16.5">
      <c r="A42" s="1" t="s">
        <v>260</v>
      </c>
      <c r="B42" s="1" t="s">
        <v>26</v>
      </c>
      <c r="C42" s="1" t="s">
        <v>9</v>
      </c>
      <c r="D42" s="1" t="s">
        <v>2856</v>
      </c>
      <c r="E42" s="12">
        <f>F42</f>
        <v>3600000</v>
      </c>
      <c r="F42" s="12">
        <f>('Physical Definitions'!E5*1000)*SI!E2*POWER(SI!E3,2)/SI!E4</f>
        <v>3600000</v>
      </c>
      <c r="G42" s="1" t="s">
        <v>1101</v>
      </c>
      <c r="H42" s="1" t="s">
        <v>46</v>
      </c>
    </row>
    <row r="43" spans="1:8" ht="16.5">
      <c r="A43" s="1" t="s">
        <v>5954</v>
      </c>
      <c r="B43" s="1" t="s">
        <v>5955</v>
      </c>
      <c r="C43" s="1" t="s">
        <v>9</v>
      </c>
      <c r="D43" s="1" t="s">
        <v>2856</v>
      </c>
      <c r="E43" s="12">
        <f t="shared" ref="E43:E49" si="0">1000*F43</f>
        <v>4185.5</v>
      </c>
      <c r="F43" s="12">
        <f>'Physical Measurements'!E22*SI!E2*POWER(SI!E3/SI!E4,2)</f>
        <v>4.1855000000000002</v>
      </c>
      <c r="G43" s="1" t="s">
        <v>1101</v>
      </c>
      <c r="H43" s="1" t="s">
        <v>982</v>
      </c>
    </row>
    <row r="44" spans="1:8" ht="16.5">
      <c r="A44" s="1" t="s">
        <v>5959</v>
      </c>
      <c r="B44" s="1" t="s">
        <v>5956</v>
      </c>
      <c r="C44" s="1" t="s">
        <v>9</v>
      </c>
      <c r="D44" s="1" t="s">
        <v>2856</v>
      </c>
      <c r="E44" s="12">
        <f t="shared" si="0"/>
        <v>4190.0199999999995</v>
      </c>
      <c r="F44" s="12">
        <f>'Physical Measurements'!E23*SI!E2*POWER(SI!E3/SI!E4,2)</f>
        <v>4.1900199999999996</v>
      </c>
      <c r="G44" s="1" t="s">
        <v>1101</v>
      </c>
      <c r="H44" s="1" t="s">
        <v>982</v>
      </c>
    </row>
    <row r="45" spans="1:8" ht="16.5">
      <c r="A45" s="1" t="s">
        <v>5960</v>
      </c>
      <c r="B45" s="1" t="s">
        <v>5957</v>
      </c>
      <c r="C45" s="1" t="s">
        <v>9</v>
      </c>
      <c r="D45" s="1" t="s">
        <v>2856</v>
      </c>
      <c r="E45" s="12">
        <f t="shared" si="0"/>
        <v>4204.5</v>
      </c>
      <c r="F45" s="12">
        <f>'Physical Measurements'!E24*SI!E2*POWER(SI!E3/SI!E4,2)</f>
        <v>4.2045000000000003</v>
      </c>
      <c r="G45" s="1" t="s">
        <v>1101</v>
      </c>
      <c r="H45" s="1" t="s">
        <v>982</v>
      </c>
    </row>
    <row r="46" spans="1:8" ht="16.5">
      <c r="A46" s="1" t="s">
        <v>5961</v>
      </c>
      <c r="B46" s="1" t="s">
        <v>5958</v>
      </c>
      <c r="C46" s="1" t="s">
        <v>9</v>
      </c>
      <c r="D46" s="1" t="s">
        <v>2856</v>
      </c>
      <c r="E46" s="12">
        <f t="shared" si="0"/>
        <v>4186.8</v>
      </c>
      <c r="F46" s="12">
        <f>'Physical Definitions'!E18*SI!E2*POWER(SI!E3/SI!E4,2)</f>
        <v>4.1867999999999999</v>
      </c>
      <c r="G46" s="1" t="s">
        <v>1101</v>
      </c>
      <c r="H46" s="1" t="s">
        <v>58</v>
      </c>
    </row>
    <row r="47" spans="1:8" ht="16.5">
      <c r="A47" s="1" t="s">
        <v>5962</v>
      </c>
      <c r="B47" s="1" t="s">
        <v>5964</v>
      </c>
      <c r="C47" s="1" t="s">
        <v>9</v>
      </c>
      <c r="D47" s="1" t="s">
        <v>2856</v>
      </c>
      <c r="E47" s="12">
        <f t="shared" si="0"/>
        <v>4190.0199999999995</v>
      </c>
      <c r="F47" s="12">
        <f>'Physical Measurements'!E25*SI!E2*POWER(SI!E3/SI!E4,2)</f>
        <v>4.1900199999999996</v>
      </c>
      <c r="G47" s="1" t="s">
        <v>1101</v>
      </c>
      <c r="H47" s="1" t="s">
        <v>982</v>
      </c>
    </row>
    <row r="48" spans="1:8" ht="16.5">
      <c r="A48" s="1" t="s">
        <v>5963</v>
      </c>
      <c r="B48" s="1" t="s">
        <v>5965</v>
      </c>
      <c r="C48" s="1" t="s">
        <v>9</v>
      </c>
      <c r="D48" s="1" t="s">
        <v>2856</v>
      </c>
      <c r="E48" s="12">
        <f t="shared" si="0"/>
        <v>4184</v>
      </c>
      <c r="F48" s="12">
        <f>'Physical Definitions'!E16*SI!E2*POWER(SI!E3/SI!E4,2)</f>
        <v>4.1840000000000002</v>
      </c>
      <c r="G48" s="1" t="s">
        <v>1101</v>
      </c>
      <c r="H48" s="1" t="s">
        <v>47</v>
      </c>
    </row>
    <row r="49" spans="1:8" ht="16.5">
      <c r="A49" s="1" t="s">
        <v>5966</v>
      </c>
      <c r="B49" s="1" t="s">
        <v>5967</v>
      </c>
      <c r="C49" s="1" t="s">
        <v>9</v>
      </c>
      <c r="D49" s="1" t="s">
        <v>2856</v>
      </c>
      <c r="E49" s="12">
        <f t="shared" si="0"/>
        <v>4184</v>
      </c>
      <c r="F49" s="12">
        <f>'Physical Definitions'!E16*SI!E2*POWER(SI!E3/SI!E4,2)</f>
        <v>4.1840000000000002</v>
      </c>
      <c r="G49" s="1" t="s">
        <v>1101</v>
      </c>
      <c r="H49" s="1" t="s">
        <v>982</v>
      </c>
    </row>
    <row r="50" spans="1:8" ht="16.5">
      <c r="A50" s="1" t="s">
        <v>5968</v>
      </c>
      <c r="B50" s="1" t="s">
        <v>263</v>
      </c>
      <c r="C50" s="1" t="s">
        <v>9</v>
      </c>
      <c r="D50" s="1" t="s">
        <v>2856</v>
      </c>
      <c r="E50" s="12">
        <f>F50</f>
        <v>9.8066499999999994</v>
      </c>
      <c r="F50" s="12">
        <f>'Physical Definitions'!E13*SI!E2*POWER(SI!E3/SI!E4,2)</f>
        <v>9.8066499999999994</v>
      </c>
      <c r="G50" s="1" t="s">
        <v>1101</v>
      </c>
      <c r="H50" s="1" t="s">
        <v>66</v>
      </c>
    </row>
    <row r="51" spans="1:8" ht="16.5">
      <c r="A51" s="1" t="s">
        <v>7523</v>
      </c>
      <c r="B51" s="1" t="s">
        <v>5969</v>
      </c>
      <c r="C51" s="1" t="s">
        <v>9</v>
      </c>
      <c r="D51" s="1" t="s">
        <v>2856</v>
      </c>
      <c r="E51" s="12">
        <f>1000000000000*F51</f>
        <v>4184000000000</v>
      </c>
      <c r="F51" s="12">
        <f>'Physical Definitions'!E16*SI!E2*POWER(SI!E3/SI!E4,2)</f>
        <v>4.1840000000000002</v>
      </c>
      <c r="G51" s="1" t="s">
        <v>1101</v>
      </c>
      <c r="H51" s="1" t="s">
        <v>982</v>
      </c>
    </row>
    <row r="52" spans="1:8" ht="16.5">
      <c r="A52" s="1" t="s">
        <v>5970</v>
      </c>
      <c r="B52" s="1" t="s">
        <v>6271</v>
      </c>
      <c r="C52" s="1" t="s">
        <v>9</v>
      </c>
      <c r="D52" s="1" t="s">
        <v>2856</v>
      </c>
      <c r="E52" s="12">
        <f>F52</f>
        <v>3600000</v>
      </c>
      <c r="F52" s="12">
        <f>1000*'Physical Definitions'!E5*SI!E2*POWER(SI!E3/SI!E4,2)</f>
        <v>3600000</v>
      </c>
      <c r="G52" s="1" t="s">
        <v>1101</v>
      </c>
      <c r="H52" s="1" t="s">
        <v>982</v>
      </c>
    </row>
    <row r="53" spans="1:8" ht="16.5">
      <c r="A53" s="1" t="s">
        <v>6912</v>
      </c>
      <c r="B53" s="1" t="s">
        <v>274</v>
      </c>
      <c r="C53" s="1" t="s">
        <v>9</v>
      </c>
      <c r="D53" s="1" t="s">
        <v>2856</v>
      </c>
      <c r="E53" s="12">
        <f>F53</f>
        <v>101.325</v>
      </c>
      <c r="F53" s="12">
        <f>'Physical Definitions'!E2*'Physical Definitions'!E9*SI!E2*POWER(SI!E3/SI!E4,2)</f>
        <v>101.325</v>
      </c>
      <c r="G53" s="1" t="s">
        <v>1101</v>
      </c>
      <c r="H53" s="1" t="s">
        <v>982</v>
      </c>
    </row>
    <row r="54" spans="1:8" ht="16.5">
      <c r="A54" s="1" t="s">
        <v>7524</v>
      </c>
      <c r="B54" s="1" t="s">
        <v>5971</v>
      </c>
      <c r="C54" s="1" t="s">
        <v>9</v>
      </c>
      <c r="D54" s="1" t="s">
        <v>2856</v>
      </c>
      <c r="E54" s="12">
        <f>1E+21*F54</f>
        <v>4.184E+21</v>
      </c>
      <c r="F54" s="12">
        <f>'Physical Definitions'!E16*SI!E2*POWER(SI!E3/SI!E4,2)</f>
        <v>4.1840000000000002</v>
      </c>
      <c r="G54" s="1" t="s">
        <v>1101</v>
      </c>
      <c r="H54" s="1" t="s">
        <v>982</v>
      </c>
    </row>
    <row r="55" spans="1:8" ht="16.5">
      <c r="A55" s="1" t="s">
        <v>6913</v>
      </c>
      <c r="B55" s="1" t="s">
        <v>26</v>
      </c>
      <c r="C55" s="1" t="s">
        <v>9</v>
      </c>
      <c r="D55" s="1" t="s">
        <v>2856</v>
      </c>
      <c r="E55" s="12">
        <f>1E-21*F55</f>
        <v>9.9999999999999991E-22</v>
      </c>
      <c r="F55" s="12">
        <f>SI!E2*POWER(SI!E3/SI!E4,2)</f>
        <v>1</v>
      </c>
      <c r="G55" s="1" t="s">
        <v>1101</v>
      </c>
      <c r="H55" s="1" t="s">
        <v>982</v>
      </c>
    </row>
    <row r="56" spans="1:8" ht="16.5">
      <c r="A56" s="1" t="s">
        <v>5973</v>
      </c>
      <c r="B56" s="1" t="s">
        <v>5972</v>
      </c>
      <c r="C56" s="1" t="s">
        <v>9</v>
      </c>
      <c r="D56" s="1" t="s">
        <v>2856</v>
      </c>
      <c r="E56" s="12">
        <f>F56</f>
        <v>1</v>
      </c>
      <c r="F56" s="12">
        <f>SI!E2*POWER(SI!E3/SI!E4,2)</f>
        <v>1</v>
      </c>
      <c r="G56" s="1" t="s">
        <v>1101</v>
      </c>
      <c r="H56" s="1" t="s">
        <v>42</v>
      </c>
    </row>
    <row r="57" spans="1:8" ht="16.5">
      <c r="A57" s="1" t="s">
        <v>5974</v>
      </c>
      <c r="B57" s="1" t="s">
        <v>3019</v>
      </c>
      <c r="C57" s="1" t="s">
        <v>9</v>
      </c>
      <c r="D57" s="1" t="s">
        <v>2856</v>
      </c>
      <c r="E57" s="12">
        <f>1.8*1055.06*F57</f>
        <v>1899.1079999999999</v>
      </c>
      <c r="F57" s="166">
        <f>SI!E2*POWER(SI!E3/SI!E4,2)</f>
        <v>1</v>
      </c>
      <c r="G57" s="1" t="s">
        <v>1101</v>
      </c>
      <c r="H57" s="1" t="s">
        <v>1148</v>
      </c>
    </row>
    <row r="58" spans="1:8" ht="16.5">
      <c r="A58" s="1" t="s">
        <v>349</v>
      </c>
      <c r="B58" s="1" t="s">
        <v>26</v>
      </c>
      <c r="C58" s="1" t="s">
        <v>9</v>
      </c>
      <c r="D58" s="1" t="s">
        <v>2856</v>
      </c>
      <c r="E58" s="12">
        <f>2.96389001E-14*F58</f>
        <v>2.96389001E-14</v>
      </c>
      <c r="F58" s="12">
        <f>SI!E2*POWER(SI!E3/SI!E4,2)</f>
        <v>1</v>
      </c>
      <c r="G58" s="1" t="s">
        <v>1101</v>
      </c>
      <c r="H58" s="1" t="s">
        <v>982</v>
      </c>
    </row>
    <row r="59" spans="1:8" ht="16.5">
      <c r="A59" s="1" t="s">
        <v>5975</v>
      </c>
      <c r="B59" s="1" t="s">
        <v>26</v>
      </c>
      <c r="C59" s="1" t="s">
        <v>9</v>
      </c>
      <c r="D59" s="1" t="s">
        <v>2856</v>
      </c>
      <c r="E59" s="12">
        <f>1000000000000000000*F59</f>
        <v>1.05505585262E+21</v>
      </c>
      <c r="F59" s="12">
        <f>'Physical Definitions'!E15*SI!E2*POWER(SI!E3/SI!E4,2)</f>
        <v>1055.05585262</v>
      </c>
      <c r="G59" s="1" t="s">
        <v>1101</v>
      </c>
      <c r="H59" s="1" t="s">
        <v>47</v>
      </c>
    </row>
    <row r="60" spans="1:8" ht="16.5">
      <c r="A60" s="1" t="s">
        <v>352</v>
      </c>
      <c r="B60" s="1" t="s">
        <v>26</v>
      </c>
      <c r="C60" s="1" t="s">
        <v>9</v>
      </c>
      <c r="D60" s="1" t="s">
        <v>2856</v>
      </c>
      <c r="E60" s="12">
        <f>1000000000000000*F60</f>
        <v>1.05505585262E+18</v>
      </c>
      <c r="F60" s="12">
        <f>'Physical Definitions'!E15*SI!E2*POWER(SI!E3/SI!E4,2)</f>
        <v>1055.05585262</v>
      </c>
      <c r="G60" s="1" t="s">
        <v>1101</v>
      </c>
      <c r="H60" s="1" t="s">
        <v>47</v>
      </c>
    </row>
    <row r="61" spans="1:8" ht="16.5">
      <c r="A61" s="1" t="s">
        <v>5976</v>
      </c>
      <c r="B61" s="1" t="s">
        <v>26</v>
      </c>
      <c r="C61" s="1" t="s">
        <v>9</v>
      </c>
      <c r="D61" s="1" t="s">
        <v>2856</v>
      </c>
      <c r="E61" s="12">
        <f>1000000000000000*F61</f>
        <v>1.05505585262E+18</v>
      </c>
      <c r="F61" s="12">
        <f>'Physical Definitions'!E15*SI!E2*POWER(SI!E3/SI!E4,2)</f>
        <v>1055.05585262</v>
      </c>
      <c r="G61" s="1" t="s">
        <v>1101</v>
      </c>
      <c r="H61" s="1" t="s">
        <v>47</v>
      </c>
    </row>
    <row r="62" spans="1:8" ht="16.5">
      <c r="A62" s="1" t="s">
        <v>370</v>
      </c>
      <c r="B62" s="1" t="s">
        <v>371</v>
      </c>
      <c r="C62" s="1" t="s">
        <v>9</v>
      </c>
      <c r="D62" s="1" t="s">
        <v>2856</v>
      </c>
      <c r="E62" s="12">
        <f>F62</f>
        <v>2.1798723610862178E-18</v>
      </c>
      <c r="F62" s="12">
        <f>('Physical Measurements'!E4*POWER('Physical Constants'!E4,4)/(8*POWER('Physical Measurements'!E2*'Physical Constants'!E2,2)))*SI!E2*POWER(SI!E3/SI!E4,2)</f>
        <v>2.1798723610862178E-18</v>
      </c>
      <c r="G62" s="1" t="s">
        <v>1101</v>
      </c>
      <c r="H62" s="1" t="s">
        <v>982</v>
      </c>
    </row>
    <row r="63" spans="1:8" ht="16.5">
      <c r="A63" s="1" t="s">
        <v>2648</v>
      </c>
      <c r="B63" s="1" t="s">
        <v>26</v>
      </c>
      <c r="C63" s="1" t="s">
        <v>9</v>
      </c>
      <c r="D63" s="1" t="s">
        <v>2856</v>
      </c>
      <c r="E63" s="12">
        <f>100000*F63</f>
        <v>105505585.26199999</v>
      </c>
      <c r="F63" s="12">
        <f>'Physical Definitions'!E15*SI!E2*POWER(SI!E3/SI!E4,2)</f>
        <v>1055.05585262</v>
      </c>
      <c r="G63" s="1" t="s">
        <v>1101</v>
      </c>
      <c r="H63" s="1" t="s">
        <v>1148</v>
      </c>
    </row>
    <row r="64" spans="1:8" ht="16.5">
      <c r="A64" s="1" t="s">
        <v>2648</v>
      </c>
      <c r="B64" s="1" t="s">
        <v>26</v>
      </c>
      <c r="C64" s="1" t="s">
        <v>9</v>
      </c>
      <c r="D64" s="1" t="s">
        <v>2856</v>
      </c>
      <c r="E64" s="12">
        <f>100000*1054.804*F64</f>
        <v>105480400.00000001</v>
      </c>
      <c r="F64" s="166">
        <f>SI!E2*POWER(SI!E3/SI!E4,2)</f>
        <v>1</v>
      </c>
      <c r="G64" s="1" t="s">
        <v>1101</v>
      </c>
      <c r="H64" s="1" t="s">
        <v>47</v>
      </c>
    </row>
    <row r="65" spans="1:8" ht="16.5">
      <c r="A65" s="1" t="s">
        <v>5977</v>
      </c>
      <c r="B65" s="1" t="s">
        <v>5978</v>
      </c>
      <c r="C65" s="1" t="s">
        <v>9</v>
      </c>
      <c r="D65" s="1" t="s">
        <v>2856</v>
      </c>
      <c r="E65" s="12">
        <f>1000000*F65</f>
        <v>4185500</v>
      </c>
      <c r="F65" s="12">
        <f>'Physical Measurements'!E22*SI!E2*POWER(SI!E3/SI!E4,2)</f>
        <v>4.1855000000000002</v>
      </c>
      <c r="G65" s="1" t="s">
        <v>1101</v>
      </c>
      <c r="H65" s="1" t="s">
        <v>982</v>
      </c>
    </row>
    <row r="66" spans="1:8" ht="16.5">
      <c r="A66" s="1" t="s">
        <v>5979</v>
      </c>
      <c r="B66" s="1" t="s">
        <v>402</v>
      </c>
      <c r="C66" s="1" t="s">
        <v>9</v>
      </c>
      <c r="D66" s="1" t="s">
        <v>2856</v>
      </c>
      <c r="E66" s="12">
        <f>7000000000*F66</f>
        <v>29288000000</v>
      </c>
      <c r="F66" s="12">
        <f>'Physical Definitions'!E16*SI!E2*POWER(SI!E3/SI!E4,2)</f>
        <v>4.1840000000000002</v>
      </c>
      <c r="G66" s="1" t="s">
        <v>1101</v>
      </c>
      <c r="H66" s="1" t="s">
        <v>58</v>
      </c>
    </row>
    <row r="67" spans="1:8" ht="16.5">
      <c r="A67" s="1" t="s">
        <v>5980</v>
      </c>
      <c r="B67" s="1" t="s">
        <v>406</v>
      </c>
      <c r="C67" s="1" t="s">
        <v>9</v>
      </c>
      <c r="D67" s="1" t="s">
        <v>2856</v>
      </c>
      <c r="E67" s="12">
        <f>10000000000*F67</f>
        <v>41840000000</v>
      </c>
      <c r="F67" s="12">
        <f>'Physical Definitions'!E16*SI!E2*POWER(SI!E3/SI!E4,2)</f>
        <v>4.1840000000000002</v>
      </c>
      <c r="G67" s="1" t="s">
        <v>1101</v>
      </c>
      <c r="H67" s="1" t="s">
        <v>58</v>
      </c>
    </row>
    <row r="68" spans="1:8" ht="16.5">
      <c r="A68" t="s">
        <v>3444</v>
      </c>
      <c r="B68" t="s">
        <v>3462</v>
      </c>
      <c r="C68" s="1" t="s">
        <v>9</v>
      </c>
      <c r="D68" s="1" t="s">
        <v>2856</v>
      </c>
      <c r="E68" s="26">
        <f>1E+24*F68</f>
        <v>9.9999999999999998E+23</v>
      </c>
      <c r="F68" s="12">
        <f>SI!E2*POWER(SI!E3/SI!E4,2)</f>
        <v>1</v>
      </c>
      <c r="G68" s="1" t="s">
        <v>1101</v>
      </c>
      <c r="H68" s="1" t="s">
        <v>42</v>
      </c>
    </row>
    <row r="69" spans="1:8" ht="16.5">
      <c r="A69" t="s">
        <v>3445</v>
      </c>
      <c r="B69" t="s">
        <v>3463</v>
      </c>
      <c r="C69" s="1" t="s">
        <v>9</v>
      </c>
      <c r="D69" s="1" t="s">
        <v>2856</v>
      </c>
      <c r="E69" s="26">
        <f>1E+21*F69</f>
        <v>1E+21</v>
      </c>
      <c r="F69" s="12">
        <f>SI!E2*POWER(SI!E3/SI!E4,2)</f>
        <v>1</v>
      </c>
      <c r="G69" s="1" t="s">
        <v>1101</v>
      </c>
      <c r="H69" s="1" t="s">
        <v>42</v>
      </c>
    </row>
    <row r="70" spans="1:8" ht="16.5">
      <c r="A70" t="s">
        <v>3446</v>
      </c>
      <c r="B70" t="s">
        <v>3464</v>
      </c>
      <c r="C70" s="1" t="s">
        <v>9</v>
      </c>
      <c r="D70" s="1" t="s">
        <v>2856</v>
      </c>
      <c r="E70" s="26">
        <f>1000000000000000000*F70</f>
        <v>1E+18</v>
      </c>
      <c r="F70" s="12">
        <f>SI!E2*POWER(SI!E3/SI!E4,2)</f>
        <v>1</v>
      </c>
      <c r="G70" s="1" t="s">
        <v>1101</v>
      </c>
      <c r="H70" s="1" t="s">
        <v>42</v>
      </c>
    </row>
    <row r="71" spans="1:8" ht="16.5">
      <c r="A71" t="s">
        <v>3447</v>
      </c>
      <c r="B71" t="s">
        <v>3465</v>
      </c>
      <c r="C71" s="1" t="s">
        <v>9</v>
      </c>
      <c r="D71" s="1" t="s">
        <v>2856</v>
      </c>
      <c r="E71" s="26">
        <f>1000000000000000*F71</f>
        <v>1000000000000000</v>
      </c>
      <c r="F71" s="12">
        <f>SI!E2*POWER(SI!E3/SI!E4,2)</f>
        <v>1</v>
      </c>
      <c r="G71" s="1" t="s">
        <v>1101</v>
      </c>
      <c r="H71" s="1" t="s">
        <v>42</v>
      </c>
    </row>
    <row r="72" spans="1:8" ht="16.5">
      <c r="A72" t="s">
        <v>3448</v>
      </c>
      <c r="B72" t="s">
        <v>3466</v>
      </c>
      <c r="C72" s="1" t="s">
        <v>9</v>
      </c>
      <c r="D72" s="1" t="s">
        <v>2856</v>
      </c>
      <c r="E72" s="26">
        <f>1000000000000*F72</f>
        <v>1000000000000</v>
      </c>
      <c r="F72" s="12">
        <f>SI!E2*POWER(SI!E3/SI!E4,2)</f>
        <v>1</v>
      </c>
      <c r="G72" s="1" t="s">
        <v>1101</v>
      </c>
      <c r="H72" s="1" t="s">
        <v>42</v>
      </c>
    </row>
    <row r="73" spans="1:8" ht="16.5">
      <c r="A73" t="s">
        <v>3449</v>
      </c>
      <c r="B73" t="s">
        <v>3467</v>
      </c>
      <c r="C73" s="1" t="s">
        <v>9</v>
      </c>
      <c r="D73" s="1" t="s">
        <v>2856</v>
      </c>
      <c r="E73" s="26">
        <f>1000000000*F73</f>
        <v>1000000000</v>
      </c>
      <c r="F73" s="12">
        <f>SI!E2*POWER(SI!E3/SI!E4,2)</f>
        <v>1</v>
      </c>
      <c r="G73" s="1" t="s">
        <v>1101</v>
      </c>
      <c r="H73" s="1" t="s">
        <v>42</v>
      </c>
    </row>
    <row r="74" spans="1:8" ht="16.5">
      <c r="A74" t="s">
        <v>3450</v>
      </c>
      <c r="B74" t="s">
        <v>3468</v>
      </c>
      <c r="C74" s="1" t="s">
        <v>9</v>
      </c>
      <c r="D74" s="1" t="s">
        <v>2856</v>
      </c>
      <c r="E74" s="26">
        <f>1000000*F74</f>
        <v>1000000</v>
      </c>
      <c r="F74" s="12">
        <f>SI!E2*POWER(SI!E3/SI!E4,2)</f>
        <v>1</v>
      </c>
      <c r="G74" s="1" t="s">
        <v>1101</v>
      </c>
      <c r="H74" s="1" t="s">
        <v>42</v>
      </c>
    </row>
    <row r="75" spans="1:8" ht="16.5">
      <c r="A75" t="s">
        <v>3818</v>
      </c>
      <c r="B75" t="s">
        <v>3469</v>
      </c>
      <c r="C75" s="1" t="s">
        <v>9</v>
      </c>
      <c r="D75" s="1" t="s">
        <v>2856</v>
      </c>
      <c r="E75" s="26">
        <f>1000*F75</f>
        <v>1000</v>
      </c>
      <c r="F75" s="12">
        <f>SI!E2*POWER(SI!E3/SI!E4,2)</f>
        <v>1</v>
      </c>
      <c r="G75" s="1" t="s">
        <v>1101</v>
      </c>
      <c r="H75" s="1" t="s">
        <v>42</v>
      </c>
    </row>
    <row r="76" spans="1:8" ht="16.5">
      <c r="A76" t="s">
        <v>3451</v>
      </c>
      <c r="B76" t="s">
        <v>3470</v>
      </c>
      <c r="C76" s="1" t="s">
        <v>9</v>
      </c>
      <c r="D76" s="1" t="s">
        <v>2856</v>
      </c>
      <c r="E76" s="26">
        <f>100*F76</f>
        <v>100</v>
      </c>
      <c r="F76" s="12">
        <f>SI!E2*POWER(SI!E3/SI!E4,2)</f>
        <v>1</v>
      </c>
      <c r="G76" s="1" t="s">
        <v>1101</v>
      </c>
      <c r="H76" s="1" t="s">
        <v>42</v>
      </c>
    </row>
    <row r="77" spans="1:8" ht="16.5">
      <c r="A77" t="s">
        <v>3819</v>
      </c>
      <c r="B77" t="s">
        <v>3471</v>
      </c>
      <c r="C77" s="1" t="s">
        <v>9</v>
      </c>
      <c r="D77" s="1" t="s">
        <v>2856</v>
      </c>
      <c r="E77" s="26">
        <f>10*F77</f>
        <v>10</v>
      </c>
      <c r="F77" s="12">
        <f>SI!E2*POWER(SI!E3/SI!E4,2)</f>
        <v>1</v>
      </c>
      <c r="G77" s="1" t="s">
        <v>1101</v>
      </c>
      <c r="H77" s="1" t="s">
        <v>42</v>
      </c>
    </row>
    <row r="78" spans="1:8" ht="16.5">
      <c r="A78" t="s">
        <v>3452</v>
      </c>
      <c r="B78" t="s">
        <v>3472</v>
      </c>
      <c r="C78" s="1" t="s">
        <v>9</v>
      </c>
      <c r="D78" s="1" t="s">
        <v>2856</v>
      </c>
      <c r="E78" s="26">
        <f>0.1*F78</f>
        <v>0.1</v>
      </c>
      <c r="F78" s="12">
        <f>SI!E2*POWER(SI!E3/SI!E4,2)</f>
        <v>1</v>
      </c>
      <c r="G78" s="1" t="s">
        <v>1101</v>
      </c>
      <c r="H78" s="1" t="s">
        <v>42</v>
      </c>
    </row>
    <row r="79" spans="1:8" ht="16.5">
      <c r="A79" t="s">
        <v>3453</v>
      </c>
      <c r="B79" t="s">
        <v>3473</v>
      </c>
      <c r="C79" s="1" t="s">
        <v>9</v>
      </c>
      <c r="D79" s="1" t="s">
        <v>2856</v>
      </c>
      <c r="E79" s="26">
        <f>0.01*F79</f>
        <v>0.01</v>
      </c>
      <c r="F79" s="12">
        <f>SI!E2*POWER(SI!E3/SI!E4,2)</f>
        <v>1</v>
      </c>
      <c r="G79" s="1" t="s">
        <v>1101</v>
      </c>
      <c r="H79" s="1" t="s">
        <v>42</v>
      </c>
    </row>
    <row r="80" spans="1:8" ht="16.5">
      <c r="A80" t="s">
        <v>3454</v>
      </c>
      <c r="B80" t="s">
        <v>3474</v>
      </c>
      <c r="C80" s="1" t="s">
        <v>9</v>
      </c>
      <c r="D80" s="1" t="s">
        <v>2856</v>
      </c>
      <c r="E80" s="26">
        <f>0.001*F80</f>
        <v>1E-3</v>
      </c>
      <c r="F80" s="12">
        <f>SI!E2*POWER(SI!E3/SI!E4,2)</f>
        <v>1</v>
      </c>
      <c r="G80" s="1" t="s">
        <v>1101</v>
      </c>
      <c r="H80" s="1" t="s">
        <v>42</v>
      </c>
    </row>
    <row r="81" spans="1:8" ht="16.5">
      <c r="A81" t="s">
        <v>3455</v>
      </c>
      <c r="B81" t="s">
        <v>3475</v>
      </c>
      <c r="C81" s="1" t="s">
        <v>9</v>
      </c>
      <c r="D81" s="1" t="s">
        <v>2856</v>
      </c>
      <c r="E81" s="26">
        <f>0.000001*F81</f>
        <v>9.9999999999999995E-7</v>
      </c>
      <c r="F81" s="12">
        <f>SI!E2*POWER(SI!E3/SI!E4,2)</f>
        <v>1</v>
      </c>
      <c r="G81" s="1" t="s">
        <v>1101</v>
      </c>
      <c r="H81" s="1" t="s">
        <v>42</v>
      </c>
    </row>
    <row r="82" spans="1:8" ht="16.5">
      <c r="A82" t="s">
        <v>3456</v>
      </c>
      <c r="B82" t="s">
        <v>3476</v>
      </c>
      <c r="C82" s="1" t="s">
        <v>9</v>
      </c>
      <c r="D82" s="1" t="s">
        <v>2856</v>
      </c>
      <c r="E82" s="26">
        <f>0.000000001*F82</f>
        <v>1.0000000000000001E-9</v>
      </c>
      <c r="F82" s="12">
        <f>SI!E2*POWER(SI!E3/SI!E4,2)</f>
        <v>1</v>
      </c>
      <c r="G82" s="1" t="s">
        <v>1101</v>
      </c>
      <c r="H82" s="1" t="s">
        <v>42</v>
      </c>
    </row>
    <row r="83" spans="1:8" ht="16.5">
      <c r="A83" t="s">
        <v>3457</v>
      </c>
      <c r="B83" t="s">
        <v>3477</v>
      </c>
      <c r="C83" s="1" t="s">
        <v>9</v>
      </c>
      <c r="D83" s="1" t="s">
        <v>2856</v>
      </c>
      <c r="E83" s="26">
        <f>0.000000000001*F83</f>
        <v>9.9999999999999998E-13</v>
      </c>
      <c r="F83" s="12">
        <f>SI!E2*POWER(SI!E3/SI!E4,2)</f>
        <v>1</v>
      </c>
      <c r="G83" s="1" t="s">
        <v>1101</v>
      </c>
      <c r="H83" s="1" t="s">
        <v>42</v>
      </c>
    </row>
    <row r="84" spans="1:8" ht="16.5">
      <c r="A84" t="s">
        <v>3458</v>
      </c>
      <c r="B84" t="s">
        <v>3478</v>
      </c>
      <c r="C84" s="1" t="s">
        <v>9</v>
      </c>
      <c r="D84" s="1" t="s">
        <v>2856</v>
      </c>
      <c r="E84" s="26">
        <f>0.000000000000001*F84</f>
        <v>1.0000000000000001E-15</v>
      </c>
      <c r="F84" s="12">
        <f>SI!E2*POWER(SI!E3/SI!E4,2)</f>
        <v>1</v>
      </c>
      <c r="G84" s="1" t="s">
        <v>1101</v>
      </c>
      <c r="H84" s="1" t="s">
        <v>42</v>
      </c>
    </row>
    <row r="85" spans="1:8" ht="16.5">
      <c r="A85" t="s">
        <v>3459</v>
      </c>
      <c r="B85" t="s">
        <v>3479</v>
      </c>
      <c r="C85" s="1" t="s">
        <v>9</v>
      </c>
      <c r="D85" s="1" t="s">
        <v>2856</v>
      </c>
      <c r="E85" s="26">
        <f>0.000000000000000001*F85</f>
        <v>1.0000000000000001E-18</v>
      </c>
      <c r="F85" s="12">
        <f>SI!E2*POWER(SI!E3/SI!E4,2)</f>
        <v>1</v>
      </c>
      <c r="G85" s="1" t="s">
        <v>1101</v>
      </c>
      <c r="H85" s="1" t="s">
        <v>42</v>
      </c>
    </row>
    <row r="86" spans="1:8" ht="16.5">
      <c r="A86" t="s">
        <v>3460</v>
      </c>
      <c r="B86" t="s">
        <v>3480</v>
      </c>
      <c r="C86" s="1" t="s">
        <v>9</v>
      </c>
      <c r="D86" s="1" t="s">
        <v>2856</v>
      </c>
      <c r="E86" s="26">
        <f>1E-21*F86</f>
        <v>9.9999999999999991E-22</v>
      </c>
      <c r="F86" s="12">
        <f>SI!E2*POWER(SI!E3/SI!E4,2)</f>
        <v>1</v>
      </c>
      <c r="G86" s="1" t="s">
        <v>1101</v>
      </c>
      <c r="H86" s="1" t="s">
        <v>42</v>
      </c>
    </row>
    <row r="87" spans="1:8" ht="16.5">
      <c r="A87" t="s">
        <v>3461</v>
      </c>
      <c r="B87" t="s">
        <v>3481</v>
      </c>
      <c r="C87" s="1" t="s">
        <v>9</v>
      </c>
      <c r="D87" s="1" t="s">
        <v>2856</v>
      </c>
      <c r="E87" s="26">
        <f>1E-24*F87</f>
        <v>9.9999999999999992E-25</v>
      </c>
      <c r="F87" s="12">
        <f>SI!E2*POWER(SI!E3/SI!E4,2)</f>
        <v>1</v>
      </c>
      <c r="G87" s="1" t="s">
        <v>1101</v>
      </c>
      <c r="H87" s="1" t="s">
        <v>42</v>
      </c>
    </row>
    <row r="88" spans="1:8">
      <c r="A88" s="48"/>
      <c r="B88" s="48"/>
      <c r="C88" s="48"/>
      <c r="D88" s="48"/>
      <c r="E88" s="48"/>
      <c r="F88" s="48"/>
      <c r="G88" s="48"/>
      <c r="H88" s="48"/>
    </row>
    <row r="89" spans="1:8" ht="28.8">
      <c r="A89" s="1" t="s">
        <v>7446</v>
      </c>
      <c r="B89" s="1" t="s">
        <v>6272</v>
      </c>
      <c r="C89" s="1" t="s">
        <v>4266</v>
      </c>
      <c r="D89" s="1" t="s">
        <v>2906</v>
      </c>
      <c r="E89" s="12">
        <f>F89</f>
        <v>3.1545907450630484</v>
      </c>
      <c r="F89" s="12">
        <f>('Physical Definitions'!E15/(Systems!D6*Systems!D6*'Physical Definitions'!E5))*SI!E2/POWER(SI!E4,3)</f>
        <v>3.1545907450630484</v>
      </c>
      <c r="G89" s="1" t="s">
        <v>1110</v>
      </c>
      <c r="H89" s="1" t="s">
        <v>1148</v>
      </c>
    </row>
    <row r="90" spans="1:8" ht="28.8">
      <c r="A90" s="1" t="s">
        <v>7447</v>
      </c>
      <c r="B90" s="1" t="s">
        <v>6273</v>
      </c>
      <c r="C90" s="1" t="s">
        <v>4266</v>
      </c>
      <c r="D90" s="1" t="s">
        <v>2906</v>
      </c>
      <c r="E90" s="12">
        <f>F90</f>
        <v>3.1524810541090562</v>
      </c>
      <c r="F90" s="12">
        <f>(5*1000*Systems!L6*'Physical Definitions'!E16/(9*'Physical Definitions'!E5*Systems!D6*Systems!D6))*SI!E2/POWER(SI!E4,3)</f>
        <v>3.1524810541090562</v>
      </c>
      <c r="G90" s="1" t="s">
        <v>1110</v>
      </c>
      <c r="H90" s="1" t="s">
        <v>1148</v>
      </c>
    </row>
    <row r="91" spans="1:8" ht="28.8">
      <c r="A91" s="1" t="s">
        <v>7448</v>
      </c>
      <c r="B91" s="1" t="s">
        <v>198</v>
      </c>
      <c r="C91" s="1" t="s">
        <v>4266</v>
      </c>
      <c r="D91" s="1" t="s">
        <v>2906</v>
      </c>
      <c r="E91" s="12">
        <f>0.00001*F91</f>
        <v>1.0000000000000001E-5</v>
      </c>
      <c r="F91" s="12">
        <f>SI!E2/POWER(SI!E4,3)</f>
        <v>1</v>
      </c>
      <c r="G91" s="1" t="s">
        <v>1110</v>
      </c>
      <c r="H91" s="1" t="s">
        <v>982</v>
      </c>
    </row>
    <row r="92" spans="1:8" ht="28.8">
      <c r="A92" s="1" t="s">
        <v>7449</v>
      </c>
      <c r="B92" s="1" t="s">
        <v>26</v>
      </c>
      <c r="C92" s="1" t="s">
        <v>4266</v>
      </c>
      <c r="D92" s="1" t="s">
        <v>2906</v>
      </c>
      <c r="E92" s="12">
        <f>100*F92</f>
        <v>1.5297341228780657E-6</v>
      </c>
      <c r="F92" s="12">
        <f>(POWER('Physical Definitions'!E22,3)/('Physical Definitions'!E2*POWER(Systems!D6/12,2)))*SI!E2/POWER(SI!E4,3)</f>
        <v>1.5297341228780658E-8</v>
      </c>
      <c r="G92" s="1" t="s">
        <v>1110</v>
      </c>
      <c r="H92" s="1" t="s">
        <v>47</v>
      </c>
    </row>
    <row r="93" spans="1:8" ht="28.8">
      <c r="A93" s="1" t="s">
        <v>5981</v>
      </c>
      <c r="B93" s="1" t="s">
        <v>233</v>
      </c>
      <c r="C93" s="1" t="s">
        <v>4266</v>
      </c>
      <c r="D93" s="1" t="s">
        <v>2906</v>
      </c>
      <c r="E93" s="12">
        <f>F93</f>
        <v>4.1854999999999996E-2</v>
      </c>
      <c r="F93" s="166">
        <f>(0.000001*'Physical Measurements'!E22/POWER('Physical Definitions'!E22,2))*SI!E2/POWER(SI!E4,3)</f>
        <v>4.1854999999999996E-2</v>
      </c>
      <c r="G93" s="1" t="s">
        <v>1110</v>
      </c>
      <c r="H93" s="1" t="s">
        <v>982</v>
      </c>
    </row>
    <row r="94" spans="1:8" ht="28.8">
      <c r="A94" s="1" t="s">
        <v>270</v>
      </c>
      <c r="B94" s="1" t="s">
        <v>26</v>
      </c>
      <c r="C94" s="1" t="s">
        <v>4266</v>
      </c>
      <c r="D94" s="1" t="s">
        <v>2906</v>
      </c>
      <c r="E94" s="12">
        <f>F94</f>
        <v>697.58333333333337</v>
      </c>
      <c r="F94" s="166">
        <f>('Physical Measurements'!E22/(POWER('Physical Definitions'!E22,2)*'Physical Definitions'!E4))*SI!E2/POWER(SI!E4,3)</f>
        <v>697.58333333333337</v>
      </c>
      <c r="G94" s="1" t="s">
        <v>1110</v>
      </c>
      <c r="H94" s="1" t="s">
        <v>982</v>
      </c>
    </row>
    <row r="95" spans="1:8" ht="28.8">
      <c r="A95" s="1" t="s">
        <v>285</v>
      </c>
      <c r="B95" s="1" t="s">
        <v>26</v>
      </c>
      <c r="C95" s="1" t="s">
        <v>4266</v>
      </c>
      <c r="D95" s="1" t="s">
        <v>2906</v>
      </c>
      <c r="E95" s="12">
        <f>58.15*F95</f>
        <v>58.15</v>
      </c>
      <c r="F95" s="12">
        <f>SI!E2/POWER(SI!E4,3)</f>
        <v>1</v>
      </c>
      <c r="G95" s="1" t="s">
        <v>1110</v>
      </c>
      <c r="H95" s="1" t="s">
        <v>982</v>
      </c>
    </row>
    <row r="96" spans="1:8" ht="28.8">
      <c r="A96" s="1" t="s">
        <v>351</v>
      </c>
      <c r="B96" s="1" t="s">
        <v>26</v>
      </c>
      <c r="C96" s="1" t="s">
        <v>4266</v>
      </c>
      <c r="D96" s="1" t="s">
        <v>2906</v>
      </c>
      <c r="E96" s="12">
        <f>F96</f>
        <v>697.58333333333337</v>
      </c>
      <c r="F96" s="166">
        <f>('Physical Measurements'!E22/(POWER('Physical Definitions'!E22,2)*'Physical Definitions'!E4))*SI!E2/POWER(SI!E4,3)</f>
        <v>697.58333333333337</v>
      </c>
      <c r="G96" s="1" t="s">
        <v>1110</v>
      </c>
      <c r="H96" s="1" t="s">
        <v>982</v>
      </c>
    </row>
    <row r="97" spans="1:8" ht="28.8">
      <c r="A97" s="1" t="s">
        <v>5984</v>
      </c>
      <c r="B97" s="1" t="s">
        <v>2788</v>
      </c>
      <c r="C97" s="1" t="s">
        <v>4266</v>
      </c>
      <c r="D97" s="1" t="s">
        <v>2906</v>
      </c>
      <c r="E97" s="12">
        <f>F97</f>
        <v>1</v>
      </c>
      <c r="F97" s="12">
        <f>SI!E2/POWER(SI!E4,3)</f>
        <v>1</v>
      </c>
      <c r="G97" s="1" t="s">
        <v>1110</v>
      </c>
      <c r="H97" s="1" t="s">
        <v>42</v>
      </c>
    </row>
    <row r="98" spans="1:8">
      <c r="A98" s="248"/>
      <c r="B98" s="248"/>
      <c r="C98" s="248"/>
      <c r="D98" s="248"/>
      <c r="E98" s="250"/>
      <c r="F98" s="250"/>
      <c r="G98" s="248"/>
      <c r="H98" s="248"/>
    </row>
    <row r="99" spans="1:8" ht="16.5">
      <c r="A99" s="1" t="s">
        <v>5982</v>
      </c>
      <c r="B99" s="1" t="s">
        <v>26</v>
      </c>
      <c r="C99" s="1" t="s">
        <v>4265</v>
      </c>
      <c r="D99" s="1" t="s">
        <v>2925</v>
      </c>
      <c r="E99" s="12">
        <f>F99</f>
        <v>1</v>
      </c>
      <c r="F99" s="12">
        <f>SI!E2*POWER(SI!E3,2)/(POWER(SI!E4,3)*SI!E5)</f>
        <v>1</v>
      </c>
      <c r="G99" s="1" t="s">
        <v>1146</v>
      </c>
      <c r="H99" s="1" t="s">
        <v>42</v>
      </c>
    </row>
    <row r="100" spans="1:8" ht="16.5">
      <c r="A100" s="1" t="s">
        <v>5983</v>
      </c>
      <c r="B100" s="1" t="s">
        <v>1338</v>
      </c>
      <c r="C100" s="1" t="s">
        <v>4265</v>
      </c>
      <c r="D100" s="1" t="s">
        <v>2925</v>
      </c>
      <c r="E100" s="12">
        <f>F100</f>
        <v>1</v>
      </c>
      <c r="F100" s="12">
        <f>SI!E2*POWER(SI!E3,2)/(POWER(SI!E4,3)*SI!E5)</f>
        <v>1</v>
      </c>
      <c r="G100" s="1" t="s">
        <v>1146</v>
      </c>
      <c r="H100" s="1" t="s">
        <v>42</v>
      </c>
    </row>
    <row r="101" spans="1:8">
      <c r="A101" s="248"/>
      <c r="B101" s="248"/>
      <c r="C101" s="248"/>
      <c r="D101" s="248"/>
      <c r="E101" s="250"/>
      <c r="F101" s="250"/>
      <c r="G101" s="248"/>
      <c r="H101" s="248"/>
    </row>
    <row r="102" spans="1:8" ht="43.2">
      <c r="A102" s="1" t="s">
        <v>7450</v>
      </c>
      <c r="B102" s="1" t="s">
        <v>6274</v>
      </c>
      <c r="C102" s="1" t="s">
        <v>4264</v>
      </c>
      <c r="D102" s="1" t="s">
        <v>2907</v>
      </c>
      <c r="E102" s="12">
        <f>F102</f>
        <v>5.6782633411134871</v>
      </c>
      <c r="F102" s="12">
        <f>(9*'Physical Definitions'!E15/(5*Systems!D6*Systems!D6*'Physical Definitions'!E5))*SI!E2/(SI!E5*POWER(SI!E4,3))</f>
        <v>5.6782633411134871</v>
      </c>
      <c r="G102" s="1" t="s">
        <v>1112</v>
      </c>
      <c r="H102" s="1" t="s">
        <v>1148</v>
      </c>
    </row>
    <row r="103" spans="1:8" ht="43.2">
      <c r="A103" s="1" t="s">
        <v>7451</v>
      </c>
      <c r="B103" s="1" t="s">
        <v>6275</v>
      </c>
      <c r="C103" s="1" t="s">
        <v>4264</v>
      </c>
      <c r="D103" s="1" t="s">
        <v>2907</v>
      </c>
      <c r="E103" s="12">
        <f>F103</f>
        <v>5.6744658973963018</v>
      </c>
      <c r="F103" s="12">
        <f>(1000*Systems!L6*'Physical Definitions'!E16/('Physical Definitions'!E5*Systems!D6*Systems!D6))*SI!E2/(SI!E5*POWER(SI!E4,3))</f>
        <v>5.6744658973963018</v>
      </c>
      <c r="G103" s="1" t="s">
        <v>1112</v>
      </c>
      <c r="H103" s="1" t="s">
        <v>1148</v>
      </c>
    </row>
    <row r="104" spans="1:8" ht="28.8">
      <c r="A104" s="1" t="s">
        <v>415</v>
      </c>
      <c r="B104" s="1" t="s">
        <v>26</v>
      </c>
      <c r="C104" s="1" t="s">
        <v>4264</v>
      </c>
      <c r="D104" s="1" t="s">
        <v>2907</v>
      </c>
      <c r="E104" s="12">
        <f>F104</f>
        <v>1</v>
      </c>
      <c r="F104" s="12">
        <f>SI!E2/(SI!E5*POWER(SI!E4,3))</f>
        <v>1</v>
      </c>
      <c r="G104" s="1" t="s">
        <v>1112</v>
      </c>
      <c r="H104" s="1" t="s">
        <v>1148</v>
      </c>
    </row>
    <row r="105" spans="1:8" ht="28.8">
      <c r="A105" s="1" t="s">
        <v>414</v>
      </c>
      <c r="B105" s="1" t="s">
        <v>26</v>
      </c>
      <c r="C105" s="1" t="s">
        <v>4264</v>
      </c>
      <c r="D105" s="1" t="s">
        <v>2907</v>
      </c>
      <c r="E105" s="12">
        <f>F105</f>
        <v>5.6782633411134871</v>
      </c>
      <c r="F105" s="12">
        <f>(9*'Physical Definitions'!E15/(5*'Physical Definitions'!E5*POWER(Systems!D6,2)))*SI!E2/(SI!E5*POWER(SI!E4,3))</f>
        <v>5.6782633411134871</v>
      </c>
      <c r="G105" s="1" t="s">
        <v>1112</v>
      </c>
      <c r="H105" s="1" t="s">
        <v>46</v>
      </c>
    </row>
    <row r="106" spans="1:8">
      <c r="A106" s="48"/>
      <c r="B106" s="48"/>
      <c r="C106" s="48"/>
      <c r="D106" s="48"/>
      <c r="E106" s="48"/>
      <c r="F106" s="48"/>
      <c r="G106" s="48"/>
      <c r="H106" s="48"/>
    </row>
    <row r="107" spans="1:8" ht="43.2">
      <c r="A107" s="1" t="s">
        <v>7452</v>
      </c>
      <c r="B107" s="1" t="s">
        <v>6276</v>
      </c>
      <c r="C107" s="1" t="s">
        <v>4263</v>
      </c>
      <c r="D107" s="1" t="s">
        <v>2895</v>
      </c>
      <c r="E107" s="12">
        <f t="shared" ref="E107:E114" si="1">F107</f>
        <v>0.14422788886428259</v>
      </c>
      <c r="F107" s="12">
        <f>(9*'Physical Definitions'!E15*Systems!D6/(12*5*Systems!D6*Systems!D6*'Physical Definitions'!E5))*SI!E2*SI!E3/(SI!E5*POWER(SI!E4,3))</f>
        <v>0.14422788886428259</v>
      </c>
      <c r="G107" s="1" t="s">
        <v>1109</v>
      </c>
      <c r="H107" s="1" t="s">
        <v>1148</v>
      </c>
    </row>
    <row r="108" spans="1:8" ht="43.2">
      <c r="A108" s="1" t="s">
        <v>7453</v>
      </c>
      <c r="B108" s="1" t="s">
        <v>6277</v>
      </c>
      <c r="C108" s="1" t="s">
        <v>4263</v>
      </c>
      <c r="D108" s="1" t="s">
        <v>2895</v>
      </c>
      <c r="E108" s="12">
        <f t="shared" si="1"/>
        <v>519.2203999114173</v>
      </c>
      <c r="F108" s="12">
        <f>(9*'Physical Definitions'!E15*Systems!D6/(12*5*Systems!D6*Systems!D6))*SI!E2*SI!E3/(SI!E5*POWER(SI!E4,3))</f>
        <v>519.2203999114173</v>
      </c>
      <c r="G108" s="1" t="s">
        <v>1109</v>
      </c>
      <c r="H108" s="1" t="s">
        <v>1148</v>
      </c>
    </row>
    <row r="109" spans="1:8" ht="43.2">
      <c r="A109" s="1" t="s">
        <v>7454</v>
      </c>
      <c r="B109" s="1" t="s">
        <v>6278</v>
      </c>
      <c r="C109" s="1" t="s">
        <v>4263</v>
      </c>
      <c r="D109" s="1" t="s">
        <v>2895</v>
      </c>
      <c r="E109" s="12">
        <f t="shared" si="1"/>
        <v>1.7307346663713914</v>
      </c>
      <c r="F109" s="12">
        <f>('Physical Definitions'!E15/(5*Systems!D6*'Physical Definitions'!E5/9))*SI!E2*SI!E3/(SI!E5*POWER(SI!E4,3))</f>
        <v>1.7307346663713914</v>
      </c>
      <c r="G109" s="1" t="s">
        <v>1109</v>
      </c>
      <c r="H109" s="1" t="s">
        <v>1148</v>
      </c>
    </row>
    <row r="110" spans="1:8" ht="41.7" customHeight="1">
      <c r="A110" s="1" t="s">
        <v>7455</v>
      </c>
      <c r="B110" s="1" t="s">
        <v>6279</v>
      </c>
      <c r="C110" s="1" t="s">
        <v>4263</v>
      </c>
      <c r="D110" s="1" t="s">
        <v>2895</v>
      </c>
      <c r="E110" s="12">
        <f t="shared" si="1"/>
        <v>20.768815996456695</v>
      </c>
      <c r="F110" s="12">
        <f>(12*'Physical Definitions'!E15/(5*Systems!D6*'Physical Definitions'!E5/9))*SI!E2*SI!E3/(SI!E5*POWER(SI!E4,3))</f>
        <v>20.768815996456695</v>
      </c>
      <c r="G110" s="1" t="s">
        <v>1109</v>
      </c>
      <c r="H110" s="1" t="s">
        <v>1148</v>
      </c>
    </row>
    <row r="111" spans="1:8" ht="43.2">
      <c r="A111" s="1" t="s">
        <v>7456</v>
      </c>
      <c r="B111" s="1" t="s">
        <v>6280</v>
      </c>
      <c r="C111" s="1" t="s">
        <v>4263</v>
      </c>
      <c r="D111" s="1" t="s">
        <v>2895</v>
      </c>
      <c r="E111" s="12">
        <f t="shared" si="1"/>
        <v>0.14413143379386606</v>
      </c>
      <c r="F111" s="12">
        <f>(1000*Systems!L6*'Physical Definitions'!E16*Systems!D6/(12*'Physical Definitions'!E5*Systems!D6*Systems!D6))*SI!E2*SI!E3/(SI!E5*POWER(SI!E4,3))</f>
        <v>0.14413143379386606</v>
      </c>
      <c r="G111" s="1" t="s">
        <v>1109</v>
      </c>
      <c r="H111" s="1" t="s">
        <v>1148</v>
      </c>
    </row>
    <row r="112" spans="1:8" ht="59.1" customHeight="1">
      <c r="A112" s="1" t="s">
        <v>7457</v>
      </c>
      <c r="B112" s="1" t="s">
        <v>6281</v>
      </c>
      <c r="C112" s="1" t="s">
        <v>4263</v>
      </c>
      <c r="D112" s="1" t="s">
        <v>2895</v>
      </c>
      <c r="E112" s="12">
        <f t="shared" si="1"/>
        <v>518.87316165791776</v>
      </c>
      <c r="F112" s="12">
        <f>(1000*Systems!L6*'Physical Definitions'!E16*Systems!D6/(12*Systems!D6*Systems!D6))*SI!E2*SI!E3/(SI!E5*POWER(SI!E4,3))</f>
        <v>518.87316165791776</v>
      </c>
      <c r="G112" s="1" t="s">
        <v>1109</v>
      </c>
      <c r="H112" s="1" t="s">
        <v>1148</v>
      </c>
    </row>
    <row r="113" spans="1:8" ht="43.2">
      <c r="A113" s="1" t="s">
        <v>7458</v>
      </c>
      <c r="B113" s="1" t="s">
        <v>6282</v>
      </c>
      <c r="C113" s="1" t="s">
        <v>4263</v>
      </c>
      <c r="D113" s="1" t="s">
        <v>2895</v>
      </c>
      <c r="E113" s="12">
        <f t="shared" si="1"/>
        <v>1.7295772055263927</v>
      </c>
      <c r="F113" s="12">
        <f>(1000*Systems!L6*'Physical Definitions'!E16/('Physical Definitions'!E5*Systems!D6))*SI!E2*SI!E3/(SI!E5*POWER(SI!E4,3))</f>
        <v>1.7295772055263927</v>
      </c>
      <c r="G113" s="1" t="s">
        <v>1109</v>
      </c>
      <c r="H113" s="1" t="s">
        <v>1148</v>
      </c>
    </row>
    <row r="114" spans="1:8" ht="43.2">
      <c r="A114" s="1" t="s">
        <v>7459</v>
      </c>
      <c r="B114" s="1" t="s">
        <v>6283</v>
      </c>
      <c r="C114" s="1" t="s">
        <v>4263</v>
      </c>
      <c r="D114" s="1" t="s">
        <v>2895</v>
      </c>
      <c r="E114" s="12">
        <f t="shared" si="1"/>
        <v>20.754926466316714</v>
      </c>
      <c r="F114" s="12">
        <f>(1000*12*Systems!L6*'Physical Definitions'!E16/('Physical Definitions'!E5*Systems!D6))*SI!E2*SI!E3/(SI!E5*POWER(SI!E4,3))</f>
        <v>20.754926466316714</v>
      </c>
      <c r="G114" s="1" t="s">
        <v>1109</v>
      </c>
      <c r="H114" s="1" t="s">
        <v>1148</v>
      </c>
    </row>
    <row r="115" spans="1:8" ht="28.8">
      <c r="A115" s="1" t="s">
        <v>7460</v>
      </c>
      <c r="B115" s="1" t="s">
        <v>6284</v>
      </c>
      <c r="C115" s="1" t="s">
        <v>4263</v>
      </c>
      <c r="D115" s="1" t="s">
        <v>2895</v>
      </c>
      <c r="E115" s="12">
        <f>100*F115</f>
        <v>418.68</v>
      </c>
      <c r="F115" s="12">
        <f>'Physical Definitions'!E18*SI!E2*SI!E3/(SI!E5*POWER(SI!E4,3))</f>
        <v>4.1867999999999999</v>
      </c>
      <c r="G115" s="1" t="s">
        <v>1109</v>
      </c>
      <c r="H115" s="1" t="s">
        <v>982</v>
      </c>
    </row>
    <row r="116" spans="1:8" ht="46.2" customHeight="1">
      <c r="A116" s="1" t="s">
        <v>7461</v>
      </c>
      <c r="B116" s="1" t="s">
        <v>6285</v>
      </c>
      <c r="C116" s="1" t="s">
        <v>4263</v>
      </c>
      <c r="D116" s="1" t="s">
        <v>2895</v>
      </c>
      <c r="E116" s="12">
        <f>F116</f>
        <v>418.40000000000003</v>
      </c>
      <c r="F116" s="12">
        <f>('Physical Definitions'!E16/('Physical Definitions'!E22))*SI!E2*SI!E3/(SI!E5*POWER(SI!E4,3))</f>
        <v>418.40000000000003</v>
      </c>
      <c r="G116" s="1" t="s">
        <v>1109</v>
      </c>
      <c r="H116" s="1" t="s">
        <v>982</v>
      </c>
    </row>
    <row r="117" spans="1:8" ht="16.5">
      <c r="A117" s="1" t="s">
        <v>204</v>
      </c>
      <c r="B117" s="1" t="s">
        <v>26</v>
      </c>
      <c r="C117" s="1" t="s">
        <v>4263</v>
      </c>
      <c r="D117" s="1" t="s">
        <v>2895</v>
      </c>
      <c r="E117" s="12">
        <f>100*F117</f>
        <v>100</v>
      </c>
      <c r="F117" s="12">
        <f>SI!E2*SI!E3/(SI!E5*POWER(SI!E4,3))</f>
        <v>1</v>
      </c>
      <c r="G117" s="1" t="s">
        <v>1109</v>
      </c>
      <c r="H117" s="1" t="s">
        <v>36</v>
      </c>
    </row>
    <row r="118" spans="1:8" ht="28.8">
      <c r="A118" s="1" t="s">
        <v>5986</v>
      </c>
      <c r="B118" s="1" t="s">
        <v>5985</v>
      </c>
      <c r="C118" s="1" t="s">
        <v>4263</v>
      </c>
      <c r="D118" s="1" t="s">
        <v>2895</v>
      </c>
      <c r="E118" s="12">
        <f>F118/'Physical Definitions'!E22</f>
        <v>100</v>
      </c>
      <c r="F118" s="12">
        <f>SI!E2*SI!E3/(SI!E5*POWER(SI!E4,3))</f>
        <v>1</v>
      </c>
      <c r="G118" s="1" t="s">
        <v>1109</v>
      </c>
      <c r="H118" s="1" t="s">
        <v>42</v>
      </c>
    </row>
    <row r="119" spans="1:8" ht="28.8">
      <c r="A119" s="1" t="s">
        <v>5987</v>
      </c>
      <c r="B119" s="1" t="s">
        <v>5988</v>
      </c>
      <c r="C119" s="1" t="s">
        <v>4263</v>
      </c>
      <c r="D119" s="1" t="s">
        <v>2895</v>
      </c>
      <c r="E119" s="12">
        <f>F119</f>
        <v>1</v>
      </c>
      <c r="F119" s="12">
        <f>SI!E2*SI!E3/(SI!E5*POWER(SI!E4,3))</f>
        <v>1</v>
      </c>
      <c r="G119" s="1" t="s">
        <v>1109</v>
      </c>
      <c r="H119" s="1" t="s">
        <v>42</v>
      </c>
    </row>
    <row r="120" spans="1:8" ht="28.8">
      <c r="A120" s="1" t="s">
        <v>5990</v>
      </c>
      <c r="B120" s="1" t="s">
        <v>5989</v>
      </c>
      <c r="C120" s="1" t="s">
        <v>4263</v>
      </c>
      <c r="D120" s="1" t="s">
        <v>2895</v>
      </c>
      <c r="E120" s="12">
        <f>100*F120</f>
        <v>100</v>
      </c>
      <c r="F120" s="12">
        <f>SI!E2*SI!E3/(SI!E5*POWER(SI!E4,3))</f>
        <v>1</v>
      </c>
      <c r="G120" s="1" t="s">
        <v>1109</v>
      </c>
      <c r="H120" s="1" t="s">
        <v>36</v>
      </c>
    </row>
    <row r="121" spans="1:8" ht="52.5" customHeight="1">
      <c r="A121" s="1" t="s">
        <v>5991</v>
      </c>
      <c r="B121" s="1" t="s">
        <v>5992</v>
      </c>
      <c r="C121" s="1" t="s">
        <v>4263</v>
      </c>
      <c r="D121" s="1" t="s">
        <v>2895</v>
      </c>
      <c r="E121" s="12">
        <f>F121/'Physical Definitions'!E22</f>
        <v>100</v>
      </c>
      <c r="F121" s="12">
        <f>SI!E2*SI!E3/(SI!E5*POWER(SI!E4,3))</f>
        <v>1</v>
      </c>
      <c r="G121" s="1" t="s">
        <v>1109</v>
      </c>
      <c r="H121" s="1" t="s">
        <v>42</v>
      </c>
    </row>
    <row r="122" spans="1:8" ht="16.5">
      <c r="A122" s="1" t="s">
        <v>5994</v>
      </c>
      <c r="B122" s="1" t="s">
        <v>5993</v>
      </c>
      <c r="C122" s="1" t="s">
        <v>4263</v>
      </c>
      <c r="D122" s="1" t="s">
        <v>2895</v>
      </c>
      <c r="E122" s="12">
        <f>F122</f>
        <v>1</v>
      </c>
      <c r="F122" s="12">
        <f>SI!E2*SI!E3/(SI!E5*POWER(SI!E4,3))</f>
        <v>1</v>
      </c>
      <c r="G122" s="1" t="s">
        <v>1109</v>
      </c>
      <c r="H122" s="1" t="s">
        <v>42</v>
      </c>
    </row>
    <row r="123" spans="1:8">
      <c r="A123" s="248"/>
      <c r="B123" s="248"/>
      <c r="C123" s="248"/>
      <c r="D123" s="248"/>
      <c r="E123" s="250"/>
      <c r="F123" s="250"/>
      <c r="G123" s="248"/>
      <c r="H123" s="248"/>
    </row>
    <row r="124" spans="1:8" ht="28.8">
      <c r="A124" s="1" t="s">
        <v>5995</v>
      </c>
      <c r="B124" s="1" t="s">
        <v>1568</v>
      </c>
      <c r="C124" s="1" t="s">
        <v>4262</v>
      </c>
      <c r="D124" s="1" t="s">
        <v>2877</v>
      </c>
      <c r="E124" s="12">
        <f>F124</f>
        <v>1E-3</v>
      </c>
      <c r="F124" s="12">
        <f>('Physical Definitions'!E24/'Physical Definitions'!E22)*SI!E2/POWER(SI!E4,2)</f>
        <v>1E-3</v>
      </c>
      <c r="G124" s="1" t="s">
        <v>1124</v>
      </c>
      <c r="H124" s="1" t="s">
        <v>36</v>
      </c>
    </row>
    <row r="125" spans="1:8" ht="28.8">
      <c r="A125" s="1" t="s">
        <v>5996</v>
      </c>
      <c r="B125" s="1" t="s">
        <v>1579</v>
      </c>
      <c r="C125" s="1" t="s">
        <v>4262</v>
      </c>
      <c r="D125" s="1" t="s">
        <v>2877</v>
      </c>
      <c r="E125" s="12">
        <f>0.001*F125</f>
        <v>1E-3</v>
      </c>
      <c r="F125" s="12">
        <f>SI!E2/POWER(SI!E4,2)</f>
        <v>1</v>
      </c>
      <c r="G125" s="1" t="s">
        <v>1124</v>
      </c>
      <c r="H125" s="1" t="s">
        <v>36</v>
      </c>
    </row>
    <row r="126" spans="1:8" ht="28.8">
      <c r="A126" s="1" t="s">
        <v>270</v>
      </c>
      <c r="B126" s="1" t="s">
        <v>26</v>
      </c>
      <c r="C126" s="1" t="s">
        <v>4262</v>
      </c>
      <c r="D126" s="1" t="s">
        <v>2877</v>
      </c>
      <c r="E126" s="12">
        <f>4.1855*F126/POWER('Physical Definitions'!E22,2)</f>
        <v>41855</v>
      </c>
      <c r="F126" s="166">
        <f>SI!E2/POWER(SI!E4,2)</f>
        <v>1</v>
      </c>
      <c r="G126" s="1" t="s">
        <v>1124</v>
      </c>
      <c r="H126" s="1" t="s">
        <v>1148</v>
      </c>
    </row>
    <row r="127" spans="1:8" ht="28.8">
      <c r="A127" s="1" t="s">
        <v>270</v>
      </c>
      <c r="B127" s="1" t="s">
        <v>26</v>
      </c>
      <c r="C127" s="1" t="s">
        <v>4262</v>
      </c>
      <c r="D127" s="1" t="s">
        <v>2877</v>
      </c>
      <c r="E127" s="12">
        <f>F127</f>
        <v>41855</v>
      </c>
      <c r="F127" s="12">
        <f>('Physical Measurements'!E22/POWER('Physical Definitions'!E22,2))*SI!E2/POWER(SI!E4,2)</f>
        <v>41855</v>
      </c>
      <c r="G127" s="1" t="s">
        <v>1124</v>
      </c>
      <c r="H127" s="1" t="s">
        <v>58</v>
      </c>
    </row>
    <row r="128" spans="1:8" ht="28.8">
      <c r="A128" s="1" t="s">
        <v>5997</v>
      </c>
      <c r="B128" s="1" t="s">
        <v>201</v>
      </c>
      <c r="C128" s="1" t="s">
        <v>4262</v>
      </c>
      <c r="D128" s="1" t="s">
        <v>2877</v>
      </c>
      <c r="E128" s="12">
        <f>1E-26*F128</f>
        <v>1E-26</v>
      </c>
      <c r="F128" s="12">
        <f>SI!E2/POWER(SI!E4,2)</f>
        <v>1</v>
      </c>
      <c r="G128" s="1" t="s">
        <v>1124</v>
      </c>
      <c r="H128" s="1" t="s">
        <v>982</v>
      </c>
    </row>
    <row r="129" spans="1:8" ht="28.8">
      <c r="A129" s="1" t="s">
        <v>5998</v>
      </c>
      <c r="B129" s="1" t="s">
        <v>1778</v>
      </c>
      <c r="C129" s="1" t="s">
        <v>4262</v>
      </c>
      <c r="D129" s="1" t="s">
        <v>2877</v>
      </c>
      <c r="E129" s="12">
        <f>F129</f>
        <v>1</v>
      </c>
      <c r="F129" s="12">
        <f>SI!E2/POWER(SI!E4,2)</f>
        <v>1</v>
      </c>
      <c r="G129" s="1" t="s">
        <v>1124</v>
      </c>
      <c r="H129" s="1" t="s">
        <v>42</v>
      </c>
    </row>
    <row r="130" spans="1:8">
      <c r="A130" s="248"/>
      <c r="B130" s="248"/>
      <c r="C130" s="248"/>
      <c r="D130" s="248"/>
      <c r="E130" s="250"/>
      <c r="F130" s="250"/>
      <c r="G130" s="248"/>
      <c r="H130" s="248"/>
    </row>
    <row r="131" spans="1:8" ht="28.8">
      <c r="A131" s="1" t="s">
        <v>7462</v>
      </c>
      <c r="B131" s="1" t="s">
        <v>5999</v>
      </c>
      <c r="C131" s="1" t="s">
        <v>107</v>
      </c>
      <c r="D131" s="1" t="s">
        <v>2904</v>
      </c>
      <c r="E131" s="12">
        <f>F131</f>
        <v>1899.1005347160001</v>
      </c>
      <c r="F131" s="12">
        <f>(9*'Physical Definitions'!E15/5)*SI!E2*POWER(SI!E3/SI!E4,2)/SI!E5</f>
        <v>1899.1005347160001</v>
      </c>
      <c r="G131" s="1" t="s">
        <v>1108</v>
      </c>
      <c r="H131" s="1" t="s">
        <v>1148</v>
      </c>
    </row>
    <row r="132" spans="1:8" ht="16.5">
      <c r="A132" s="1" t="s">
        <v>119</v>
      </c>
      <c r="B132" s="1" t="s">
        <v>26</v>
      </c>
      <c r="C132" s="1" t="s">
        <v>107</v>
      </c>
      <c r="D132" s="1" t="s">
        <v>2904</v>
      </c>
      <c r="E132" s="12">
        <f>1*F132</f>
        <v>1</v>
      </c>
      <c r="F132" s="12">
        <f>SI!E2*POWER(SI!E3/SI!E4,2)/SI!E5</f>
        <v>1</v>
      </c>
      <c r="G132" s="1" t="s">
        <v>1108</v>
      </c>
      <c r="H132" s="1" t="s">
        <v>982</v>
      </c>
    </row>
    <row r="133" spans="1:8" ht="16.5">
      <c r="A133" s="1" t="s">
        <v>6000</v>
      </c>
      <c r="B133" s="1" t="s">
        <v>138</v>
      </c>
      <c r="C133" s="1" t="s">
        <v>107</v>
      </c>
      <c r="D133" s="1" t="s">
        <v>2904</v>
      </c>
      <c r="E133" s="12">
        <f>F133</f>
        <v>4.1867999999999999</v>
      </c>
      <c r="F133" s="12">
        <f>'Physical Definitions'!E18*SI!E2*POWER(SI!E3/SI!E4,2)/SI!E5</f>
        <v>4.1867999999999999</v>
      </c>
      <c r="G133" s="1" t="s">
        <v>1108</v>
      </c>
      <c r="H133" s="1" t="s">
        <v>982</v>
      </c>
    </row>
    <row r="134" spans="1:8" ht="16.5">
      <c r="A134" s="1" t="s">
        <v>6001</v>
      </c>
      <c r="B134" s="1" t="s">
        <v>4310</v>
      </c>
      <c r="C134" s="1" t="s">
        <v>107</v>
      </c>
      <c r="D134" s="1" t="s">
        <v>2904</v>
      </c>
      <c r="E134" s="12">
        <f>F134</f>
        <v>1</v>
      </c>
      <c r="F134" s="12">
        <f>SI!E2*POWER(SI!E3/SI!E4,2)/SI!E5</f>
        <v>1</v>
      </c>
      <c r="G134" s="1" t="s">
        <v>1108</v>
      </c>
      <c r="H134" s="1" t="s">
        <v>42</v>
      </c>
    </row>
    <row r="135" spans="1:8" ht="16.5">
      <c r="A135" s="1" t="s">
        <v>7502</v>
      </c>
      <c r="B135" s="1" t="s">
        <v>1443</v>
      </c>
      <c r="C135" s="1" t="s">
        <v>107</v>
      </c>
      <c r="D135" s="1" t="s">
        <v>2904</v>
      </c>
      <c r="E135" s="12">
        <f>F135</f>
        <v>1</v>
      </c>
      <c r="F135" s="12">
        <f>SI!E2*POWER(SI!E3/SI!E4,2)/SI!E5</f>
        <v>1</v>
      </c>
      <c r="G135" s="1" t="s">
        <v>1108</v>
      </c>
      <c r="H135" s="1" t="s">
        <v>42</v>
      </c>
    </row>
    <row r="136" spans="1:8">
      <c r="A136" s="248"/>
      <c r="B136" s="248"/>
      <c r="C136" s="248"/>
      <c r="D136" s="248"/>
      <c r="E136" s="250"/>
      <c r="F136" s="250"/>
      <c r="G136" s="248"/>
      <c r="H136" s="248"/>
    </row>
    <row r="137" spans="1:8" ht="16.5">
      <c r="A137" s="1" t="s">
        <v>6002</v>
      </c>
      <c r="B137" s="1" t="s">
        <v>3024</v>
      </c>
      <c r="C137" s="1" t="s">
        <v>4261</v>
      </c>
      <c r="D137" s="1" t="s">
        <v>2918</v>
      </c>
      <c r="E137" s="12">
        <f>F137</f>
        <v>4.1840000000000002</v>
      </c>
      <c r="F137" s="12">
        <f>'Physical Definitions'!E16*SI!E2*POWER(SI!E3/SI!E4,2)/(SI!E5*SI!E6)</f>
        <v>4.1840000000000002</v>
      </c>
      <c r="G137" s="1" t="s">
        <v>1127</v>
      </c>
      <c r="H137" s="1" t="s">
        <v>982</v>
      </c>
    </row>
    <row r="138" spans="1:8" ht="16.5">
      <c r="A138" s="1" t="s">
        <v>6003</v>
      </c>
      <c r="B138" s="1" t="s">
        <v>3023</v>
      </c>
      <c r="C138" s="1" t="s">
        <v>4261</v>
      </c>
      <c r="D138" s="1" t="s">
        <v>2918</v>
      </c>
      <c r="E138" s="12">
        <f>F138</f>
        <v>4.1840000000000002</v>
      </c>
      <c r="F138" s="12">
        <f>'Physical Definitions'!E16*SI!E2*POWER(SI!E3/SI!E4,2)/(SI!E5*SI!E6)</f>
        <v>4.1840000000000002</v>
      </c>
      <c r="G138" s="1" t="s">
        <v>1127</v>
      </c>
      <c r="H138" s="1" t="s">
        <v>982</v>
      </c>
    </row>
    <row r="139" spans="1:8" ht="16.5">
      <c r="A139" s="1" t="s">
        <v>6005</v>
      </c>
      <c r="B139" s="1" t="s">
        <v>6004</v>
      </c>
      <c r="C139" s="1" t="s">
        <v>4261</v>
      </c>
      <c r="D139" s="1" t="s">
        <v>2918</v>
      </c>
      <c r="E139" s="12">
        <f>F139</f>
        <v>1</v>
      </c>
      <c r="F139" s="12">
        <f>SI!E2*POWER(SI!E3/SI!E4,2)/(SI!E5*SI!E6)</f>
        <v>1</v>
      </c>
      <c r="G139" s="1" t="s">
        <v>1127</v>
      </c>
      <c r="H139" s="1" t="s">
        <v>42</v>
      </c>
    </row>
    <row r="140" spans="1:8">
      <c r="A140" s="48"/>
      <c r="B140" s="48"/>
      <c r="C140" s="48"/>
      <c r="D140" s="48"/>
      <c r="E140" s="48"/>
      <c r="F140" s="48"/>
      <c r="G140" s="48"/>
      <c r="H140" s="48"/>
    </row>
    <row r="141" spans="1:8" ht="57.6">
      <c r="A141" s="1" t="s">
        <v>355</v>
      </c>
      <c r="B141" s="1" t="s">
        <v>26</v>
      </c>
      <c r="C141" s="1" t="s">
        <v>4260</v>
      </c>
      <c r="D141" s="1" t="s">
        <v>2902</v>
      </c>
      <c r="E141" s="12">
        <f>F141</f>
        <v>0.17611018368230585</v>
      </c>
      <c r="F141" s="12">
        <f>(5*'Physical Definitions'!E5*POWER(Systems!D6,2)/(9*'Physical Definitions'!E15))*POWER(SI!E4,3)*SI!E5/SI!E2</f>
        <v>0.17611018368230585</v>
      </c>
      <c r="G141" s="1" t="s">
        <v>1118</v>
      </c>
      <c r="H141" s="1" t="s">
        <v>1148</v>
      </c>
    </row>
    <row r="142" spans="1:8" ht="57.6">
      <c r="A142" s="1" t="s">
        <v>137</v>
      </c>
      <c r="B142" s="1" t="s">
        <v>26</v>
      </c>
      <c r="C142" s="1" t="s">
        <v>4260</v>
      </c>
      <c r="D142" s="1" t="s">
        <v>2902</v>
      </c>
      <c r="E142" s="12">
        <f>0.648*F142/'Physical Measurements'!E22</f>
        <v>0.1548202126388723</v>
      </c>
      <c r="F142" s="166">
        <f>POWER(SI!E4,2)*SI!E5/SI!E2</f>
        <v>1</v>
      </c>
      <c r="G142" s="1" t="s">
        <v>1118</v>
      </c>
      <c r="H142" s="1" t="s">
        <v>46</v>
      </c>
    </row>
    <row r="143" spans="1:8" ht="57.6">
      <c r="A143" s="1" t="s">
        <v>407</v>
      </c>
      <c r="B143" s="1" t="s">
        <v>26</v>
      </c>
      <c r="C143" s="1" t="s">
        <v>4260</v>
      </c>
      <c r="D143" s="1" t="s">
        <v>2902</v>
      </c>
      <c r="E143" s="12">
        <f>0.1*F143</f>
        <v>0.1</v>
      </c>
      <c r="F143" s="12">
        <f>POWER(SI!E4,2)*SI!E5/SI!E2</f>
        <v>1</v>
      </c>
      <c r="G143" s="1" t="s">
        <v>1118</v>
      </c>
      <c r="H143" s="1" t="s">
        <v>46</v>
      </c>
    </row>
    <row r="144" spans="1:8">
      <c r="A144" s="48"/>
      <c r="B144" s="48"/>
      <c r="C144" s="48"/>
      <c r="D144" s="48"/>
      <c r="E144" s="48"/>
      <c r="F144" s="48"/>
      <c r="G144" s="48"/>
      <c r="H144" s="48"/>
    </row>
    <row r="145" spans="1:8" ht="16.5">
      <c r="A145" s="1" t="s">
        <v>105</v>
      </c>
      <c r="B145" s="1" t="s">
        <v>91</v>
      </c>
      <c r="C145" s="1" t="s">
        <v>4259</v>
      </c>
      <c r="D145" s="1" t="s">
        <v>2891</v>
      </c>
      <c r="E145" s="12">
        <f>0.0000000000001*F145</f>
        <v>9.9999999999999998E-13</v>
      </c>
      <c r="F145" s="12">
        <f>(POWER('Physical Definitions'!E22,2)/'Physical Definitions'!E24)*SI!E3*POWER(SI!E4,2)/SI!E2</f>
        <v>10</v>
      </c>
      <c r="G145" s="1" t="s">
        <v>1106</v>
      </c>
      <c r="H145" s="1" t="s">
        <v>36</v>
      </c>
    </row>
    <row r="146" spans="1:8" ht="16.5">
      <c r="A146" s="1" t="s">
        <v>6006</v>
      </c>
      <c r="B146" s="1" t="s">
        <v>518</v>
      </c>
      <c r="C146" s="1" t="s">
        <v>4259</v>
      </c>
      <c r="D146" s="1" t="s">
        <v>2891</v>
      </c>
      <c r="E146" s="12">
        <f>F146</f>
        <v>7.8657907200000015E-9</v>
      </c>
      <c r="F146" s="12">
        <f>(POWER(Systems!D6,3)/(1000*'Physical Definitions'!E5))*SI!E3*POWER(SI!E4,2)/SI!E2</f>
        <v>7.8657907200000015E-9</v>
      </c>
      <c r="G146" s="1" t="s">
        <v>1106</v>
      </c>
      <c r="H146" s="1" t="s">
        <v>47</v>
      </c>
    </row>
    <row r="147" spans="1:8" ht="16.5">
      <c r="A147" s="1" t="s">
        <v>6007</v>
      </c>
      <c r="B147" s="1" t="s">
        <v>6286</v>
      </c>
      <c r="C147" s="1" t="s">
        <v>4259</v>
      </c>
      <c r="D147" s="1" t="s">
        <v>2891</v>
      </c>
      <c r="E147" s="12">
        <f>F147</f>
        <v>1.4100891168214785E-9</v>
      </c>
      <c r="F147" s="12">
        <f>(Systems!P8/('Physical Definitions'!E5*550*Systems!D6*Systems!L6*'Physical Definitions'!E13))*SI!E3*POWER(SI!E4,2)/SI!E2</f>
        <v>1.4100891168214785E-9</v>
      </c>
      <c r="G147" s="1" t="s">
        <v>1106</v>
      </c>
      <c r="H147" s="1" t="s">
        <v>47</v>
      </c>
    </row>
    <row r="148" spans="1:8">
      <c r="A148" s="48"/>
      <c r="B148" s="48"/>
      <c r="C148" s="48"/>
      <c r="D148" s="48"/>
      <c r="E148" s="48"/>
      <c r="F148" s="48"/>
      <c r="G148" s="48"/>
      <c r="H148" s="48"/>
    </row>
    <row r="149" spans="1:8" ht="16.5">
      <c r="A149" s="1" t="s">
        <v>283</v>
      </c>
      <c r="B149" s="1" t="s">
        <v>26</v>
      </c>
      <c r="C149" s="1" t="s">
        <v>4258</v>
      </c>
      <c r="D149" s="1" t="s">
        <v>2913</v>
      </c>
      <c r="E149" s="12">
        <f>0.001*F149</f>
        <v>1E-3</v>
      </c>
      <c r="F149" s="12">
        <f>POWER(SI!E3/SI!E4,2)/SI!E5</f>
        <v>1</v>
      </c>
      <c r="G149" s="1" t="s">
        <v>1107</v>
      </c>
      <c r="H149" s="1" t="s">
        <v>982</v>
      </c>
    </row>
    <row r="150" spans="1:8" ht="28.8">
      <c r="A150" s="1" t="s">
        <v>7463</v>
      </c>
      <c r="B150" s="1" t="s">
        <v>6008</v>
      </c>
      <c r="C150" s="1" t="s">
        <v>4258</v>
      </c>
      <c r="D150" s="1" t="s">
        <v>2913</v>
      </c>
      <c r="E150" s="12">
        <f>F150</f>
        <v>4186.7999999999993</v>
      </c>
      <c r="F150" s="12">
        <f>(9*'Physical Definitions'!E15/(5*Systems!L6))*POWER(SI!E3/SI!E4,2)/SI!E5</f>
        <v>4186.7999999999993</v>
      </c>
      <c r="G150" s="1" t="s">
        <v>1107</v>
      </c>
      <c r="H150" s="1" t="s">
        <v>46</v>
      </c>
    </row>
    <row r="151" spans="1:8" ht="28.8">
      <c r="A151" s="1" t="s">
        <v>7464</v>
      </c>
      <c r="B151" s="1" t="s">
        <v>6009</v>
      </c>
      <c r="C151" s="1" t="s">
        <v>4258</v>
      </c>
      <c r="D151" s="1" t="s">
        <v>2913</v>
      </c>
      <c r="E151" s="12">
        <f>F151</f>
        <v>4184</v>
      </c>
      <c r="F151" s="12">
        <f>(1000*Systems!L6*'Physical Definitions'!E16/(Systems!L6))*POWER(SI!E3/SI!E4,2)/SI!E5</f>
        <v>4184</v>
      </c>
      <c r="G151" s="1" t="s">
        <v>1107</v>
      </c>
      <c r="H151" s="1" t="s">
        <v>46</v>
      </c>
    </row>
    <row r="152" spans="1:8">
      <c r="A152" s="248"/>
      <c r="B152" s="248"/>
      <c r="C152" s="248"/>
      <c r="D152" s="248"/>
      <c r="E152" s="250"/>
      <c r="F152" s="250"/>
      <c r="G152" s="248"/>
      <c r="H152" s="248"/>
    </row>
    <row r="153" spans="1:8" ht="16.5">
      <c r="A153" s="1" t="s">
        <v>6018</v>
      </c>
      <c r="B153" s="1" t="s">
        <v>6010</v>
      </c>
      <c r="C153" s="1" t="s">
        <v>4257</v>
      </c>
      <c r="D153" s="1" t="s">
        <v>2916</v>
      </c>
      <c r="E153" s="12">
        <f>F153</f>
        <v>4184</v>
      </c>
      <c r="F153" s="12">
        <f>'Physical Definitions'!E16/'Physical Definitions'!E26</f>
        <v>4184</v>
      </c>
      <c r="G153" s="1" t="s">
        <v>1114</v>
      </c>
      <c r="H153" s="1" t="s">
        <v>982</v>
      </c>
    </row>
    <row r="154" spans="1:8" ht="16.5">
      <c r="A154" s="1" t="s">
        <v>6019</v>
      </c>
      <c r="B154" s="1" t="s">
        <v>6011</v>
      </c>
      <c r="C154" s="1" t="s">
        <v>4257</v>
      </c>
      <c r="D154" s="1" t="s">
        <v>2916</v>
      </c>
      <c r="E154" s="12">
        <f>F154</f>
        <v>4.1840000000000002</v>
      </c>
      <c r="F154" s="12">
        <f>'Physical Definitions'!E16</f>
        <v>4.1840000000000002</v>
      </c>
      <c r="G154" s="1" t="s">
        <v>1114</v>
      </c>
      <c r="H154" s="1" t="s">
        <v>982</v>
      </c>
    </row>
    <row r="155" spans="1:8" ht="16.5">
      <c r="A155" s="1" t="s">
        <v>6020</v>
      </c>
      <c r="B155" s="1" t="s">
        <v>6012</v>
      </c>
      <c r="C155" s="1" t="s">
        <v>4257</v>
      </c>
      <c r="D155" s="1" t="s">
        <v>2916</v>
      </c>
      <c r="E155" s="12">
        <f>F155</f>
        <v>4186.8</v>
      </c>
      <c r="F155" s="12">
        <f>'Physical Definitions'!E18/'Physical Definitions'!E26</f>
        <v>4186.8</v>
      </c>
      <c r="G155" s="1" t="s">
        <v>1114</v>
      </c>
      <c r="H155" s="1" t="s">
        <v>982</v>
      </c>
    </row>
    <row r="156" spans="1:8" ht="16.5">
      <c r="A156" s="1" t="s">
        <v>6021</v>
      </c>
      <c r="B156" s="1" t="s">
        <v>6013</v>
      </c>
      <c r="C156" s="1" t="s">
        <v>4257</v>
      </c>
      <c r="D156" s="1" t="s">
        <v>2916</v>
      </c>
      <c r="E156" s="12">
        <f>F156</f>
        <v>4.1867999999999999</v>
      </c>
      <c r="F156" s="12">
        <f>'Physical Definitions'!E18</f>
        <v>4.1867999999999999</v>
      </c>
      <c r="G156" s="1" t="s">
        <v>1114</v>
      </c>
      <c r="H156" s="1" t="s">
        <v>982</v>
      </c>
    </row>
    <row r="157" spans="1:8" ht="16.5">
      <c r="A157" s="1" t="s">
        <v>6022</v>
      </c>
      <c r="B157" s="1" t="s">
        <v>6014</v>
      </c>
      <c r="C157" s="1" t="s">
        <v>4257</v>
      </c>
      <c r="D157" s="1" t="s">
        <v>2916</v>
      </c>
      <c r="E157" s="12">
        <f>'Physical Measurements'!E25*F157/'Physical Definitions'!E26</f>
        <v>4190.0199999999995</v>
      </c>
      <c r="F157" s="12">
        <f>SI!E2*POWER(SI!E3/SI!E4,2)</f>
        <v>1</v>
      </c>
      <c r="G157" s="1" t="s">
        <v>1114</v>
      </c>
      <c r="H157" s="1" t="s">
        <v>982</v>
      </c>
    </row>
    <row r="158" spans="1:8" ht="16.5">
      <c r="A158" s="1" t="s">
        <v>6023</v>
      </c>
      <c r="B158" s="1" t="s">
        <v>6015</v>
      </c>
      <c r="C158" s="1" t="s">
        <v>4257</v>
      </c>
      <c r="D158" s="1" t="s">
        <v>2916</v>
      </c>
      <c r="E158" s="12">
        <f>'Physical Measurements'!E25*F158</f>
        <v>4.1900199999999996</v>
      </c>
      <c r="F158" s="12">
        <f>SI!E2*POWER(SI!E3/SI!E4,2)</f>
        <v>1</v>
      </c>
      <c r="G158" s="1" t="s">
        <v>1114</v>
      </c>
      <c r="H158" s="1" t="s">
        <v>982</v>
      </c>
    </row>
    <row r="159" spans="1:8" ht="16.5">
      <c r="A159" s="1" t="s">
        <v>6024</v>
      </c>
      <c r="B159" s="1" t="s">
        <v>4085</v>
      </c>
      <c r="C159" s="1" t="s">
        <v>4257</v>
      </c>
      <c r="D159" s="1" t="s">
        <v>2916</v>
      </c>
      <c r="E159" s="12">
        <f>1000*F159</f>
        <v>4184</v>
      </c>
      <c r="F159" s="12">
        <f>'Physical Definitions'!E16*SI!E2*POWER(SI!E3/SI!E4,2)</f>
        <v>4.1840000000000002</v>
      </c>
      <c r="G159" s="1" t="s">
        <v>1114</v>
      </c>
      <c r="H159" s="1" t="s">
        <v>982</v>
      </c>
    </row>
    <row r="160" spans="1:8" ht="16.5">
      <c r="A160" s="1" t="s">
        <v>6025</v>
      </c>
      <c r="B160" s="1" t="s">
        <v>6016</v>
      </c>
      <c r="C160" s="1" t="s">
        <v>4257</v>
      </c>
      <c r="D160" s="1" t="s">
        <v>2916</v>
      </c>
      <c r="E160" s="12">
        <f>'Physical Measurements'!E22*F160</f>
        <v>4.1855000000000002</v>
      </c>
      <c r="F160" s="12">
        <f>SI!E2*POWER(SI!E3/SI!E4,2)</f>
        <v>1</v>
      </c>
      <c r="G160" s="1" t="s">
        <v>1114</v>
      </c>
      <c r="H160" s="1" t="s">
        <v>982</v>
      </c>
    </row>
    <row r="161" spans="1:8" ht="16.5">
      <c r="A161" s="1" t="s">
        <v>6026</v>
      </c>
      <c r="B161" s="1" t="s">
        <v>4083</v>
      </c>
      <c r="C161" s="1" t="s">
        <v>4257</v>
      </c>
      <c r="D161" s="1" t="s">
        <v>2916</v>
      </c>
      <c r="E161" s="12">
        <f>'Physical Measurements'!E23*F161</f>
        <v>4.1900199999999996</v>
      </c>
      <c r="F161" s="12">
        <f>SI!E2*POWER(SI!E3/SI!E4,2)</f>
        <v>1</v>
      </c>
      <c r="G161" s="1" t="s">
        <v>1114</v>
      </c>
      <c r="H161" s="1" t="s">
        <v>982</v>
      </c>
    </row>
    <row r="162" spans="1:8" ht="16.5">
      <c r="A162" s="1" t="s">
        <v>6027</v>
      </c>
      <c r="B162" s="1" t="s">
        <v>4084</v>
      </c>
      <c r="C162" s="1" t="s">
        <v>4257</v>
      </c>
      <c r="D162" s="1" t="s">
        <v>2916</v>
      </c>
      <c r="E162" s="12">
        <f>'Physical Measurements'!E24*F162</f>
        <v>4.2045000000000003</v>
      </c>
      <c r="F162" s="12">
        <f>SI!E2*POWER(SI!E3/SI!E4,2)</f>
        <v>1</v>
      </c>
      <c r="G162" s="1" t="s">
        <v>1114</v>
      </c>
      <c r="H162" s="1" t="s">
        <v>982</v>
      </c>
    </row>
    <row r="163" spans="1:8" ht="16.5">
      <c r="A163" s="1" t="s">
        <v>6028</v>
      </c>
      <c r="B163" s="1" t="s">
        <v>4086</v>
      </c>
      <c r="C163" s="1" t="s">
        <v>4257</v>
      </c>
      <c r="D163" s="1" t="s">
        <v>2916</v>
      </c>
      <c r="E163" s="12">
        <f>1000*F163/'Physical Definitions'!E26</f>
        <v>4184000</v>
      </c>
      <c r="F163" s="12">
        <f>'Physical Definitions'!E16*SI!E2*POWER(SI!E3/SI!E4,2)</f>
        <v>4.1840000000000002</v>
      </c>
      <c r="G163" s="1" t="s">
        <v>1114</v>
      </c>
      <c r="H163" s="1" t="s">
        <v>982</v>
      </c>
    </row>
    <row r="164" spans="1:8" ht="16.5">
      <c r="A164" s="1" t="s">
        <v>6029</v>
      </c>
      <c r="B164" s="1" t="s">
        <v>6017</v>
      </c>
      <c r="C164" s="1" t="s">
        <v>4257</v>
      </c>
      <c r="D164" s="1" t="s">
        <v>2916</v>
      </c>
      <c r="E164" s="12">
        <f>'Physical Measurements'!E22*F164/'Physical Definitions'!E26</f>
        <v>4185.5</v>
      </c>
      <c r="F164" s="12">
        <f>SI!E2*POWER(SI!E3/SI!E4,2)</f>
        <v>1</v>
      </c>
      <c r="G164" s="1" t="s">
        <v>1114</v>
      </c>
      <c r="H164" s="1" t="s">
        <v>982</v>
      </c>
    </row>
    <row r="165" spans="1:8" ht="16.5">
      <c r="A165" s="1" t="s">
        <v>6030</v>
      </c>
      <c r="B165" s="1" t="s">
        <v>4311</v>
      </c>
      <c r="C165" s="1" t="s">
        <v>4257</v>
      </c>
      <c r="D165" s="1" t="s">
        <v>2916</v>
      </c>
      <c r="E165" s="12">
        <f>'Physical Measurements'!E23*F165/'Physical Definitions'!E26</f>
        <v>4190.0199999999995</v>
      </c>
      <c r="F165" s="12">
        <f>SI!E2*POWER(SI!E3/SI!E4,2)</f>
        <v>1</v>
      </c>
      <c r="G165" s="1" t="s">
        <v>1114</v>
      </c>
      <c r="H165" s="1" t="s">
        <v>982</v>
      </c>
    </row>
    <row r="166" spans="1:8" ht="16.5">
      <c r="A166" s="1" t="s">
        <v>6031</v>
      </c>
      <c r="B166" s="1" t="s">
        <v>4087</v>
      </c>
      <c r="C166" s="1" t="s">
        <v>4257</v>
      </c>
      <c r="D166" s="1" t="s">
        <v>2916</v>
      </c>
      <c r="E166" s="12">
        <f>'Physical Measurements'!E24*F166/'Physical Definitions'!E26</f>
        <v>4204.5</v>
      </c>
      <c r="F166" s="12">
        <f>SI!E2*POWER(SI!E3/SI!E4,2)</f>
        <v>1</v>
      </c>
      <c r="G166" s="1" t="s">
        <v>1114</v>
      </c>
      <c r="H166" s="1" t="s">
        <v>982</v>
      </c>
    </row>
    <row r="167" spans="1:8">
      <c r="A167" s="248"/>
      <c r="B167" s="248"/>
      <c r="C167" s="248"/>
      <c r="D167" s="248"/>
      <c r="E167" s="250"/>
      <c r="F167" s="250"/>
      <c r="G167" s="248"/>
      <c r="H167" s="248"/>
    </row>
  </sheetData>
  <sortState xmlns:xlrd2="http://schemas.microsoft.com/office/spreadsheetml/2017/richdata2" ref="A108:H122">
    <sortCondition ref="A107:A122"/>
  </sortState>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46E51-2F43-4EDF-BE81-5F40DC8FBE22}">
  <sheetPr codeName="Sheet1"/>
  <dimension ref="A1:L4695"/>
  <sheetViews>
    <sheetView topLeftCell="A2410" workbookViewId="0">
      <selection activeCell="F2429" sqref="F2429"/>
    </sheetView>
  </sheetViews>
  <sheetFormatPr defaultRowHeight="14.4"/>
  <cols>
    <col min="1" max="1" width="32.15625" style="1" customWidth="1"/>
    <col min="2" max="2" width="29.41796875" style="1" customWidth="1"/>
    <col min="3" max="3" width="28.578125" style="1" customWidth="1"/>
    <col min="4" max="4" width="23.26171875" style="1" customWidth="1"/>
    <col min="5" max="5" width="37" style="1" customWidth="1"/>
    <col min="6" max="6" width="21.3671875" style="12" customWidth="1"/>
    <col min="7" max="7" width="17" style="1" customWidth="1"/>
    <col min="8" max="8" width="18.26171875" style="1" customWidth="1"/>
  </cols>
  <sheetData>
    <row r="1" spans="1:8">
      <c r="A1" s="2" t="s">
        <v>11</v>
      </c>
      <c r="B1" s="2" t="s">
        <v>1</v>
      </c>
      <c r="C1" s="2" t="s">
        <v>2</v>
      </c>
      <c r="D1" s="2" t="s">
        <v>3</v>
      </c>
      <c r="E1" s="2" t="s">
        <v>4</v>
      </c>
      <c r="F1" s="128" t="s">
        <v>937</v>
      </c>
      <c r="G1" s="2" t="s">
        <v>0</v>
      </c>
      <c r="H1" s="2" t="s">
        <v>5</v>
      </c>
    </row>
    <row r="2" spans="1:8">
      <c r="A2" s="1" t="s">
        <v>4331</v>
      </c>
      <c r="B2" s="1" t="s">
        <v>2933</v>
      </c>
      <c r="C2" s="1" t="s">
        <v>3033</v>
      </c>
      <c r="D2" s="1" t="s">
        <v>19</v>
      </c>
      <c r="E2" s="12">
        <f>F2</f>
        <v>149597870700</v>
      </c>
      <c r="F2" s="12">
        <f>'Physical Definitions'!E31</f>
        <v>149597870700</v>
      </c>
      <c r="G2" s="1" t="s">
        <v>14</v>
      </c>
      <c r="H2" s="1" t="s">
        <v>202</v>
      </c>
    </row>
    <row r="3" spans="1:8">
      <c r="A3" s="1" t="s">
        <v>244</v>
      </c>
      <c r="B3" s="1" t="s">
        <v>26</v>
      </c>
      <c r="C3" s="1" t="s">
        <v>3033</v>
      </c>
      <c r="D3" s="1" t="s">
        <v>19</v>
      </c>
      <c r="E3" s="12">
        <f>1000000000*F3</f>
        <v>9.4542549554879996E+24</v>
      </c>
      <c r="F3" s="12">
        <f>'Physical Constants'!E3*'Physical Definitions'!E7</f>
        <v>9454254955488000</v>
      </c>
      <c r="G3" s="1" t="s">
        <v>14</v>
      </c>
      <c r="H3" s="1" t="s">
        <v>202</v>
      </c>
    </row>
    <row r="4" spans="1:8">
      <c r="A4" s="1" t="s">
        <v>4332</v>
      </c>
      <c r="B4" s="1" t="s">
        <v>2829</v>
      </c>
      <c r="C4" s="1" t="s">
        <v>3033</v>
      </c>
      <c r="D4" s="1" t="s">
        <v>19</v>
      </c>
      <c r="E4" s="12">
        <f>F4</f>
        <v>17987547480</v>
      </c>
      <c r="F4" s="12">
        <f>'Physical Constants'!E3*'Physical Definitions'!E4</f>
        <v>17987547480</v>
      </c>
      <c r="G4" s="1" t="s">
        <v>14</v>
      </c>
      <c r="H4" s="1" t="s">
        <v>202</v>
      </c>
    </row>
    <row r="5" spans="1:8">
      <c r="A5" s="1" t="s">
        <v>4333</v>
      </c>
      <c r="B5" s="1" t="s">
        <v>2929</v>
      </c>
      <c r="C5" s="1" t="s">
        <v>3033</v>
      </c>
      <c r="D5" s="1" t="s">
        <v>19</v>
      </c>
      <c r="E5" s="12">
        <f>F5</f>
        <v>299792458</v>
      </c>
      <c r="F5" s="12">
        <f>'Physical Constants'!E3*SI!E4</f>
        <v>299792458</v>
      </c>
      <c r="G5" s="1" t="s">
        <v>14</v>
      </c>
      <c r="H5" s="1" t="s">
        <v>202</v>
      </c>
    </row>
    <row r="6" spans="1:8">
      <c r="A6" s="1" t="s">
        <v>4334</v>
      </c>
      <c r="B6" s="1" t="s">
        <v>6978</v>
      </c>
      <c r="C6" s="1" t="s">
        <v>3033</v>
      </c>
      <c r="D6" s="1" t="s">
        <v>19</v>
      </c>
      <c r="E6" s="26">
        <f>F6</f>
        <v>9460730472580800</v>
      </c>
      <c r="F6" s="26">
        <f>'Physical Constants'!E3*'Physical Definitions'!E8</f>
        <v>9460730472580800</v>
      </c>
      <c r="G6" s="1" t="s">
        <v>14</v>
      </c>
      <c r="H6" s="1" t="s">
        <v>202</v>
      </c>
    </row>
    <row r="7" spans="1:8">
      <c r="A7" s="1" t="s">
        <v>318</v>
      </c>
      <c r="B7" s="1" t="s">
        <v>6979</v>
      </c>
      <c r="C7" s="1" t="s">
        <v>3033</v>
      </c>
      <c r="D7" s="1" t="s">
        <v>19</v>
      </c>
      <c r="E7" s="12">
        <f>(648000/PI())*F7</f>
        <v>3.0856775814913672E+16</v>
      </c>
      <c r="F7" s="12">
        <f>'Physical Definitions'!E31</f>
        <v>149597870700</v>
      </c>
      <c r="G7" s="1" t="s">
        <v>14</v>
      </c>
      <c r="H7" s="1" t="s">
        <v>202</v>
      </c>
    </row>
    <row r="8" spans="1:8">
      <c r="A8" s="1" t="s">
        <v>2521</v>
      </c>
      <c r="B8" s="1" t="s">
        <v>26</v>
      </c>
      <c r="C8" s="1" t="s">
        <v>3033</v>
      </c>
      <c r="D8" s="1" t="s">
        <v>19</v>
      </c>
      <c r="E8" s="12">
        <f>1000000*F8</f>
        <v>1.495978707E+17</v>
      </c>
      <c r="F8" s="12">
        <f>'Physical Definitions'!E31</f>
        <v>149597870700</v>
      </c>
      <c r="G8" s="1" t="s">
        <v>14</v>
      </c>
      <c r="H8" s="1" t="s">
        <v>202</v>
      </c>
    </row>
    <row r="9" spans="1:8">
      <c r="A9" s="1" t="s">
        <v>385</v>
      </c>
      <c r="B9" s="1" t="s">
        <v>26</v>
      </c>
      <c r="C9" s="1" t="s">
        <v>3033</v>
      </c>
      <c r="D9" s="1" t="s">
        <v>19</v>
      </c>
      <c r="E9" s="12">
        <f>5*F9</f>
        <v>1.5428387907456835E+17</v>
      </c>
      <c r="F9" s="12">
        <f>(648000/PI())*'Physical Definitions'!E31</f>
        <v>3.0856775814913672E+16</v>
      </c>
      <c r="G9" s="1" t="s">
        <v>14</v>
      </c>
      <c r="H9" s="1" t="s">
        <v>202</v>
      </c>
    </row>
    <row r="10" spans="1:8">
      <c r="A10" s="1" t="s">
        <v>389</v>
      </c>
      <c r="B10" s="1" t="s">
        <v>380</v>
      </c>
      <c r="C10" s="1" t="s">
        <v>3033</v>
      </c>
      <c r="D10" s="1" t="s">
        <v>19</v>
      </c>
      <c r="E10" s="12">
        <f>1000000000000*F10</f>
        <v>1000000000000</v>
      </c>
      <c r="F10" s="12">
        <f>SI!E3</f>
        <v>1</v>
      </c>
      <c r="G10" s="1" t="s">
        <v>14</v>
      </c>
      <c r="H10" s="1" t="s">
        <v>202</v>
      </c>
    </row>
    <row r="11" spans="1:8" ht="16.5">
      <c r="A11" s="1" t="s">
        <v>4340</v>
      </c>
      <c r="B11" s="1" t="s">
        <v>4348</v>
      </c>
      <c r="C11" s="1" t="s">
        <v>3034</v>
      </c>
      <c r="D11" s="1" t="s">
        <v>38</v>
      </c>
      <c r="E11" s="12">
        <f>F11</f>
        <v>9.5214061369184131E+32</v>
      </c>
      <c r="F11" s="12">
        <f>Systems!H3</f>
        <v>9.5214061369184131E+32</v>
      </c>
      <c r="G11" s="1" t="s">
        <v>39</v>
      </c>
      <c r="H11" s="1" t="s">
        <v>202</v>
      </c>
    </row>
    <row r="12" spans="1:8" ht="16.5">
      <c r="A12" s="1" t="s">
        <v>4341</v>
      </c>
      <c r="B12" s="1" t="s">
        <v>4349</v>
      </c>
      <c r="C12" s="1" t="s">
        <v>2936</v>
      </c>
      <c r="D12" s="1" t="s">
        <v>32</v>
      </c>
      <c r="E12" s="12">
        <f>F12</f>
        <v>2.9379989460963469E+49</v>
      </c>
      <c r="F12" s="12">
        <f>Systems!P3</f>
        <v>2.9379989460963469E+49</v>
      </c>
      <c r="G12" s="1" t="s">
        <v>33</v>
      </c>
      <c r="H12" s="1" t="s">
        <v>202</v>
      </c>
    </row>
    <row r="13" spans="1:8">
      <c r="A13" s="1" t="s">
        <v>4342</v>
      </c>
      <c r="B13" s="1" t="s">
        <v>26</v>
      </c>
      <c r="C13" s="1" t="s">
        <v>17</v>
      </c>
      <c r="D13" s="1" t="s">
        <v>20</v>
      </c>
      <c r="E13" s="12">
        <f>F13</f>
        <v>1.98847E+30</v>
      </c>
      <c r="F13" s="12">
        <f>'Physical Measurements'!E15</f>
        <v>1.98847E+30</v>
      </c>
      <c r="G13" s="1" t="s">
        <v>23</v>
      </c>
      <c r="H13" s="1" t="s">
        <v>202</v>
      </c>
    </row>
    <row r="14" spans="1:8">
      <c r="A14" s="1" t="s">
        <v>4343</v>
      </c>
      <c r="B14" s="1" t="s">
        <v>2930</v>
      </c>
      <c r="C14" s="1" t="s">
        <v>17</v>
      </c>
      <c r="D14" s="1" t="s">
        <v>20</v>
      </c>
      <c r="E14" s="12">
        <f>F14</f>
        <v>1.98847E+30</v>
      </c>
      <c r="F14" s="12">
        <f>'Physical Measurements'!E15</f>
        <v>1.98847E+30</v>
      </c>
      <c r="G14" s="1" t="s">
        <v>23</v>
      </c>
      <c r="H14" s="1" t="s">
        <v>202</v>
      </c>
    </row>
    <row r="15" spans="1:8">
      <c r="A15" s="248"/>
      <c r="B15" s="248"/>
      <c r="C15" s="248"/>
      <c r="D15" s="249"/>
      <c r="E15" s="250"/>
      <c r="F15" s="250"/>
      <c r="G15" s="248"/>
      <c r="H15" s="248"/>
    </row>
    <row r="16" spans="1:8">
      <c r="A16" s="1" t="s">
        <v>4344</v>
      </c>
      <c r="B16" s="1" t="s">
        <v>2978</v>
      </c>
      <c r="C16" s="1" t="s">
        <v>3033</v>
      </c>
      <c r="D16" s="1" t="s">
        <v>19</v>
      </c>
      <c r="E16" s="11">
        <f t="shared" ref="E16:E23" si="0">F16</f>
        <v>5.2917721090299998E-11</v>
      </c>
      <c r="F16" s="11">
        <f>'Physical Measurements'!E5</f>
        <v>5.2917721090299998E-11</v>
      </c>
      <c r="G16" s="1" t="s">
        <v>14</v>
      </c>
      <c r="H16" s="1" t="s">
        <v>6</v>
      </c>
    </row>
    <row r="17" spans="1:8" ht="16.8">
      <c r="A17" s="1" t="s">
        <v>1301</v>
      </c>
      <c r="B17" s="1" t="s">
        <v>2979</v>
      </c>
      <c r="C17" s="1" t="s">
        <v>3033</v>
      </c>
      <c r="D17" s="1" t="s">
        <v>19</v>
      </c>
      <c r="E17" s="12">
        <f t="shared" si="0"/>
        <v>5.2917721090608536E-11</v>
      </c>
      <c r="F17" s="12">
        <f>4*PI()*'Physical Measurements'!E2*('Physical Constants'!E2/(2*PI())*('Physical Constants'!E2/(2*PI())))/('Physical Measurements'!E4*'Physical Constants'!E4*'Physical Constants'!E4)</f>
        <v>5.2917721090608536E-11</v>
      </c>
      <c r="G17" s="1" t="s">
        <v>14</v>
      </c>
      <c r="H17" s="1" t="s">
        <v>6</v>
      </c>
    </row>
    <row r="18" spans="1:8">
      <c r="A18" s="1" t="s">
        <v>4335</v>
      </c>
      <c r="B18" s="1" t="s">
        <v>26</v>
      </c>
      <c r="C18" s="1" t="s">
        <v>3033</v>
      </c>
      <c r="D18" s="1" t="s">
        <v>19</v>
      </c>
      <c r="E18" s="12">
        <f t="shared" si="0"/>
        <v>5.2917721090608536E-11</v>
      </c>
      <c r="F18" s="12">
        <f>4*PI()*'Physical Measurements'!E2*('Physical Constants'!E2/(2*PI())*('Physical Constants'!E2/(2*PI())))/('Physical Measurements'!E4*'Physical Constants'!E4*'Physical Constants'!E4)</f>
        <v>5.2917721090608536E-11</v>
      </c>
      <c r="G18" s="1" t="s">
        <v>14</v>
      </c>
      <c r="H18" s="1" t="s">
        <v>6</v>
      </c>
    </row>
    <row r="19" spans="1:8">
      <c r="A19" s="1" t="s">
        <v>7503</v>
      </c>
      <c r="B19" s="1" t="s">
        <v>26</v>
      </c>
      <c r="C19" s="1" t="s">
        <v>3033</v>
      </c>
      <c r="D19" s="1" t="s">
        <v>19</v>
      </c>
      <c r="E19" s="12">
        <f t="shared" si="0"/>
        <v>5.2917721090608536E-11</v>
      </c>
      <c r="F19" s="12">
        <f>4*PI()*'Physical Measurements'!E2*('Physical Constants'!E2/(2*PI())*('Physical Constants'!E2/(2*PI())))/('Physical Measurements'!E4*'Physical Constants'!E4*'Physical Constants'!E4)</f>
        <v>5.2917721090608536E-11</v>
      </c>
      <c r="G19" s="1" t="s">
        <v>14</v>
      </c>
      <c r="H19" s="1" t="s">
        <v>6</v>
      </c>
    </row>
    <row r="20" spans="1:8" ht="17.7">
      <c r="A20" s="1" t="s">
        <v>4336</v>
      </c>
      <c r="B20" s="1" t="s">
        <v>390</v>
      </c>
      <c r="C20" s="1" t="s">
        <v>3034</v>
      </c>
      <c r="D20" s="1" t="s">
        <v>38</v>
      </c>
      <c r="E20" s="12">
        <f t="shared" si="0"/>
        <v>2.8002852054234354E-21</v>
      </c>
      <c r="F20" s="12">
        <f>POWER(4*PI()*'Physical Measurements'!E2*('Physical Constants'!E2/(2*PI())*('Physical Constants'!E2/(2*PI())))/('Physical Measurements'!E4*'Physical Constants'!E4*'Physical Constants'!E4),2)</f>
        <v>2.8002852054234354E-21</v>
      </c>
      <c r="G20" s="1" t="s">
        <v>39</v>
      </c>
      <c r="H20" s="1" t="s">
        <v>6</v>
      </c>
    </row>
    <row r="21" spans="1:8" ht="17.7">
      <c r="A21" s="1" t="s">
        <v>4337</v>
      </c>
      <c r="B21" s="1" t="s">
        <v>2934</v>
      </c>
      <c r="C21" s="1" t="s">
        <v>2936</v>
      </c>
      <c r="D21" s="1" t="s">
        <v>32</v>
      </c>
      <c r="E21" s="12">
        <f t="shared" si="0"/>
        <v>6.2071466792455039E-31</v>
      </c>
      <c r="F21" s="12">
        <f>Systems!P4</f>
        <v>6.2071466792455039E-31</v>
      </c>
      <c r="G21" s="1" t="s">
        <v>33</v>
      </c>
      <c r="H21" s="1" t="s">
        <v>6</v>
      </c>
    </row>
    <row r="22" spans="1:8">
      <c r="A22" s="1" t="s">
        <v>4338</v>
      </c>
      <c r="B22" s="1" t="s">
        <v>1202</v>
      </c>
      <c r="C22" s="1" t="s">
        <v>17</v>
      </c>
      <c r="D22" s="1" t="s">
        <v>20</v>
      </c>
      <c r="E22" s="12">
        <f t="shared" si="0"/>
        <v>9.1093837015000008E-31</v>
      </c>
      <c r="F22" s="12">
        <f>'Physical Measurements'!E4</f>
        <v>9.1093837015000008E-31</v>
      </c>
      <c r="G22" s="1" t="s">
        <v>23</v>
      </c>
      <c r="H22" s="1" t="s">
        <v>6</v>
      </c>
    </row>
    <row r="23" spans="1:8" ht="16.8">
      <c r="A23" s="1" t="s">
        <v>4339</v>
      </c>
      <c r="B23" s="1" t="s">
        <v>183</v>
      </c>
      <c r="C23" s="1" t="s">
        <v>17</v>
      </c>
      <c r="D23" s="1" t="s">
        <v>20</v>
      </c>
      <c r="E23" s="12">
        <f t="shared" si="0"/>
        <v>9.1093837015000008E-31</v>
      </c>
      <c r="F23" s="12">
        <f>'Physical Measurements'!E4</f>
        <v>9.1093837015000008E-31</v>
      </c>
      <c r="G23" s="1" t="s">
        <v>23</v>
      </c>
      <c r="H23" s="1" t="s">
        <v>6</v>
      </c>
    </row>
    <row r="24" spans="1:8">
      <c r="A24" s="248"/>
      <c r="B24" s="248"/>
      <c r="C24" s="248"/>
      <c r="D24" s="248"/>
      <c r="E24" s="250"/>
      <c r="F24" s="250"/>
      <c r="G24" s="248"/>
      <c r="H24" s="248"/>
    </row>
    <row r="25" spans="1:8">
      <c r="A25" s="1" t="s">
        <v>1288</v>
      </c>
      <c r="B25" s="1" t="s">
        <v>26</v>
      </c>
      <c r="C25" s="1" t="s">
        <v>3033</v>
      </c>
      <c r="D25" s="1" t="s">
        <v>19</v>
      </c>
      <c r="E25" s="12">
        <f>6*F25/5</f>
        <v>0.82320000000000015</v>
      </c>
      <c r="F25" s="12">
        <f>Systems!D24</f>
        <v>0.68600000000000005</v>
      </c>
      <c r="G25" s="1" t="s">
        <v>14</v>
      </c>
      <c r="H25" s="1" t="s">
        <v>451</v>
      </c>
    </row>
    <row r="26" spans="1:8">
      <c r="A26" s="1" t="s">
        <v>1599</v>
      </c>
      <c r="B26" s="1" t="s">
        <v>26</v>
      </c>
      <c r="C26" s="1" t="s">
        <v>3033</v>
      </c>
      <c r="D26" s="1" t="s">
        <v>19</v>
      </c>
      <c r="E26" s="12">
        <f>7391*F26</f>
        <v>5070.2260000000006</v>
      </c>
      <c r="F26" s="12">
        <f>Systems!D24</f>
        <v>0.68600000000000005</v>
      </c>
      <c r="G26" s="1" t="s">
        <v>14</v>
      </c>
      <c r="H26" s="1" t="s">
        <v>451</v>
      </c>
    </row>
    <row r="27" spans="1:8">
      <c r="A27" s="1" t="s">
        <v>835</v>
      </c>
      <c r="B27" s="1" t="s">
        <v>26</v>
      </c>
      <c r="C27" s="1" t="s">
        <v>3033</v>
      </c>
      <c r="D27" s="1" t="s">
        <v>19</v>
      </c>
      <c r="E27" s="12">
        <f>F27</f>
        <v>0.68600000000000005</v>
      </c>
      <c r="F27" s="12">
        <f>Systems!D24</f>
        <v>0.68600000000000005</v>
      </c>
      <c r="G27" s="1" t="s">
        <v>14</v>
      </c>
      <c r="H27" s="1" t="s">
        <v>451</v>
      </c>
    </row>
    <row r="28" spans="1:8" ht="16.5">
      <c r="A28" s="1" t="s">
        <v>4345</v>
      </c>
      <c r="B28" s="1" t="s">
        <v>26</v>
      </c>
      <c r="C28" s="1" t="s">
        <v>3034</v>
      </c>
      <c r="D28" s="1" t="s">
        <v>38</v>
      </c>
      <c r="E28" s="12">
        <f>F28</f>
        <v>0.47059600000000007</v>
      </c>
      <c r="F28" s="12">
        <f>Systems!H24</f>
        <v>0.47059600000000007</v>
      </c>
      <c r="G28" s="1" t="s">
        <v>39</v>
      </c>
      <c r="H28" s="1" t="s">
        <v>451</v>
      </c>
    </row>
    <row r="29" spans="1:8" ht="16.5">
      <c r="A29" s="1" t="s">
        <v>4346</v>
      </c>
      <c r="B29" s="1" t="s">
        <v>26</v>
      </c>
      <c r="C29" s="1" t="s">
        <v>2936</v>
      </c>
      <c r="D29" s="1" t="s">
        <v>32</v>
      </c>
      <c r="E29" s="12">
        <f>F29</f>
        <v>0.32282885600000005</v>
      </c>
      <c r="F29" s="12">
        <f>Systems!T24</f>
        <v>0.32282885600000005</v>
      </c>
      <c r="G29" s="1" t="s">
        <v>33</v>
      </c>
      <c r="H29" s="1" t="s">
        <v>451</v>
      </c>
    </row>
    <row r="30" spans="1:8" ht="16.5">
      <c r="A30" s="1" t="s">
        <v>4347</v>
      </c>
      <c r="B30" s="1" t="s">
        <v>26</v>
      </c>
      <c r="C30" s="1" t="s">
        <v>2935</v>
      </c>
      <c r="D30" s="1" t="s">
        <v>32</v>
      </c>
      <c r="E30" s="12">
        <f>24*F30</f>
        <v>1.056E-2</v>
      </c>
      <c r="F30" s="12">
        <f>Systems!P24</f>
        <v>4.4000000000000002E-4</v>
      </c>
      <c r="G30" s="1" t="s">
        <v>33</v>
      </c>
      <c r="H30" s="1" t="s">
        <v>451</v>
      </c>
    </row>
    <row r="31" spans="1:8" ht="16.5">
      <c r="A31" s="1" t="s">
        <v>4350</v>
      </c>
      <c r="B31" s="1" t="s">
        <v>26</v>
      </c>
      <c r="C31" s="1" t="s">
        <v>2935</v>
      </c>
      <c r="D31" s="1" t="s">
        <v>32</v>
      </c>
      <c r="E31" s="12">
        <f>10*F31</f>
        <v>4.4000000000000003E-3</v>
      </c>
      <c r="F31" s="12">
        <f>Systems!P24</f>
        <v>4.4000000000000002E-4</v>
      </c>
      <c r="G31" s="1" t="s">
        <v>33</v>
      </c>
      <c r="H31" s="1" t="s">
        <v>451</v>
      </c>
    </row>
    <row r="32" spans="1:8" ht="16.5">
      <c r="A32" s="1" t="s">
        <v>1889</v>
      </c>
      <c r="B32" s="1" t="s">
        <v>26</v>
      </c>
      <c r="C32" s="1" t="s">
        <v>2935</v>
      </c>
      <c r="D32" s="1" t="s">
        <v>32</v>
      </c>
      <c r="E32" s="12">
        <f>23*F32/10</f>
        <v>1.0120000000000001E-3</v>
      </c>
      <c r="F32" s="12">
        <f>Systems!P24</f>
        <v>4.4000000000000002E-4</v>
      </c>
      <c r="G32" s="1" t="s">
        <v>33</v>
      </c>
      <c r="H32" s="1" t="s">
        <v>451</v>
      </c>
    </row>
    <row r="33" spans="1:8" ht="16.5">
      <c r="A33" s="1" t="s">
        <v>894</v>
      </c>
      <c r="B33" s="1" t="s">
        <v>26</v>
      </c>
      <c r="C33" s="1" t="s">
        <v>2935</v>
      </c>
      <c r="D33" s="1" t="s">
        <v>32</v>
      </c>
      <c r="E33" s="12">
        <f>F33</f>
        <v>4.4000000000000002E-4</v>
      </c>
      <c r="F33" s="12">
        <f>Systems!P24</f>
        <v>4.4000000000000002E-4</v>
      </c>
      <c r="G33" s="1" t="s">
        <v>33</v>
      </c>
      <c r="H33" s="1" t="s">
        <v>451</v>
      </c>
    </row>
    <row r="34" spans="1:8">
      <c r="A34" s="1" t="s">
        <v>1509</v>
      </c>
      <c r="B34" s="1" t="s">
        <v>26</v>
      </c>
      <c r="C34" s="1" t="s">
        <v>17</v>
      </c>
      <c r="D34" s="1" t="s">
        <v>20</v>
      </c>
      <c r="E34" s="12">
        <f>F34/120</f>
        <v>2.5916666666666666E-3</v>
      </c>
      <c r="F34" s="12">
        <f>Systems!L24</f>
        <v>0.311</v>
      </c>
      <c r="G34" s="1" t="s">
        <v>23</v>
      </c>
      <c r="H34" s="1" t="s">
        <v>451</v>
      </c>
    </row>
    <row r="35" spans="1:8">
      <c r="A35" s="1" t="s">
        <v>1548</v>
      </c>
      <c r="B35" s="1" t="s">
        <v>26</v>
      </c>
      <c r="C35" s="1" t="s">
        <v>17</v>
      </c>
      <c r="D35" s="1" t="s">
        <v>20</v>
      </c>
      <c r="E35" s="12">
        <f>F35/120</f>
        <v>2.8441666666666665E-4</v>
      </c>
      <c r="F35" s="12">
        <f>Systems!L25</f>
        <v>3.4130000000000001E-2</v>
      </c>
      <c r="G35" s="1" t="s">
        <v>23</v>
      </c>
      <c r="H35" s="1" t="s">
        <v>451</v>
      </c>
    </row>
    <row r="36" spans="1:8">
      <c r="A36" s="1" t="s">
        <v>2094</v>
      </c>
      <c r="B36" s="1" t="s">
        <v>26</v>
      </c>
      <c r="C36" s="1" t="s">
        <v>17</v>
      </c>
      <c r="D36" s="1" t="s">
        <v>20</v>
      </c>
      <c r="E36" s="12">
        <f>F36/10</f>
        <v>3.1099999999999999E-2</v>
      </c>
      <c r="F36" s="12">
        <f>Systems!L24</f>
        <v>0.311</v>
      </c>
      <c r="G36" s="1" t="s">
        <v>23</v>
      </c>
      <c r="H36" s="1" t="s">
        <v>451</v>
      </c>
    </row>
    <row r="37" spans="1:8">
      <c r="A37" s="1" t="s">
        <v>828</v>
      </c>
      <c r="B37" s="1" t="s">
        <v>26</v>
      </c>
      <c r="C37" s="1" t="s">
        <v>17</v>
      </c>
      <c r="D37" s="1" t="s">
        <v>20</v>
      </c>
      <c r="E37" s="12">
        <f>F37</f>
        <v>0.311</v>
      </c>
      <c r="F37" s="12">
        <f>Systems!L24</f>
        <v>0.311</v>
      </c>
      <c r="G37" s="1" t="s">
        <v>23</v>
      </c>
      <c r="H37" s="1" t="s">
        <v>451</v>
      </c>
    </row>
    <row r="38" spans="1:8">
      <c r="A38" s="1" t="s">
        <v>2785</v>
      </c>
      <c r="B38" s="1" t="s">
        <v>26</v>
      </c>
      <c r="C38" s="1" t="s">
        <v>17</v>
      </c>
      <c r="D38" s="1" t="s">
        <v>20</v>
      </c>
      <c r="E38" s="12">
        <f>F38/12</f>
        <v>2.5916666666666668E-2</v>
      </c>
      <c r="F38" s="12">
        <f>Systems!L24</f>
        <v>0.311</v>
      </c>
      <c r="G38" s="1" t="s">
        <v>23</v>
      </c>
      <c r="H38" s="1" t="s">
        <v>451</v>
      </c>
    </row>
    <row r="39" spans="1:8">
      <c r="A39" s="248"/>
      <c r="B39" s="248"/>
      <c r="C39" s="248"/>
      <c r="D39" s="248"/>
      <c r="E39" s="250"/>
      <c r="F39" s="250"/>
      <c r="G39" s="248"/>
      <c r="H39" s="248"/>
    </row>
    <row r="40" spans="1:8">
      <c r="A40" s="1" t="s">
        <v>200</v>
      </c>
      <c r="B40" s="1" t="s">
        <v>6949</v>
      </c>
      <c r="C40" s="1" t="s">
        <v>3033</v>
      </c>
      <c r="D40" s="1" t="s">
        <v>19</v>
      </c>
      <c r="E40" s="12">
        <f>F40</f>
        <v>0.31485800000000003</v>
      </c>
      <c r="F40" s="12">
        <f>Systems!D184</f>
        <v>0.31485800000000003</v>
      </c>
      <c r="G40" s="1" t="s">
        <v>14</v>
      </c>
      <c r="H40" s="1" t="s">
        <v>984</v>
      </c>
    </row>
    <row r="41" spans="1:8">
      <c r="A41" s="1" t="s">
        <v>2092</v>
      </c>
      <c r="B41" s="1" t="s">
        <v>26</v>
      </c>
      <c r="C41" s="1" t="s">
        <v>3033</v>
      </c>
      <c r="D41" s="1" t="s">
        <v>19</v>
      </c>
      <c r="E41" s="12">
        <f>18*F41</f>
        <v>0.45720000000000005</v>
      </c>
      <c r="F41" s="12">
        <f>Systems!D6/12</f>
        <v>2.5400000000000002E-2</v>
      </c>
      <c r="G41" s="1" t="s">
        <v>14</v>
      </c>
      <c r="H41" s="1" t="s">
        <v>984</v>
      </c>
    </row>
    <row r="42" spans="1:8">
      <c r="A42" s="1" t="s">
        <v>2696</v>
      </c>
      <c r="B42" s="1" t="s">
        <v>26</v>
      </c>
      <c r="C42" s="1" t="s">
        <v>3033</v>
      </c>
      <c r="D42" s="1" t="s">
        <v>19</v>
      </c>
      <c r="E42" s="12">
        <f>3700*F42</f>
        <v>3700</v>
      </c>
      <c r="F42" s="12">
        <f>SI!E3</f>
        <v>1</v>
      </c>
      <c r="G42" s="1" t="s">
        <v>14</v>
      </c>
      <c r="H42" s="1" t="s">
        <v>984</v>
      </c>
    </row>
    <row r="43" spans="1:8">
      <c r="A43" s="1" t="s">
        <v>942</v>
      </c>
      <c r="B43" s="1" t="s">
        <v>26</v>
      </c>
      <c r="C43" s="1" t="s">
        <v>17</v>
      </c>
      <c r="D43" s="1" t="s">
        <v>20</v>
      </c>
      <c r="E43" s="12">
        <f>F43</f>
        <v>109</v>
      </c>
      <c r="F43" s="12">
        <f>Systems!L131</f>
        <v>109</v>
      </c>
      <c r="G43" s="1" t="s">
        <v>23</v>
      </c>
      <c r="H43" s="1" t="s">
        <v>984</v>
      </c>
    </row>
    <row r="44" spans="1:8">
      <c r="A44" s="248"/>
      <c r="B44" s="248"/>
      <c r="C44" s="248"/>
      <c r="D44" s="248"/>
      <c r="E44" s="250"/>
      <c r="F44" s="250"/>
      <c r="G44" s="248"/>
      <c r="H44" s="248"/>
    </row>
    <row r="45" spans="1:8">
      <c r="A45" t="s">
        <v>7117</v>
      </c>
      <c r="B45" s="336" t="s">
        <v>26</v>
      </c>
      <c r="C45" s="1" t="s">
        <v>3033</v>
      </c>
      <c r="D45" s="336" t="s">
        <v>19</v>
      </c>
      <c r="E45" s="337">
        <f>F45</f>
        <v>1.0649999999999999</v>
      </c>
      <c r="F45" s="337">
        <f>Systems!D197</f>
        <v>1.0649999999999999</v>
      </c>
      <c r="G45" s="336" t="s">
        <v>14</v>
      </c>
      <c r="H45" s="336" t="s">
        <v>7116</v>
      </c>
    </row>
    <row r="46" spans="1:8">
      <c r="A46" t="s">
        <v>7421</v>
      </c>
      <c r="B46" s="336" t="s">
        <v>26</v>
      </c>
      <c r="C46" s="1" t="s">
        <v>3033</v>
      </c>
      <c r="D46" s="336" t="s">
        <v>19</v>
      </c>
      <c r="E46" s="337">
        <f>0.066*F46</f>
        <v>6.6000000000000003E-2</v>
      </c>
      <c r="F46" s="337">
        <f>SI!E3</f>
        <v>1</v>
      </c>
      <c r="G46" s="336" t="s">
        <v>14</v>
      </c>
      <c r="H46" s="336" t="s">
        <v>7116</v>
      </c>
    </row>
    <row r="47" spans="1:8">
      <c r="A47" t="s">
        <v>7118</v>
      </c>
      <c r="B47" s="336" t="s">
        <v>26</v>
      </c>
      <c r="C47" s="1" t="s">
        <v>3033</v>
      </c>
      <c r="D47" s="336" t="s">
        <v>19</v>
      </c>
      <c r="E47" s="337">
        <f>0.838*F47</f>
        <v>0.83799999999999997</v>
      </c>
      <c r="F47" s="337">
        <f>SI!E3</f>
        <v>1</v>
      </c>
      <c r="G47" s="336" t="s">
        <v>14</v>
      </c>
      <c r="H47" s="336" t="s">
        <v>7116</v>
      </c>
    </row>
    <row r="48" spans="1:8">
      <c r="A48" t="s">
        <v>7119</v>
      </c>
      <c r="B48" s="336" t="s">
        <v>26</v>
      </c>
      <c r="C48" s="1" t="s">
        <v>3033</v>
      </c>
      <c r="D48" s="336" t="s">
        <v>19</v>
      </c>
      <c r="E48" s="337">
        <f>0.736*F48</f>
        <v>0.73599999999999999</v>
      </c>
      <c r="F48" s="337">
        <f>SI!E3</f>
        <v>1</v>
      </c>
      <c r="G48" s="336" t="s">
        <v>14</v>
      </c>
      <c r="H48" s="336" t="s">
        <v>7116</v>
      </c>
    </row>
    <row r="49" spans="1:8">
      <c r="A49" s="336" t="s">
        <v>7120</v>
      </c>
      <c r="B49" s="336" t="s">
        <v>26</v>
      </c>
      <c r="C49" s="1" t="s">
        <v>3033</v>
      </c>
      <c r="D49" s="336" t="s">
        <v>19</v>
      </c>
      <c r="E49" s="337">
        <f>44.183*F49</f>
        <v>44.183</v>
      </c>
      <c r="F49" s="337">
        <f>SI!E3</f>
        <v>1</v>
      </c>
      <c r="G49" s="336" t="s">
        <v>14</v>
      </c>
      <c r="H49" s="336" t="s">
        <v>7116</v>
      </c>
    </row>
    <row r="50" spans="1:8">
      <c r="A50" t="s">
        <v>7121</v>
      </c>
      <c r="B50" s="336" t="s">
        <v>26</v>
      </c>
      <c r="C50" s="1" t="s">
        <v>3033</v>
      </c>
      <c r="D50" s="336" t="s">
        <v>19</v>
      </c>
      <c r="E50" s="337">
        <f>9.879*F50</f>
        <v>9.8789999999999996</v>
      </c>
      <c r="F50" s="337">
        <f>SI!E3</f>
        <v>1</v>
      </c>
      <c r="G50" s="336" t="s">
        <v>14</v>
      </c>
      <c r="H50" s="336" t="s">
        <v>7116</v>
      </c>
    </row>
    <row r="51" spans="1:8">
      <c r="A51" t="s">
        <v>7122</v>
      </c>
      <c r="B51" s="336" t="s">
        <v>26</v>
      </c>
      <c r="C51" s="1" t="s">
        <v>3033</v>
      </c>
      <c r="D51" s="336" t="s">
        <v>19</v>
      </c>
      <c r="E51" s="337">
        <f>2.209*F51</f>
        <v>2.2090000000000001</v>
      </c>
      <c r="F51" s="337">
        <f>SI!E3</f>
        <v>1</v>
      </c>
      <c r="G51" s="336" t="s">
        <v>14</v>
      </c>
      <c r="H51" s="336" t="s">
        <v>7116</v>
      </c>
    </row>
    <row r="52" spans="1:8">
      <c r="A52" t="s">
        <v>7123</v>
      </c>
      <c r="B52" s="336" t="s">
        <v>26</v>
      </c>
      <c r="C52" s="1" t="s">
        <v>3033</v>
      </c>
      <c r="D52" s="336" t="s">
        <v>19</v>
      </c>
      <c r="E52" s="337">
        <f>1.16*F52</f>
        <v>1.1599999999999999</v>
      </c>
      <c r="F52" s="337">
        <f>SI!E3</f>
        <v>1</v>
      </c>
      <c r="G52" s="336" t="s">
        <v>14</v>
      </c>
      <c r="H52" s="336" t="s">
        <v>7116</v>
      </c>
    </row>
    <row r="53" spans="1:8">
      <c r="A53" t="s">
        <v>7357</v>
      </c>
      <c r="B53" s="336" t="s">
        <v>26</v>
      </c>
      <c r="C53" s="1" t="s">
        <v>3033</v>
      </c>
      <c r="D53" s="336" t="s">
        <v>19</v>
      </c>
      <c r="E53" s="337">
        <f>41.5*F53/12</f>
        <v>1.0541</v>
      </c>
      <c r="F53" s="337">
        <f>Systems!D6</f>
        <v>0.30480000000000002</v>
      </c>
      <c r="G53" s="336" t="s">
        <v>14</v>
      </c>
      <c r="H53" s="336" t="s">
        <v>7116</v>
      </c>
    </row>
    <row r="54" spans="1:8">
      <c r="A54" t="s">
        <v>1790</v>
      </c>
      <c r="B54" s="336" t="s">
        <v>26</v>
      </c>
      <c r="C54" s="1" t="s">
        <v>3033</v>
      </c>
      <c r="D54" s="336" t="s">
        <v>19</v>
      </c>
      <c r="E54" s="337">
        <f>28*F54/12</f>
        <v>0.71119999999999994</v>
      </c>
      <c r="F54" s="337">
        <f>Systems!D6</f>
        <v>0.30480000000000002</v>
      </c>
      <c r="G54" s="336" t="s">
        <v>14</v>
      </c>
      <c r="H54" s="336" t="s">
        <v>7116</v>
      </c>
    </row>
    <row r="55" spans="1:8">
      <c r="A55" t="s">
        <v>902</v>
      </c>
      <c r="B55" s="336" t="s">
        <v>26</v>
      </c>
      <c r="C55" s="1" t="s">
        <v>3033</v>
      </c>
      <c r="D55" s="336" t="s">
        <v>19</v>
      </c>
      <c r="E55" s="337">
        <f>5*5280*F55</f>
        <v>8046.72</v>
      </c>
      <c r="F55" s="337">
        <f>Systems!D6</f>
        <v>0.30480000000000002</v>
      </c>
      <c r="G55" s="336" t="s">
        <v>14</v>
      </c>
      <c r="H55" s="336" t="s">
        <v>7116</v>
      </c>
    </row>
    <row r="56" spans="1:8" ht="16.5">
      <c r="A56" s="336" t="s">
        <v>7120</v>
      </c>
      <c r="B56" s="336" t="s">
        <v>26</v>
      </c>
      <c r="C56" s="1" t="s">
        <v>3034</v>
      </c>
      <c r="D56" s="1" t="s">
        <v>38</v>
      </c>
      <c r="E56" s="337">
        <f>F56</f>
        <v>0.30480000000000002</v>
      </c>
      <c r="F56" s="337">
        <f>Systems!D6</f>
        <v>0.30480000000000002</v>
      </c>
      <c r="G56" s="1" t="s">
        <v>39</v>
      </c>
      <c r="H56" s="336" t="s">
        <v>7116</v>
      </c>
    </row>
    <row r="57" spans="1:8" ht="16.5">
      <c r="A57" s="336" t="s">
        <v>7134</v>
      </c>
      <c r="B57" s="336" t="s">
        <v>26</v>
      </c>
      <c r="C57" s="1" t="s">
        <v>3034</v>
      </c>
      <c r="D57" s="1" t="s">
        <v>38</v>
      </c>
      <c r="E57" s="337">
        <f>85*4840*F57</f>
        <v>343982.79590400006</v>
      </c>
      <c r="F57" s="337">
        <f>POWER(3*Systems!D6,2)</f>
        <v>0.83612736000000021</v>
      </c>
      <c r="G57" s="1" t="s">
        <v>39</v>
      </c>
      <c r="H57" s="336" t="s">
        <v>7116</v>
      </c>
    </row>
    <row r="58" spans="1:8" ht="16.5">
      <c r="A58" s="336" t="s">
        <v>7133</v>
      </c>
      <c r="B58" s="336" t="s">
        <v>26</v>
      </c>
      <c r="C58" s="1" t="s">
        <v>2936</v>
      </c>
      <c r="D58" s="1" t="s">
        <v>32</v>
      </c>
      <c r="E58" s="337">
        <f>F58</f>
        <v>1.2079496249999997</v>
      </c>
      <c r="F58" s="337">
        <f>Systems!T197</f>
        <v>1.2079496249999997</v>
      </c>
      <c r="G58" s="1" t="s">
        <v>33</v>
      </c>
      <c r="H58" s="336" t="s">
        <v>7116</v>
      </c>
    </row>
    <row r="59" spans="1:8" ht="16.5">
      <c r="A59" s="336" t="s">
        <v>7133</v>
      </c>
      <c r="B59" s="336" t="s">
        <v>26</v>
      </c>
      <c r="C59" s="1" t="s">
        <v>2935</v>
      </c>
      <c r="D59" s="1" t="s">
        <v>32</v>
      </c>
      <c r="E59" s="337">
        <f>F59</f>
        <v>1.2079496249999997</v>
      </c>
      <c r="F59" s="337">
        <f>Systems!P197</f>
        <v>1.2079496249999997</v>
      </c>
      <c r="G59" s="1" t="s">
        <v>33</v>
      </c>
      <c r="H59" s="336" t="s">
        <v>7116</v>
      </c>
    </row>
    <row r="60" spans="1:8">
      <c r="A60" s="336" t="s">
        <v>7126</v>
      </c>
      <c r="B60" s="336" t="s">
        <v>26</v>
      </c>
      <c r="C60" s="336" t="s">
        <v>17</v>
      </c>
      <c r="D60" s="336" t="s">
        <v>20</v>
      </c>
      <c r="E60" s="337">
        <f>F60</f>
        <v>1.9000000000000001E-4</v>
      </c>
      <c r="F60" s="337">
        <f>Systems!L197</f>
        <v>1.9000000000000001E-4</v>
      </c>
      <c r="G60" s="336" t="s">
        <v>23</v>
      </c>
      <c r="H60" s="336" t="s">
        <v>7116</v>
      </c>
    </row>
    <row r="61" spans="1:8">
      <c r="A61" s="336" t="s">
        <v>7127</v>
      </c>
      <c r="B61" s="336" t="s">
        <v>26</v>
      </c>
      <c r="C61" s="336" t="s">
        <v>17</v>
      </c>
      <c r="D61" s="336" t="s">
        <v>20</v>
      </c>
      <c r="E61" s="337">
        <f>24*F61</f>
        <v>4.5599999999999998E-3</v>
      </c>
      <c r="F61" s="337">
        <f>Systems!L197</f>
        <v>1.9000000000000001E-4</v>
      </c>
      <c r="G61" s="336" t="s">
        <v>23</v>
      </c>
      <c r="H61" s="336" t="s">
        <v>7116</v>
      </c>
    </row>
    <row r="62" spans="1:8">
      <c r="A62" s="336" t="s">
        <v>7128</v>
      </c>
      <c r="B62" s="336" t="s">
        <v>26</v>
      </c>
      <c r="C62" s="336" t="s">
        <v>17</v>
      </c>
      <c r="D62" s="336" t="s">
        <v>20</v>
      </c>
      <c r="E62" s="337">
        <f>0.1104*F62</f>
        <v>0.1104</v>
      </c>
      <c r="F62" s="337">
        <f>SI!E2</f>
        <v>1</v>
      </c>
      <c r="G62" s="336" t="s">
        <v>23</v>
      </c>
      <c r="H62" s="336" t="s">
        <v>7116</v>
      </c>
    </row>
    <row r="63" spans="1:8">
      <c r="A63" s="336" t="s">
        <v>7129</v>
      </c>
      <c r="B63" s="336" t="s">
        <v>26</v>
      </c>
      <c r="C63" s="336" t="s">
        <v>17</v>
      </c>
      <c r="D63" s="336" t="s">
        <v>20</v>
      </c>
      <c r="E63" s="337">
        <f>0.4416*F63</f>
        <v>0.44159999999999999</v>
      </c>
      <c r="F63" s="337">
        <f>SI!E2</f>
        <v>1</v>
      </c>
      <c r="G63" s="336" t="s">
        <v>23</v>
      </c>
      <c r="H63" s="336" t="s">
        <v>7116</v>
      </c>
    </row>
    <row r="64" spans="1:8">
      <c r="A64" s="336" t="s">
        <v>1388</v>
      </c>
      <c r="B64" s="336" t="s">
        <v>26</v>
      </c>
      <c r="C64" s="336" t="s">
        <v>17</v>
      </c>
      <c r="D64" s="336" t="s">
        <v>20</v>
      </c>
      <c r="E64" s="337">
        <f>1.7664*F64</f>
        <v>1.7664</v>
      </c>
      <c r="F64" s="337">
        <f>SI!E2</f>
        <v>1</v>
      </c>
      <c r="G64" s="336" t="s">
        <v>23</v>
      </c>
      <c r="H64" s="336" t="s">
        <v>7116</v>
      </c>
    </row>
    <row r="65" spans="1:8">
      <c r="A65" s="336" t="s">
        <v>910</v>
      </c>
      <c r="B65" s="336" t="s">
        <v>26</v>
      </c>
      <c r="C65" s="336" t="s">
        <v>17</v>
      </c>
      <c r="D65" s="336" t="s">
        <v>20</v>
      </c>
      <c r="E65" s="337">
        <f>F65</f>
        <v>7.0659999999999998</v>
      </c>
      <c r="F65" s="337">
        <f>Systems!L198</f>
        <v>7.0659999999999998</v>
      </c>
      <c r="G65" s="336" t="s">
        <v>23</v>
      </c>
      <c r="H65" s="336" t="s">
        <v>7116</v>
      </c>
    </row>
    <row r="66" spans="1:8">
      <c r="A66" s="1" t="s">
        <v>2087</v>
      </c>
      <c r="B66" s="336" t="s">
        <v>26</v>
      </c>
      <c r="C66" s="336" t="s">
        <v>17</v>
      </c>
      <c r="D66" s="336" t="s">
        <v>20</v>
      </c>
      <c r="E66" s="337">
        <f>F66/30</f>
        <v>0.23553333333333332</v>
      </c>
      <c r="F66" s="337">
        <f>Systems!L198</f>
        <v>7.0659999999999998</v>
      </c>
      <c r="G66" s="336" t="s">
        <v>23</v>
      </c>
      <c r="H66" s="336" t="s">
        <v>7116</v>
      </c>
    </row>
    <row r="67" spans="1:8">
      <c r="A67" s="336" t="s">
        <v>2006</v>
      </c>
      <c r="B67" s="336" t="s">
        <v>26</v>
      </c>
      <c r="C67" s="336" t="s">
        <v>17</v>
      </c>
      <c r="D67" s="336" t="s">
        <v>20</v>
      </c>
      <c r="E67" s="337">
        <f>80*F67</f>
        <v>565.28</v>
      </c>
      <c r="F67" s="337">
        <f>Systems!L198</f>
        <v>7.0659999999999998</v>
      </c>
      <c r="G67" s="336" t="s">
        <v>23</v>
      </c>
      <c r="H67" s="336" t="s">
        <v>7116</v>
      </c>
    </row>
    <row r="68" spans="1:8">
      <c r="A68" s="336" t="s">
        <v>7130</v>
      </c>
      <c r="B68" s="336" t="s">
        <v>26</v>
      </c>
      <c r="C68" s="336" t="s">
        <v>17</v>
      </c>
      <c r="D68" s="336" t="s">
        <v>20</v>
      </c>
      <c r="E68" s="337">
        <f>80*100*F68</f>
        <v>56528</v>
      </c>
      <c r="F68" s="337">
        <f>Systems!L198</f>
        <v>7.0659999999999998</v>
      </c>
      <c r="G68" s="336" t="s">
        <v>23</v>
      </c>
      <c r="H68" s="336" t="s">
        <v>7116</v>
      </c>
    </row>
    <row r="69" spans="1:8">
      <c r="A69" s="336" t="s">
        <v>7131</v>
      </c>
      <c r="B69" s="336" t="s">
        <v>26</v>
      </c>
      <c r="C69" s="336" t="s">
        <v>17</v>
      </c>
      <c r="D69" s="336" t="s">
        <v>20</v>
      </c>
      <c r="E69" s="337">
        <f>F69</f>
        <v>1</v>
      </c>
      <c r="F69" s="337">
        <f>SI!E2</f>
        <v>1</v>
      </c>
      <c r="G69" s="336" t="s">
        <v>23</v>
      </c>
      <c r="H69" s="336" t="s">
        <v>7116</v>
      </c>
    </row>
    <row r="70" spans="1:8">
      <c r="A70" s="336" t="s">
        <v>7132</v>
      </c>
      <c r="B70" s="336" t="s">
        <v>26</v>
      </c>
      <c r="C70" s="336" t="s">
        <v>17</v>
      </c>
      <c r="D70" s="336" t="s">
        <v>20</v>
      </c>
      <c r="E70" s="337">
        <f>F70</f>
        <v>7.0659999999999998</v>
      </c>
      <c r="F70" s="337">
        <f>Systems!L198</f>
        <v>7.0659999999999998</v>
      </c>
      <c r="G70" s="336" t="s">
        <v>23</v>
      </c>
      <c r="H70" s="336" t="s">
        <v>7116</v>
      </c>
    </row>
    <row r="71" spans="1:8">
      <c r="A71" s="336" t="s">
        <v>7356</v>
      </c>
      <c r="B71" s="336" t="s">
        <v>26</v>
      </c>
      <c r="C71" s="336" t="s">
        <v>17</v>
      </c>
      <c r="D71" s="336" t="s">
        <v>20</v>
      </c>
      <c r="E71" s="337">
        <f>F71/10</f>
        <v>9.3303999999999998E-2</v>
      </c>
      <c r="F71" s="337">
        <f>Systems!L108</f>
        <v>0.93303999999999998</v>
      </c>
      <c r="G71" s="336" t="s">
        <v>23</v>
      </c>
      <c r="H71" s="336" t="s">
        <v>7116</v>
      </c>
    </row>
    <row r="72" spans="1:8">
      <c r="A72" s="336" t="s">
        <v>7355</v>
      </c>
      <c r="B72" s="336" t="s">
        <v>26</v>
      </c>
      <c r="C72" s="336" t="s">
        <v>17</v>
      </c>
      <c r="D72" s="336" t="s">
        <v>20</v>
      </c>
      <c r="E72" s="337">
        <f>4*F72</f>
        <v>3.7321599999999999</v>
      </c>
      <c r="F72" s="337">
        <f>Systems!L108</f>
        <v>0.93303999999999998</v>
      </c>
      <c r="G72" s="336" t="s">
        <v>23</v>
      </c>
      <c r="H72" s="336" t="s">
        <v>7116</v>
      </c>
    </row>
    <row r="73" spans="1:8">
      <c r="A73" s="336" t="s">
        <v>7354</v>
      </c>
      <c r="B73" s="336" t="s">
        <v>26</v>
      </c>
      <c r="C73" s="336" t="s">
        <v>17</v>
      </c>
      <c r="D73" s="336" t="s">
        <v>20</v>
      </c>
      <c r="E73" s="337">
        <f>400*F73</f>
        <v>373.21600000000001</v>
      </c>
      <c r="F73" s="337">
        <f>Systems!L108</f>
        <v>0.93303999999999998</v>
      </c>
      <c r="G73" s="336" t="s">
        <v>23</v>
      </c>
      <c r="H73" s="336" t="s">
        <v>7116</v>
      </c>
    </row>
    <row r="74" spans="1:8">
      <c r="A74" s="336" t="s">
        <v>7353</v>
      </c>
      <c r="B74" s="336" t="s">
        <v>26</v>
      </c>
      <c r="C74" s="336" t="s">
        <v>17</v>
      </c>
      <c r="D74" s="336" t="s">
        <v>20</v>
      </c>
      <c r="E74" s="337">
        <f>11.25*F74</f>
        <v>10.496700000000001</v>
      </c>
      <c r="F74" s="337">
        <f>Systems!L108</f>
        <v>0.93303999999999998</v>
      </c>
      <c r="G74" s="336" t="s">
        <v>23</v>
      </c>
      <c r="H74" s="336" t="s">
        <v>7116</v>
      </c>
    </row>
    <row r="75" spans="1:8">
      <c r="A75" s="336" t="s">
        <v>7352</v>
      </c>
      <c r="B75" s="336" t="s">
        <v>26</v>
      </c>
      <c r="C75" s="336" t="s">
        <v>17</v>
      </c>
      <c r="D75" s="336" t="s">
        <v>20</v>
      </c>
      <c r="E75" s="337">
        <f>180*F75</f>
        <v>167.94720000000001</v>
      </c>
      <c r="F75" s="337">
        <f>Systems!L108</f>
        <v>0.93303999999999998</v>
      </c>
      <c r="G75" s="336" t="s">
        <v>23</v>
      </c>
      <c r="H75" s="336" t="s">
        <v>7116</v>
      </c>
    </row>
    <row r="76" spans="1:8">
      <c r="A76" s="336" t="s">
        <v>7351</v>
      </c>
      <c r="B76" s="336" t="s">
        <v>26</v>
      </c>
      <c r="C76" s="336" t="s">
        <v>17</v>
      </c>
      <c r="D76" s="336" t="s">
        <v>20</v>
      </c>
      <c r="E76" s="337">
        <f>540*F76</f>
        <v>503.84159999999997</v>
      </c>
      <c r="F76" s="337">
        <f>Systems!L108</f>
        <v>0.93303999999999998</v>
      </c>
      <c r="G76" s="336" t="s">
        <v>23</v>
      </c>
      <c r="H76" s="336" t="s">
        <v>7116</v>
      </c>
    </row>
    <row r="77" spans="1:8">
      <c r="A77" s="336" t="s">
        <v>7350</v>
      </c>
      <c r="B77" s="336" t="s">
        <v>26</v>
      </c>
      <c r="C77" s="336" t="s">
        <v>17</v>
      </c>
      <c r="D77" s="336" t="s">
        <v>20</v>
      </c>
      <c r="E77" s="337">
        <f>9*F77</f>
        <v>8.397359999999999</v>
      </c>
      <c r="F77" s="337">
        <f>Systems!L108</f>
        <v>0.93303999999999998</v>
      </c>
      <c r="G77" s="336" t="s">
        <v>23</v>
      </c>
      <c r="H77" s="336" t="s">
        <v>7116</v>
      </c>
    </row>
    <row r="78" spans="1:8">
      <c r="A78" s="336" t="s">
        <v>7349</v>
      </c>
      <c r="B78" s="336" t="s">
        <v>26</v>
      </c>
      <c r="C78" s="336" t="s">
        <v>17</v>
      </c>
      <c r="D78" s="336" t="s">
        <v>20</v>
      </c>
      <c r="E78" s="337">
        <f>72*F78</f>
        <v>67.178879999999992</v>
      </c>
      <c r="F78" s="337">
        <f>Systems!L108</f>
        <v>0.93303999999999998</v>
      </c>
      <c r="G78" s="336" t="s">
        <v>23</v>
      </c>
      <c r="H78" s="336" t="s">
        <v>7116</v>
      </c>
    </row>
    <row r="79" spans="1:8">
      <c r="A79" s="248"/>
      <c r="B79" s="248"/>
      <c r="C79" s="248"/>
      <c r="D79" s="248"/>
      <c r="E79" s="250"/>
      <c r="F79" s="250"/>
      <c r="G79" s="248"/>
      <c r="H79" s="248"/>
    </row>
    <row r="80" spans="1:8">
      <c r="A80" s="1" t="s">
        <v>4351</v>
      </c>
      <c r="B80" s="1" t="s">
        <v>26</v>
      </c>
      <c r="C80" s="1" t="s">
        <v>3033</v>
      </c>
      <c r="D80" s="1" t="s">
        <v>19</v>
      </c>
      <c r="E80" s="12">
        <f>F80/2</f>
        <v>0.23350000000000001</v>
      </c>
      <c r="F80" s="12">
        <f>Systems!D26</f>
        <v>0.46700000000000003</v>
      </c>
      <c r="G80" s="1" t="s">
        <v>14</v>
      </c>
      <c r="H80" s="1" t="s">
        <v>489</v>
      </c>
    </row>
    <row r="81" spans="1:8">
      <c r="A81" s="1" t="s">
        <v>4352</v>
      </c>
      <c r="B81" s="1" t="s">
        <v>26</v>
      </c>
      <c r="C81" s="1" t="s">
        <v>3033</v>
      </c>
      <c r="D81" s="1" t="s">
        <v>19</v>
      </c>
      <c r="E81" s="12">
        <f>F81/2</f>
        <v>0.3115</v>
      </c>
      <c r="F81" s="12">
        <f>Systems!D25</f>
        <v>0.623</v>
      </c>
      <c r="G81" s="1" t="s">
        <v>14</v>
      </c>
      <c r="H81" s="1" t="s">
        <v>489</v>
      </c>
    </row>
    <row r="82" spans="1:8">
      <c r="A82" s="1" t="s">
        <v>4353</v>
      </c>
      <c r="B82" s="1" t="s">
        <v>26</v>
      </c>
      <c r="C82" s="1" t="s">
        <v>3033</v>
      </c>
      <c r="D82" s="1" t="s">
        <v>19</v>
      </c>
      <c r="E82" s="12">
        <f>F82</f>
        <v>0.46700000000000003</v>
      </c>
      <c r="F82" s="12">
        <f>Systems!D26</f>
        <v>0.46700000000000003</v>
      </c>
      <c r="G82" s="1" t="s">
        <v>14</v>
      </c>
      <c r="H82" s="1" t="s">
        <v>489</v>
      </c>
    </row>
    <row r="83" spans="1:8">
      <c r="A83" s="1" t="s">
        <v>4354</v>
      </c>
      <c r="B83" s="1" t="s">
        <v>26</v>
      </c>
      <c r="C83" s="1" t="s">
        <v>3033</v>
      </c>
      <c r="D83" s="1" t="s">
        <v>19</v>
      </c>
      <c r="E83" s="12">
        <f>F83</f>
        <v>0.623</v>
      </c>
      <c r="F83" s="12">
        <f>Systems!D25</f>
        <v>0.623</v>
      </c>
      <c r="G83" s="1" t="s">
        <v>14</v>
      </c>
      <c r="H83" s="1" t="s">
        <v>489</v>
      </c>
    </row>
    <row r="84" spans="1:8">
      <c r="A84" s="1" t="s">
        <v>4355</v>
      </c>
      <c r="B84" s="1" t="s">
        <v>26</v>
      </c>
      <c r="C84" s="1" t="s">
        <v>3033</v>
      </c>
      <c r="D84" s="1" t="s">
        <v>19</v>
      </c>
      <c r="E84" s="12">
        <f>F84/4</f>
        <v>0.11675000000000001</v>
      </c>
      <c r="F84" s="12">
        <f>Systems!D26</f>
        <v>0.46700000000000003</v>
      </c>
      <c r="G84" s="1" t="s">
        <v>14</v>
      </c>
      <c r="H84" s="1" t="s">
        <v>489</v>
      </c>
    </row>
    <row r="85" spans="1:8">
      <c r="A85" s="1" t="s">
        <v>4356</v>
      </c>
      <c r="B85" s="1" t="s">
        <v>26</v>
      </c>
      <c r="C85" s="1" t="s">
        <v>3033</v>
      </c>
      <c r="D85" s="1" t="s">
        <v>19</v>
      </c>
      <c r="E85" s="12">
        <f>F85/4</f>
        <v>0.15575</v>
      </c>
      <c r="F85" s="12">
        <f>Systems!D25</f>
        <v>0.623</v>
      </c>
      <c r="G85" s="1" t="s">
        <v>14</v>
      </c>
      <c r="H85" s="1" t="s">
        <v>489</v>
      </c>
    </row>
    <row r="86" spans="1:8">
      <c r="A86" s="1" t="s">
        <v>4357</v>
      </c>
      <c r="B86" s="1" t="s">
        <v>26</v>
      </c>
      <c r="C86" s="1" t="s">
        <v>3033</v>
      </c>
      <c r="D86" s="1" t="s">
        <v>19</v>
      </c>
      <c r="E86" s="12">
        <f>F86/8</f>
        <v>5.8375000000000003E-2</v>
      </c>
      <c r="F86" s="12">
        <f>Systems!D26</f>
        <v>0.46700000000000003</v>
      </c>
      <c r="G86" s="1" t="s">
        <v>14</v>
      </c>
      <c r="H86" s="1" t="s">
        <v>489</v>
      </c>
    </row>
    <row r="87" spans="1:8">
      <c r="A87" s="1" t="s">
        <v>4358</v>
      </c>
      <c r="B87" s="1" t="s">
        <v>26</v>
      </c>
      <c r="C87" s="1" t="s">
        <v>3033</v>
      </c>
      <c r="D87" s="1" t="s">
        <v>19</v>
      </c>
      <c r="E87" s="12">
        <f>F87/8</f>
        <v>7.7875E-2</v>
      </c>
      <c r="F87" s="12">
        <f>Systems!D25</f>
        <v>0.623</v>
      </c>
      <c r="G87" s="1" t="s">
        <v>14</v>
      </c>
      <c r="H87" s="1" t="s">
        <v>489</v>
      </c>
    </row>
    <row r="88" spans="1:8" ht="16.5">
      <c r="A88" s="1" t="s">
        <v>6864</v>
      </c>
      <c r="B88" s="1" t="s">
        <v>26</v>
      </c>
      <c r="C88" s="1" t="s">
        <v>3034</v>
      </c>
      <c r="D88" s="1" t="s">
        <v>38</v>
      </c>
      <c r="E88" s="12">
        <f>F88</f>
        <v>0.388129</v>
      </c>
      <c r="F88" s="12">
        <f>Systems!H25</f>
        <v>0.388129</v>
      </c>
      <c r="G88" s="1" t="s">
        <v>39</v>
      </c>
      <c r="H88" s="1" t="s">
        <v>489</v>
      </c>
    </row>
    <row r="89" spans="1:8" ht="16.5">
      <c r="A89" s="1" t="s">
        <v>4359</v>
      </c>
      <c r="B89" s="1" t="s">
        <v>26</v>
      </c>
      <c r="C89" s="1" t="s">
        <v>3034</v>
      </c>
      <c r="D89" s="1" t="s">
        <v>38</v>
      </c>
      <c r="E89" s="12">
        <f>F89</f>
        <v>0.21808900000000003</v>
      </c>
      <c r="F89" s="12">
        <f>Systems!H26</f>
        <v>0.21808900000000003</v>
      </c>
      <c r="G89" s="1" t="s">
        <v>39</v>
      </c>
      <c r="H89" s="1" t="s">
        <v>489</v>
      </c>
    </row>
    <row r="90" spans="1:8" ht="16.5">
      <c r="A90" s="1" t="s">
        <v>831</v>
      </c>
      <c r="B90" s="1" t="s">
        <v>26</v>
      </c>
      <c r="C90" s="1" t="s">
        <v>2936</v>
      </c>
      <c r="D90" s="1" t="s">
        <v>32</v>
      </c>
      <c r="E90" s="12">
        <f>F90</f>
        <v>0.31746999999999997</v>
      </c>
      <c r="F90" s="12">
        <f>Systems!T25</f>
        <v>0.31746999999999997</v>
      </c>
      <c r="G90" s="1" t="s">
        <v>33</v>
      </c>
      <c r="H90" s="1" t="s">
        <v>489</v>
      </c>
    </row>
    <row r="91" spans="1:8" ht="16.5">
      <c r="A91" s="1" t="s">
        <v>2615</v>
      </c>
      <c r="B91" s="1" t="s">
        <v>26</v>
      </c>
      <c r="C91" s="1" t="s">
        <v>2936</v>
      </c>
      <c r="D91" s="1" t="s">
        <v>32</v>
      </c>
      <c r="E91" s="12">
        <f>F91/2</f>
        <v>0.15873499999999999</v>
      </c>
      <c r="F91" s="12">
        <f>Systems!T25</f>
        <v>0.31746999999999997</v>
      </c>
      <c r="G91" s="1" t="s">
        <v>33</v>
      </c>
      <c r="H91" s="1" t="s">
        <v>489</v>
      </c>
    </row>
    <row r="92" spans="1:8" ht="16.5">
      <c r="A92" s="1" t="s">
        <v>2616</v>
      </c>
      <c r="B92" s="1" t="s">
        <v>26</v>
      </c>
      <c r="C92" s="1" t="s">
        <v>2936</v>
      </c>
      <c r="D92" s="1" t="s">
        <v>32</v>
      </c>
      <c r="E92" s="12">
        <f>F92/2</f>
        <v>0.15873499999999999</v>
      </c>
      <c r="F92" s="12">
        <f>Systems!T25</f>
        <v>0.31746999999999997</v>
      </c>
      <c r="G92" s="1" t="s">
        <v>33</v>
      </c>
      <c r="H92" s="1" t="s">
        <v>489</v>
      </c>
    </row>
    <row r="93" spans="1:8" ht="16.5">
      <c r="A93" s="1" t="s">
        <v>831</v>
      </c>
      <c r="B93" s="1" t="s">
        <v>26</v>
      </c>
      <c r="C93" s="1" t="s">
        <v>2935</v>
      </c>
      <c r="D93" s="1" t="s">
        <v>32</v>
      </c>
      <c r="E93" s="12">
        <f>761*F93/40</f>
        <v>0.31708333333333333</v>
      </c>
      <c r="F93" s="12">
        <f>Systems!P25</f>
        <v>1.6666666666666666E-2</v>
      </c>
      <c r="G93" s="1" t="s">
        <v>33</v>
      </c>
      <c r="H93" s="1" t="s">
        <v>489</v>
      </c>
    </row>
    <row r="94" spans="1:8" ht="16.5">
      <c r="A94" s="1" t="s">
        <v>1344</v>
      </c>
      <c r="B94" s="1" t="s">
        <v>26</v>
      </c>
      <c r="C94" s="1" t="s">
        <v>2935</v>
      </c>
      <c r="D94" s="1" t="s">
        <v>32</v>
      </c>
      <c r="E94" s="12">
        <f>761*F94/40</f>
        <v>0.31708333333333333</v>
      </c>
      <c r="F94" s="12">
        <f>Systems!P25</f>
        <v>1.6666666666666666E-2</v>
      </c>
      <c r="G94" s="1" t="s">
        <v>33</v>
      </c>
      <c r="H94" s="1" t="s">
        <v>489</v>
      </c>
    </row>
    <row r="95" spans="1:8" ht="16.5">
      <c r="A95" s="1" t="s">
        <v>885</v>
      </c>
      <c r="B95" s="1" t="s">
        <v>26</v>
      </c>
      <c r="C95" s="1" t="s">
        <v>2935</v>
      </c>
      <c r="D95" s="1" t="s">
        <v>32</v>
      </c>
      <c r="E95" s="12">
        <f>F95</f>
        <v>1.6666666666666666E-2</v>
      </c>
      <c r="F95" s="12">
        <f>Systems!P25</f>
        <v>1.6666666666666666E-2</v>
      </c>
      <c r="G95" s="1" t="s">
        <v>33</v>
      </c>
      <c r="H95" s="1" t="s">
        <v>489</v>
      </c>
    </row>
    <row r="96" spans="1:8" ht="16.5">
      <c r="A96" s="1" t="s">
        <v>1864</v>
      </c>
      <c r="B96" s="1" t="s">
        <v>26</v>
      </c>
      <c r="C96" s="1" t="s">
        <v>2935</v>
      </c>
      <c r="D96" s="1" t="s">
        <v>32</v>
      </c>
      <c r="E96" s="12">
        <f>F96</f>
        <v>1.6666666666666666E-2</v>
      </c>
      <c r="F96" s="12">
        <f>Systems!P25</f>
        <v>1.6666666666666666E-2</v>
      </c>
      <c r="G96" s="1" t="s">
        <v>33</v>
      </c>
      <c r="H96" s="1" t="s">
        <v>489</v>
      </c>
    </row>
    <row r="97" spans="1:8" ht="16.5">
      <c r="A97" s="1" t="s">
        <v>886</v>
      </c>
      <c r="B97" s="1" t="s">
        <v>26</v>
      </c>
      <c r="C97" s="1" t="s">
        <v>2935</v>
      </c>
      <c r="D97" s="1" t="s">
        <v>32</v>
      </c>
      <c r="E97" s="12">
        <f>F97</f>
        <v>1.7899999999999999E-2</v>
      </c>
      <c r="F97" s="12">
        <f>Systems!P26</f>
        <v>1.7899999999999999E-2</v>
      </c>
      <c r="G97" s="1" t="s">
        <v>33</v>
      </c>
      <c r="H97" s="1" t="s">
        <v>489</v>
      </c>
    </row>
    <row r="98" spans="1:8" ht="16.5">
      <c r="A98" s="1" t="s">
        <v>2410</v>
      </c>
      <c r="B98" s="1" t="s">
        <v>26</v>
      </c>
      <c r="C98" s="1" t="s">
        <v>2935</v>
      </c>
      <c r="D98" s="1" t="s">
        <v>32</v>
      </c>
      <c r="E98" s="12">
        <f>87*F98/25</f>
        <v>5.7999999999999996E-2</v>
      </c>
      <c r="F98" s="12">
        <f>Systems!P25</f>
        <v>1.6666666666666666E-2</v>
      </c>
      <c r="G98" s="1" t="s">
        <v>33</v>
      </c>
      <c r="H98" s="1" t="s">
        <v>489</v>
      </c>
    </row>
    <row r="99" spans="1:8" ht="16.5">
      <c r="A99" s="1" t="s">
        <v>2550</v>
      </c>
      <c r="B99" s="1" t="s">
        <v>26</v>
      </c>
      <c r="C99" s="1" t="s">
        <v>2935</v>
      </c>
      <c r="D99" s="1" t="s">
        <v>32</v>
      </c>
      <c r="E99" s="12">
        <f>87*F99/25</f>
        <v>5.7999999999999996E-2</v>
      </c>
      <c r="F99" s="12">
        <f>Systems!P25</f>
        <v>1.6666666666666666E-2</v>
      </c>
      <c r="G99" s="1" t="s">
        <v>33</v>
      </c>
      <c r="H99" s="1" t="s">
        <v>489</v>
      </c>
    </row>
    <row r="100" spans="1:8">
      <c r="A100" s="1" t="s">
        <v>4360</v>
      </c>
      <c r="B100" s="1" t="s">
        <v>26</v>
      </c>
      <c r="C100" s="1" t="s">
        <v>17</v>
      </c>
      <c r="D100" s="1" t="s">
        <v>20</v>
      </c>
      <c r="E100" s="12">
        <f>2400*F100</f>
        <v>81.912000000000006</v>
      </c>
      <c r="F100" s="12">
        <f>Systems!L25</f>
        <v>3.4130000000000001E-2</v>
      </c>
      <c r="G100" s="1" t="s">
        <v>23</v>
      </c>
      <c r="H100" s="1" t="s">
        <v>489</v>
      </c>
    </row>
    <row r="101" spans="1:8">
      <c r="A101" s="1" t="s">
        <v>4361</v>
      </c>
      <c r="B101" s="1" t="s">
        <v>26</v>
      </c>
      <c r="C101" s="1" t="s">
        <v>17</v>
      </c>
      <c r="D101" s="1" t="s">
        <v>20</v>
      </c>
      <c r="E101" s="12">
        <f>1800*F101</f>
        <v>61.434000000000005</v>
      </c>
      <c r="F101" s="12">
        <f>Systems!L25</f>
        <v>3.4130000000000001E-2</v>
      </c>
      <c r="G101" s="1" t="s">
        <v>23</v>
      </c>
      <c r="H101" s="1" t="s">
        <v>489</v>
      </c>
    </row>
    <row r="102" spans="1:8">
      <c r="A102" s="1" t="s">
        <v>4362</v>
      </c>
      <c r="B102" s="1" t="s">
        <v>26</v>
      </c>
      <c r="C102" s="1" t="s">
        <v>17</v>
      </c>
      <c r="D102" s="1" t="s">
        <v>20</v>
      </c>
      <c r="E102" s="12">
        <f>1600*F102</f>
        <v>54.608000000000004</v>
      </c>
      <c r="F102" s="12">
        <f>Systems!L25</f>
        <v>3.4130000000000001E-2</v>
      </c>
      <c r="G102" s="1" t="s">
        <v>23</v>
      </c>
      <c r="H102" s="1" t="s">
        <v>489</v>
      </c>
    </row>
    <row r="103" spans="1:8">
      <c r="A103" s="1" t="s">
        <v>1706</v>
      </c>
      <c r="B103" s="1" t="s">
        <v>26</v>
      </c>
      <c r="C103" s="1" t="s">
        <v>17</v>
      </c>
      <c r="D103" s="1" t="s">
        <v>20</v>
      </c>
      <c r="E103" s="12">
        <f>0.207*F103</f>
        <v>0.20699999999999999</v>
      </c>
      <c r="F103" s="12">
        <f>SI!E2</f>
        <v>1</v>
      </c>
      <c r="G103" s="1" t="s">
        <v>23</v>
      </c>
      <c r="H103" s="1" t="s">
        <v>489</v>
      </c>
    </row>
    <row r="104" spans="1:8">
      <c r="A104" s="1" t="s">
        <v>2055</v>
      </c>
      <c r="B104" s="1" t="s">
        <v>26</v>
      </c>
      <c r="C104" s="1" t="s">
        <v>17</v>
      </c>
      <c r="D104" s="1" t="s">
        <v>20</v>
      </c>
      <c r="E104" s="12">
        <f>4*F104/29</f>
        <v>4.7075862068965517E-3</v>
      </c>
      <c r="F104" s="12">
        <f>Systems!L25</f>
        <v>3.4130000000000001E-2</v>
      </c>
      <c r="G104" s="1" t="s">
        <v>23</v>
      </c>
      <c r="H104" s="1" t="s">
        <v>489</v>
      </c>
    </row>
    <row r="105" spans="1:8">
      <c r="A105" s="1" t="s">
        <v>2054</v>
      </c>
      <c r="B105" s="1" t="s">
        <v>26</v>
      </c>
      <c r="C105" s="1" t="s">
        <v>17</v>
      </c>
      <c r="D105" s="1" t="s">
        <v>20</v>
      </c>
      <c r="E105" s="12">
        <f>4*F105/29</f>
        <v>4.7075862068965517E-3</v>
      </c>
      <c r="F105" s="12">
        <f>Systems!L25</f>
        <v>3.4130000000000001E-2</v>
      </c>
      <c r="G105" s="1" t="s">
        <v>23</v>
      </c>
      <c r="H105" s="1" t="s">
        <v>489</v>
      </c>
    </row>
    <row r="106" spans="1:8">
      <c r="A106" s="1" t="s">
        <v>4363</v>
      </c>
      <c r="B106" s="1" t="s">
        <v>26</v>
      </c>
      <c r="C106" s="1" t="s">
        <v>17</v>
      </c>
      <c r="D106" s="1" t="s">
        <v>20</v>
      </c>
      <c r="E106" s="12">
        <f>24*F106</f>
        <v>0.81912000000000007</v>
      </c>
      <c r="F106" s="12">
        <f>Systems!L25</f>
        <v>3.4130000000000001E-2</v>
      </c>
      <c r="G106" s="1" t="s">
        <v>23</v>
      </c>
      <c r="H106" s="1" t="s">
        <v>489</v>
      </c>
    </row>
    <row r="107" spans="1:8">
      <c r="A107" s="1" t="s">
        <v>4364</v>
      </c>
      <c r="B107" s="1" t="s">
        <v>26</v>
      </c>
      <c r="C107" s="1" t="s">
        <v>17</v>
      </c>
      <c r="D107" s="1" t="s">
        <v>20</v>
      </c>
      <c r="E107" s="12">
        <f>18*F107</f>
        <v>0.61434</v>
      </c>
      <c r="F107" s="12">
        <f>Systems!L25</f>
        <v>3.4130000000000001E-2</v>
      </c>
      <c r="G107" s="1" t="s">
        <v>23</v>
      </c>
      <c r="H107" s="1" t="s">
        <v>489</v>
      </c>
    </row>
    <row r="108" spans="1:8">
      <c r="A108" s="1" t="s">
        <v>4365</v>
      </c>
      <c r="B108" s="1" t="s">
        <v>26</v>
      </c>
      <c r="C108" s="1" t="s">
        <v>17</v>
      </c>
      <c r="D108" s="1" t="s">
        <v>20</v>
      </c>
      <c r="E108" s="12">
        <f>16*F108</f>
        <v>0.54608000000000001</v>
      </c>
      <c r="F108" s="12">
        <f>Systems!L25</f>
        <v>3.4130000000000001E-2</v>
      </c>
      <c r="G108" s="1" t="s">
        <v>23</v>
      </c>
      <c r="H108" s="1" t="s">
        <v>489</v>
      </c>
    </row>
    <row r="109" spans="1:8">
      <c r="A109" s="1" t="s">
        <v>887</v>
      </c>
      <c r="B109" s="1" t="s">
        <v>26</v>
      </c>
      <c r="C109" s="1" t="s">
        <v>17</v>
      </c>
      <c r="D109" s="1" t="s">
        <v>20</v>
      </c>
      <c r="E109" s="12">
        <f>F109</f>
        <v>3.4130000000000001E-2</v>
      </c>
      <c r="F109" s="12">
        <f>Systems!L25</f>
        <v>3.4130000000000001E-2</v>
      </c>
      <c r="G109" s="1" t="s">
        <v>23</v>
      </c>
      <c r="H109" s="1" t="s">
        <v>489</v>
      </c>
    </row>
    <row r="110" spans="1:8">
      <c r="A110" s="248"/>
      <c r="B110" s="248"/>
      <c r="C110" s="248"/>
      <c r="D110" s="249"/>
      <c r="E110" s="250"/>
      <c r="F110" s="250"/>
      <c r="G110" s="248"/>
      <c r="H110" s="248"/>
    </row>
    <row r="111" spans="1:8">
      <c r="A111" s="1" t="s">
        <v>4366</v>
      </c>
      <c r="B111" s="1" t="s">
        <v>26</v>
      </c>
      <c r="C111" s="1" t="s">
        <v>3033</v>
      </c>
      <c r="D111" s="1" t="s">
        <v>19</v>
      </c>
      <c r="E111" s="12">
        <f>4572*F111/625</f>
        <v>14.6304</v>
      </c>
      <c r="F111" s="12">
        <f>Systems!D30</f>
        <v>2</v>
      </c>
      <c r="G111" s="1" t="s">
        <v>14</v>
      </c>
      <c r="H111" s="1" t="s">
        <v>473</v>
      </c>
    </row>
    <row r="112" spans="1:8">
      <c r="A112" s="1" t="s">
        <v>4367</v>
      </c>
      <c r="B112" s="1" t="s">
        <v>26</v>
      </c>
      <c r="C112" s="1" t="s">
        <v>3033</v>
      </c>
      <c r="D112" s="1" t="s">
        <v>19</v>
      </c>
      <c r="E112" s="12">
        <f>500*F112</f>
        <v>1000</v>
      </c>
      <c r="F112" s="12">
        <f>Systems!D30</f>
        <v>2</v>
      </c>
      <c r="G112" s="1" t="s">
        <v>14</v>
      </c>
      <c r="H112" s="1" t="s">
        <v>473</v>
      </c>
    </row>
    <row r="113" spans="1:8">
      <c r="A113" s="1" t="s">
        <v>165</v>
      </c>
      <c r="B113" s="1" t="s">
        <v>26</v>
      </c>
      <c r="C113" s="1" t="s">
        <v>3033</v>
      </c>
      <c r="D113" s="1" t="s">
        <v>19</v>
      </c>
      <c r="E113" s="12">
        <f>288*F113</f>
        <v>576</v>
      </c>
      <c r="F113" s="12">
        <f>Systems!D30</f>
        <v>2</v>
      </c>
      <c r="G113" s="1" t="s">
        <v>14</v>
      </c>
      <c r="H113" s="1" t="s">
        <v>473</v>
      </c>
    </row>
    <row r="114" spans="1:8">
      <c r="A114" s="1" t="s">
        <v>1688</v>
      </c>
      <c r="B114" s="1" t="s">
        <v>26</v>
      </c>
      <c r="C114" s="1" t="s">
        <v>3033</v>
      </c>
      <c r="D114" s="1" t="s">
        <v>19</v>
      </c>
      <c r="E114" s="12">
        <f>300*F114</f>
        <v>141</v>
      </c>
      <c r="F114" s="12">
        <f>Systems!D28</f>
        <v>0.47</v>
      </c>
      <c r="G114" s="1" t="s">
        <v>14</v>
      </c>
      <c r="H114" s="1" t="s">
        <v>473</v>
      </c>
    </row>
    <row r="115" spans="1:8">
      <c r="A115" s="1" t="s">
        <v>914</v>
      </c>
      <c r="B115" s="1" t="s">
        <v>26</v>
      </c>
      <c r="C115" s="1" t="s">
        <v>3033</v>
      </c>
      <c r="D115" s="1" t="s">
        <v>19</v>
      </c>
      <c r="E115" s="12">
        <f>F115/50000</f>
        <v>4.0000000000000003E-5</v>
      </c>
      <c r="F115" s="12">
        <f>Systems!D30</f>
        <v>2</v>
      </c>
      <c r="G115" s="1" t="s">
        <v>14</v>
      </c>
      <c r="H115" s="1" t="s">
        <v>473</v>
      </c>
    </row>
    <row r="116" spans="1:8">
      <c r="A116" s="1" t="s">
        <v>1756</v>
      </c>
      <c r="B116" s="1" t="s">
        <v>26</v>
      </c>
      <c r="C116" s="1" t="s">
        <v>3033</v>
      </c>
      <c r="D116" s="1" t="s">
        <v>19</v>
      </c>
      <c r="E116" s="12">
        <f>F116/5000000</f>
        <v>3.9999999999999998E-7</v>
      </c>
      <c r="F116" s="12">
        <f>Systems!D30</f>
        <v>2</v>
      </c>
      <c r="G116" s="1" t="s">
        <v>14</v>
      </c>
      <c r="H116" s="1" t="s">
        <v>473</v>
      </c>
    </row>
    <row r="117" spans="1:8">
      <c r="A117" s="1" t="s">
        <v>1954</v>
      </c>
      <c r="B117" s="1" t="s">
        <v>26</v>
      </c>
      <c r="C117" s="1" t="s">
        <v>3033</v>
      </c>
      <c r="D117" s="1" t="s">
        <v>19</v>
      </c>
      <c r="E117" s="12">
        <f>F117/5000</f>
        <v>4.0000000000000002E-4</v>
      </c>
      <c r="F117" s="12">
        <f>Systems!D30</f>
        <v>2</v>
      </c>
      <c r="G117" s="1" t="s">
        <v>14</v>
      </c>
      <c r="H117" s="1" t="s">
        <v>473</v>
      </c>
    </row>
    <row r="118" spans="1:8">
      <c r="A118" s="1" t="s">
        <v>1995</v>
      </c>
      <c r="B118" s="1" t="s">
        <v>26</v>
      </c>
      <c r="C118" s="1" t="s">
        <v>3033</v>
      </c>
      <c r="D118" s="1" t="s">
        <v>19</v>
      </c>
      <c r="E118" s="176">
        <f>F118/5000</f>
        <v>4.0000000000000002E-4</v>
      </c>
      <c r="F118" s="12">
        <f>Systems!D30</f>
        <v>2</v>
      </c>
      <c r="G118" s="1" t="s">
        <v>14</v>
      </c>
      <c r="H118" s="1" t="s">
        <v>473</v>
      </c>
    </row>
    <row r="119" spans="1:8">
      <c r="A119" s="1" t="s">
        <v>4368</v>
      </c>
      <c r="B119" s="1" t="s">
        <v>26</v>
      </c>
      <c r="C119" s="1" t="s">
        <v>3033</v>
      </c>
      <c r="D119" s="1" t="s">
        <v>19</v>
      </c>
      <c r="E119" s="12">
        <f>F119/100</f>
        <v>4.6999999999999993E-3</v>
      </c>
      <c r="F119" s="12">
        <f>Systems!D28</f>
        <v>0.47</v>
      </c>
      <c r="G119" s="1" t="s">
        <v>14</v>
      </c>
      <c r="H119" s="1" t="s">
        <v>473</v>
      </c>
    </row>
    <row r="120" spans="1:8">
      <c r="A120" s="1" t="s">
        <v>2012</v>
      </c>
      <c r="B120" s="1" t="s">
        <v>26</v>
      </c>
      <c r="C120" s="1" t="s">
        <v>3033</v>
      </c>
      <c r="D120" s="1" t="s">
        <v>19</v>
      </c>
      <c r="E120" s="12">
        <f>150*F120</f>
        <v>70.5</v>
      </c>
      <c r="F120" s="12">
        <f>Systems!D28</f>
        <v>0.47</v>
      </c>
      <c r="G120" s="1" t="s">
        <v>14</v>
      </c>
      <c r="H120" s="1" t="s">
        <v>473</v>
      </c>
    </row>
    <row r="121" spans="1:8">
      <c r="A121" s="1" t="s">
        <v>994</v>
      </c>
      <c r="B121" s="1" t="s">
        <v>26</v>
      </c>
      <c r="C121" s="1" t="s">
        <v>3033</v>
      </c>
      <c r="D121" s="1" t="s">
        <v>19</v>
      </c>
      <c r="E121" s="12">
        <f>F121</f>
        <v>2</v>
      </c>
      <c r="F121" s="12">
        <f>Systems!D30</f>
        <v>2</v>
      </c>
      <c r="G121" s="1" t="s">
        <v>14</v>
      </c>
      <c r="H121" s="1" t="s">
        <v>473</v>
      </c>
    </row>
    <row r="122" spans="1:8">
      <c r="A122" s="1" t="s">
        <v>4369</v>
      </c>
      <c r="B122" s="1" t="s">
        <v>26</v>
      </c>
      <c r="C122" s="1" t="s">
        <v>3033</v>
      </c>
      <c r="D122" s="1" t="s">
        <v>19</v>
      </c>
      <c r="E122" s="12">
        <f>5*F122</f>
        <v>2.3499999999999996</v>
      </c>
      <c r="F122" s="12">
        <f>Systems!D28</f>
        <v>0.47</v>
      </c>
      <c r="G122" s="1" t="s">
        <v>14</v>
      </c>
      <c r="H122" s="1" t="s">
        <v>473</v>
      </c>
    </row>
    <row r="123" spans="1:8">
      <c r="A123" s="1" t="s">
        <v>2258</v>
      </c>
      <c r="B123" s="1" t="s">
        <v>26</v>
      </c>
      <c r="C123" s="1" t="s">
        <v>3033</v>
      </c>
      <c r="D123" s="1" t="s">
        <v>19</v>
      </c>
      <c r="E123" s="12">
        <f>F123/500</f>
        <v>4.0000000000000001E-3</v>
      </c>
      <c r="F123" s="12">
        <f>Systems!D30</f>
        <v>2</v>
      </c>
      <c r="G123" s="1" t="s">
        <v>14</v>
      </c>
      <c r="H123" s="1" t="s">
        <v>473</v>
      </c>
    </row>
    <row r="124" spans="1:8">
      <c r="A124" s="1" t="s">
        <v>4370</v>
      </c>
      <c r="B124" s="8" t="s">
        <v>26</v>
      </c>
      <c r="C124" s="1" t="s">
        <v>3033</v>
      </c>
      <c r="D124" s="1" t="s">
        <v>19</v>
      </c>
      <c r="E124" s="12">
        <f>F124/100</f>
        <v>4.6999999999999993E-3</v>
      </c>
      <c r="F124" s="12">
        <f>Systems!D28</f>
        <v>0.47</v>
      </c>
      <c r="G124" s="1" t="s">
        <v>14</v>
      </c>
      <c r="H124" s="1" t="s">
        <v>473</v>
      </c>
    </row>
    <row r="125" spans="1:8">
      <c r="A125" s="1" t="s">
        <v>4371</v>
      </c>
      <c r="B125" s="8" t="s">
        <v>4372</v>
      </c>
      <c r="C125" s="1" t="s">
        <v>3033</v>
      </c>
      <c r="D125" s="1" t="s">
        <v>19</v>
      </c>
      <c r="E125" s="12">
        <f>F125/100</f>
        <v>4.6999999999999993E-3</v>
      </c>
      <c r="F125" s="12">
        <f>Systems!D28</f>
        <v>0.47</v>
      </c>
      <c r="G125" s="1" t="s">
        <v>14</v>
      </c>
      <c r="H125" s="1" t="s">
        <v>473</v>
      </c>
    </row>
    <row r="126" spans="1:8">
      <c r="A126" s="1" t="s">
        <v>2432</v>
      </c>
      <c r="B126" s="1" t="s">
        <v>26</v>
      </c>
      <c r="C126" s="1" t="s">
        <v>3033</v>
      </c>
      <c r="D126" s="1" t="s">
        <v>19</v>
      </c>
      <c r="E126" s="12">
        <f>15*F126</f>
        <v>7.05</v>
      </c>
      <c r="F126" s="12">
        <f>Systems!D28</f>
        <v>0.47</v>
      </c>
      <c r="G126" s="1" t="s">
        <v>14</v>
      </c>
      <c r="H126" s="1" t="s">
        <v>473</v>
      </c>
    </row>
    <row r="127" spans="1:8">
      <c r="A127" s="1" t="s">
        <v>2595</v>
      </c>
      <c r="B127" s="1" t="s">
        <v>26</v>
      </c>
      <c r="C127" s="1" t="s">
        <v>3033</v>
      </c>
      <c r="D127" s="1" t="s">
        <v>19</v>
      </c>
      <c r="E127" s="12">
        <f>F127/50</f>
        <v>0.04</v>
      </c>
      <c r="F127" s="12">
        <f>Systems!D30</f>
        <v>2</v>
      </c>
      <c r="G127" s="1" t="s">
        <v>14</v>
      </c>
      <c r="H127" s="1" t="s">
        <v>473</v>
      </c>
    </row>
    <row r="128" spans="1:8">
      <c r="A128" s="1" t="s">
        <v>2603</v>
      </c>
      <c r="B128" s="1" t="s">
        <v>26</v>
      </c>
      <c r="C128" s="1" t="s">
        <v>3033</v>
      </c>
      <c r="D128" s="1" t="s">
        <v>19</v>
      </c>
      <c r="E128" s="12">
        <f>5*F128</f>
        <v>2.3499999999999996</v>
      </c>
      <c r="F128" s="12">
        <f>Systems!D28</f>
        <v>0.47</v>
      </c>
      <c r="G128" s="1" t="s">
        <v>14</v>
      </c>
      <c r="H128" s="1" t="s">
        <v>473</v>
      </c>
    </row>
    <row r="129" spans="1:8">
      <c r="A129" s="1" t="s">
        <v>2617</v>
      </c>
      <c r="B129" s="1" t="s">
        <v>26</v>
      </c>
      <c r="C129" s="1" t="s">
        <v>3033</v>
      </c>
      <c r="D129" s="1" t="s">
        <v>19</v>
      </c>
      <c r="E129" s="12">
        <f>F129/10</f>
        <v>4.7E-2</v>
      </c>
      <c r="F129" s="12">
        <f>Systems!D28</f>
        <v>0.47</v>
      </c>
      <c r="G129" s="1" t="s">
        <v>14</v>
      </c>
      <c r="H129" s="1" t="s">
        <v>473</v>
      </c>
    </row>
    <row r="130" spans="1:8">
      <c r="A130" s="1" t="s">
        <v>2646</v>
      </c>
      <c r="B130" s="1" t="s">
        <v>26</v>
      </c>
      <c r="C130" s="1" t="s">
        <v>3033</v>
      </c>
      <c r="D130" s="1" t="s">
        <v>19</v>
      </c>
      <c r="E130" s="12">
        <f>30*F130</f>
        <v>14.1</v>
      </c>
      <c r="F130" s="12">
        <f>Systems!D28</f>
        <v>0.47</v>
      </c>
      <c r="G130" s="1" t="s">
        <v>14</v>
      </c>
      <c r="H130" s="1" t="s">
        <v>473</v>
      </c>
    </row>
    <row r="131" spans="1:8">
      <c r="A131" s="1" t="s">
        <v>6918</v>
      </c>
      <c r="B131" s="1" t="s">
        <v>26</v>
      </c>
      <c r="C131" s="1" t="s">
        <v>3033</v>
      </c>
      <c r="D131" s="1" t="s">
        <v>19</v>
      </c>
      <c r="E131" s="12">
        <f>250*F131</f>
        <v>500</v>
      </c>
      <c r="F131" s="166">
        <f>Systems!D30</f>
        <v>2</v>
      </c>
      <c r="G131" s="1" t="s">
        <v>14</v>
      </c>
      <c r="H131" s="1" t="s">
        <v>473</v>
      </c>
    </row>
    <row r="132" spans="1:8">
      <c r="A132" s="1" t="s">
        <v>2654</v>
      </c>
      <c r="B132" s="1" t="s">
        <v>26</v>
      </c>
      <c r="C132" s="1" t="s">
        <v>3033</v>
      </c>
      <c r="D132" s="1" t="s">
        <v>19</v>
      </c>
      <c r="E132" s="12">
        <f>F132/5</f>
        <v>0.4</v>
      </c>
      <c r="F132" s="12">
        <f>Systems!D30</f>
        <v>2</v>
      </c>
      <c r="G132" s="1" t="s">
        <v>14</v>
      </c>
      <c r="H132" s="1" t="s">
        <v>473</v>
      </c>
    </row>
    <row r="133" spans="1:8">
      <c r="A133" s="1" t="s">
        <v>4373</v>
      </c>
      <c r="B133" s="1" t="s">
        <v>26</v>
      </c>
      <c r="C133" s="1" t="s">
        <v>3033</v>
      </c>
      <c r="D133" s="1" t="s">
        <v>19</v>
      </c>
      <c r="E133" s="12">
        <f>F133</f>
        <v>0.47</v>
      </c>
      <c r="F133" s="12">
        <f>Systems!D28</f>
        <v>0.47</v>
      </c>
      <c r="G133" s="1" t="s">
        <v>14</v>
      </c>
      <c r="H133" s="1" t="s">
        <v>473</v>
      </c>
    </row>
    <row r="134" spans="1:8">
      <c r="A134" s="1" t="s">
        <v>4374</v>
      </c>
      <c r="B134" s="1" t="s">
        <v>26</v>
      </c>
      <c r="C134" s="1" t="s">
        <v>3033</v>
      </c>
      <c r="D134" s="1" t="s">
        <v>19</v>
      </c>
      <c r="E134" s="12">
        <f>F134</f>
        <v>0.42499999999999999</v>
      </c>
      <c r="F134" s="12">
        <f>Systems!D27</f>
        <v>0.42499999999999999</v>
      </c>
      <c r="G134" s="1" t="s">
        <v>14</v>
      </c>
      <c r="H134" s="1" t="s">
        <v>473</v>
      </c>
    </row>
    <row r="135" spans="1:8">
      <c r="A135" s="1" t="s">
        <v>4375</v>
      </c>
      <c r="B135" s="1" t="s">
        <v>26</v>
      </c>
      <c r="C135" s="1" t="s">
        <v>3033</v>
      </c>
      <c r="D135" s="1" t="s">
        <v>19</v>
      </c>
      <c r="E135" s="12">
        <f>F135/5</f>
        <v>0.4</v>
      </c>
      <c r="F135" s="12">
        <f>Systems!D30</f>
        <v>2</v>
      </c>
      <c r="G135" s="1" t="s">
        <v>14</v>
      </c>
      <c r="H135" s="1" t="s">
        <v>473</v>
      </c>
    </row>
    <row r="136" spans="1:8">
      <c r="A136" s="1" t="s">
        <v>4376</v>
      </c>
      <c r="B136" s="1" t="s">
        <v>26</v>
      </c>
      <c r="C136" s="1" t="s">
        <v>3033</v>
      </c>
      <c r="D136" s="1" t="s">
        <v>19</v>
      </c>
      <c r="E136" s="12">
        <f>F136</f>
        <v>0.64400000000000002</v>
      </c>
      <c r="F136" s="12">
        <f>Systems!D29</f>
        <v>0.64400000000000002</v>
      </c>
      <c r="G136" s="1" t="s">
        <v>14</v>
      </c>
      <c r="H136" s="1" t="s">
        <v>473</v>
      </c>
    </row>
    <row r="137" spans="1:8">
      <c r="A137" s="1" t="s">
        <v>2655</v>
      </c>
      <c r="B137" s="1" t="s">
        <v>26</v>
      </c>
      <c r="C137" s="1" t="s">
        <v>3033</v>
      </c>
      <c r="D137" s="1" t="s">
        <v>19</v>
      </c>
      <c r="E137" s="12">
        <f>F137/500000</f>
        <v>3.9999999999999998E-6</v>
      </c>
      <c r="F137" s="12">
        <f>Systems!D30</f>
        <v>2</v>
      </c>
      <c r="G137" s="1" t="s">
        <v>14</v>
      </c>
      <c r="H137" s="1" t="s">
        <v>473</v>
      </c>
    </row>
    <row r="138" spans="1:8">
      <c r="A138" s="1" t="s">
        <v>2708</v>
      </c>
      <c r="B138" s="1" t="s">
        <v>26</v>
      </c>
      <c r="C138" s="1" t="s">
        <v>3033</v>
      </c>
      <c r="D138" s="1" t="s">
        <v>19</v>
      </c>
      <c r="E138" s="12">
        <f>2*F138</f>
        <v>4</v>
      </c>
      <c r="F138" s="12">
        <f>Systems!D30</f>
        <v>2</v>
      </c>
      <c r="G138" s="1" t="s">
        <v>14</v>
      </c>
      <c r="H138" s="1" t="s">
        <v>473</v>
      </c>
    </row>
    <row r="139" spans="1:8">
      <c r="A139" s="1" t="s">
        <v>4377</v>
      </c>
      <c r="B139" s="1" t="s">
        <v>26</v>
      </c>
      <c r="C139" s="1" t="s">
        <v>3033</v>
      </c>
      <c r="D139" s="1" t="s">
        <v>19</v>
      </c>
      <c r="E139" s="12">
        <f>F139</f>
        <v>0.47</v>
      </c>
      <c r="F139" s="12">
        <f>Systems!D28</f>
        <v>0.47</v>
      </c>
      <c r="G139" s="1" t="s">
        <v>14</v>
      </c>
      <c r="H139" s="1" t="s">
        <v>473</v>
      </c>
    </row>
    <row r="140" spans="1:8">
      <c r="A140" s="1" t="s">
        <v>2717</v>
      </c>
      <c r="B140" s="1" t="s">
        <v>26</v>
      </c>
      <c r="C140" s="1" t="s">
        <v>3033</v>
      </c>
      <c r="D140" s="1" t="s">
        <v>19</v>
      </c>
      <c r="E140" s="12">
        <f>F140/50</f>
        <v>0.04</v>
      </c>
      <c r="F140" s="12">
        <f>Systems!D30</f>
        <v>2</v>
      </c>
      <c r="G140" s="1" t="s">
        <v>14</v>
      </c>
      <c r="H140" s="1" t="s">
        <v>473</v>
      </c>
    </row>
    <row r="141" spans="1:8">
      <c r="A141" s="1" t="s">
        <v>2770</v>
      </c>
      <c r="B141" s="1" t="s">
        <v>26</v>
      </c>
      <c r="C141" s="1" t="s">
        <v>3033</v>
      </c>
      <c r="D141" s="1" t="s">
        <v>19</v>
      </c>
      <c r="E141" s="12">
        <f>F141/50000000</f>
        <v>4.0000000000000001E-8</v>
      </c>
      <c r="F141" s="12">
        <f>Systems!D30</f>
        <v>2</v>
      </c>
      <c r="G141" s="1" t="s">
        <v>14</v>
      </c>
      <c r="H141" s="1" t="s">
        <v>473</v>
      </c>
    </row>
    <row r="142" spans="1:8">
      <c r="A142" s="1" t="s">
        <v>2799</v>
      </c>
      <c r="B142" s="1" t="s">
        <v>26</v>
      </c>
      <c r="C142" s="1" t="s">
        <v>3033</v>
      </c>
      <c r="D142" s="1" t="s">
        <v>19</v>
      </c>
      <c r="E142" s="12">
        <f>F142/5</f>
        <v>0.4</v>
      </c>
      <c r="F142" s="12">
        <f>Systems!D30</f>
        <v>2</v>
      </c>
      <c r="G142" s="1" t="s">
        <v>14</v>
      </c>
      <c r="H142" s="1" t="s">
        <v>473</v>
      </c>
    </row>
    <row r="143" spans="1:8" ht="16.5">
      <c r="A143" s="1" t="s">
        <v>1354</v>
      </c>
      <c r="B143" s="1" t="s">
        <v>26</v>
      </c>
      <c r="C143" s="1" t="s">
        <v>3034</v>
      </c>
      <c r="D143" s="1" t="s">
        <v>38</v>
      </c>
      <c r="E143" s="12">
        <f>150*F143</f>
        <v>360</v>
      </c>
      <c r="F143" s="12">
        <f>Systems!H28</f>
        <v>2.4</v>
      </c>
      <c r="G143" s="1" t="s">
        <v>39</v>
      </c>
      <c r="H143" s="1" t="s">
        <v>473</v>
      </c>
    </row>
    <row r="144" spans="1:8" ht="16.5">
      <c r="A144" s="1" t="s">
        <v>1428</v>
      </c>
      <c r="B144" s="1" t="s">
        <v>26</v>
      </c>
      <c r="C144" s="1" t="s">
        <v>3034</v>
      </c>
      <c r="D144" s="1" t="s">
        <v>38</v>
      </c>
      <c r="E144" s="12">
        <f>1250*F144/3</f>
        <v>1000</v>
      </c>
      <c r="F144" s="12">
        <f>Systems!H28</f>
        <v>2.4</v>
      </c>
      <c r="G144" s="1" t="s">
        <v>39</v>
      </c>
      <c r="H144" s="1" t="s">
        <v>473</v>
      </c>
    </row>
    <row r="145" spans="1:8" ht="16.5">
      <c r="A145" s="1" t="s">
        <v>4378</v>
      </c>
      <c r="B145" s="1" t="s">
        <v>26</v>
      </c>
      <c r="C145" s="1" t="s">
        <v>3034</v>
      </c>
      <c r="D145" s="1" t="s">
        <v>38</v>
      </c>
      <c r="E145" s="12">
        <f>1250*F145/3</f>
        <v>1000</v>
      </c>
      <c r="F145" s="12">
        <f>Systems!H28</f>
        <v>2.4</v>
      </c>
      <c r="G145" s="1" t="s">
        <v>39</v>
      </c>
      <c r="H145" s="1" t="s">
        <v>473</v>
      </c>
    </row>
    <row r="146" spans="1:8" ht="16.5">
      <c r="A146" s="1" t="s">
        <v>4379</v>
      </c>
      <c r="B146" s="1" t="s">
        <v>26</v>
      </c>
      <c r="C146" s="1" t="s">
        <v>3034</v>
      </c>
      <c r="D146" s="1" t="s">
        <v>38</v>
      </c>
      <c r="E146" s="12">
        <f>138240*F146</f>
        <v>331776</v>
      </c>
      <c r="F146" s="12">
        <f>Systems!H28</f>
        <v>2.4</v>
      </c>
      <c r="G146" s="1" t="s">
        <v>39</v>
      </c>
      <c r="H146" s="1" t="s">
        <v>473</v>
      </c>
    </row>
    <row r="147" spans="1:8" ht="16.5">
      <c r="A147" s="1" t="s">
        <v>1675</v>
      </c>
      <c r="B147" s="1" t="s">
        <v>26</v>
      </c>
      <c r="C147" s="1" t="s">
        <v>3034</v>
      </c>
      <c r="D147" s="1" t="s">
        <v>38</v>
      </c>
      <c r="E147" s="12">
        <f>F147/15</f>
        <v>0.16</v>
      </c>
      <c r="F147" s="12">
        <f>Systems!H28</f>
        <v>2.4</v>
      </c>
      <c r="G147" s="1" t="s">
        <v>39</v>
      </c>
      <c r="H147" s="1" t="s">
        <v>473</v>
      </c>
    </row>
    <row r="148" spans="1:8" ht="16.5">
      <c r="A148" s="1" t="s">
        <v>1835</v>
      </c>
      <c r="B148" s="1" t="s">
        <v>26</v>
      </c>
      <c r="C148" s="1" t="s">
        <v>3034</v>
      </c>
      <c r="D148" s="1" t="s">
        <v>38</v>
      </c>
      <c r="E148" s="12">
        <f>F148/150</f>
        <v>1.6E-2</v>
      </c>
      <c r="F148" s="12">
        <f>Systems!H28</f>
        <v>2.4</v>
      </c>
      <c r="G148" s="1" t="s">
        <v>39</v>
      </c>
      <c r="H148" s="1" t="s">
        <v>473</v>
      </c>
    </row>
    <row r="149" spans="1:8" ht="16.5">
      <c r="A149" s="1" t="s">
        <v>2035</v>
      </c>
      <c r="B149" s="1" t="s">
        <v>26</v>
      </c>
      <c r="C149" s="1" t="s">
        <v>3034</v>
      </c>
      <c r="D149" s="1" t="s">
        <v>38</v>
      </c>
      <c r="E149" s="12">
        <f>1500*F149</f>
        <v>3600</v>
      </c>
      <c r="F149" s="12">
        <f>Systems!H28</f>
        <v>2.4</v>
      </c>
      <c r="G149" s="1" t="s">
        <v>39</v>
      </c>
      <c r="H149" s="1" t="s">
        <v>473</v>
      </c>
    </row>
    <row r="150" spans="1:8" ht="16.5">
      <c r="A150" s="1" t="s">
        <v>4380</v>
      </c>
      <c r="B150" s="1" t="s">
        <v>26</v>
      </c>
      <c r="C150" s="1" t="s">
        <v>3034</v>
      </c>
      <c r="D150" s="1" t="s">
        <v>38</v>
      </c>
      <c r="E150" s="12">
        <f>900*F150</f>
        <v>4970.2499999999982</v>
      </c>
      <c r="F150" s="12">
        <f>Systems!H27</f>
        <v>5.5224999999999982</v>
      </c>
      <c r="G150" s="1" t="s">
        <v>39</v>
      </c>
      <c r="H150" s="1" t="s">
        <v>473</v>
      </c>
    </row>
    <row r="151" spans="1:8" ht="16.5">
      <c r="A151" s="1" t="s">
        <v>2062</v>
      </c>
      <c r="B151" s="8" t="s">
        <v>26</v>
      </c>
      <c r="C151" s="1" t="s">
        <v>3034</v>
      </c>
      <c r="D151" s="1" t="s">
        <v>38</v>
      </c>
      <c r="E151" s="12">
        <f>15*F151</f>
        <v>36</v>
      </c>
      <c r="F151" s="12">
        <f>Systems!H28</f>
        <v>2.4</v>
      </c>
      <c r="G151" s="1" t="s">
        <v>39</v>
      </c>
      <c r="H151" s="1" t="s">
        <v>473</v>
      </c>
    </row>
    <row r="152" spans="1:8" ht="16.5">
      <c r="A152" s="1" t="s">
        <v>2150</v>
      </c>
      <c r="B152" s="1" t="s">
        <v>26</v>
      </c>
      <c r="C152" s="1" t="s">
        <v>3034</v>
      </c>
      <c r="D152" s="1" t="s">
        <v>38</v>
      </c>
      <c r="E152" s="12">
        <f>F152/15</f>
        <v>0.16</v>
      </c>
      <c r="F152" s="12">
        <f>Systems!H28</f>
        <v>2.4</v>
      </c>
      <c r="G152" s="1" t="s">
        <v>39</v>
      </c>
      <c r="H152" s="1" t="s">
        <v>473</v>
      </c>
    </row>
    <row r="153" spans="1:8" ht="16.5">
      <c r="A153" s="1" t="s">
        <v>2258</v>
      </c>
      <c r="B153" s="1" t="s">
        <v>26</v>
      </c>
      <c r="C153" s="1" t="s">
        <v>3034</v>
      </c>
      <c r="D153" s="1" t="s">
        <v>38</v>
      </c>
      <c r="E153" s="12">
        <f>F153/10</f>
        <v>0.24</v>
      </c>
      <c r="F153" s="12">
        <f>Systems!H28</f>
        <v>2.4</v>
      </c>
      <c r="G153" s="1" t="s">
        <v>39</v>
      </c>
      <c r="H153" s="1" t="s">
        <v>473</v>
      </c>
    </row>
    <row r="154" spans="1:8" ht="16.5">
      <c r="A154" s="1" t="s">
        <v>2361</v>
      </c>
      <c r="B154" s="1" t="s">
        <v>26</v>
      </c>
      <c r="C154" s="1" t="s">
        <v>3034</v>
      </c>
      <c r="D154" s="1" t="s">
        <v>38</v>
      </c>
      <c r="E154" s="12">
        <f>1800*F154</f>
        <v>9940.4999999999964</v>
      </c>
      <c r="F154" s="12">
        <f>Systems!H27</f>
        <v>5.5224999999999982</v>
      </c>
      <c r="G154" s="1" t="s">
        <v>39</v>
      </c>
      <c r="H154" s="1" t="s">
        <v>473</v>
      </c>
    </row>
    <row r="155" spans="1:8" ht="16.5">
      <c r="A155" s="1" t="s">
        <v>2432</v>
      </c>
      <c r="B155" s="1" t="s">
        <v>26</v>
      </c>
      <c r="C155" s="1" t="s">
        <v>3034</v>
      </c>
      <c r="D155" s="1" t="s">
        <v>38</v>
      </c>
      <c r="E155" s="12">
        <f>150*F155</f>
        <v>360</v>
      </c>
      <c r="F155" s="12">
        <f>Systems!H28</f>
        <v>2.4</v>
      </c>
      <c r="G155" s="1" t="s">
        <v>39</v>
      </c>
      <c r="H155" s="1" t="s">
        <v>473</v>
      </c>
    </row>
    <row r="156" spans="1:8" ht="16.5">
      <c r="A156" s="1" t="s">
        <v>4381</v>
      </c>
      <c r="B156" s="1" t="s">
        <v>26</v>
      </c>
      <c r="C156" s="1" t="s">
        <v>3034</v>
      </c>
      <c r="D156" s="1" t="s">
        <v>38</v>
      </c>
      <c r="E156" s="12">
        <f>90*F156</f>
        <v>497.02499999999986</v>
      </c>
      <c r="F156" s="12">
        <f>Systems!H27</f>
        <v>5.5224999999999982</v>
      </c>
      <c r="G156" s="1" t="s">
        <v>39</v>
      </c>
      <c r="H156" s="1" t="s">
        <v>473</v>
      </c>
    </row>
    <row r="157" spans="1:8" ht="16.5">
      <c r="A157" s="1" t="s">
        <v>4382</v>
      </c>
      <c r="B157" s="1" t="s">
        <v>26</v>
      </c>
      <c r="C157" s="1" t="s">
        <v>3034</v>
      </c>
      <c r="D157" s="1" t="s">
        <v>38</v>
      </c>
      <c r="E157" s="12">
        <f>F157</f>
        <v>5.5224999999999982</v>
      </c>
      <c r="F157" s="12">
        <f>Systems!H27</f>
        <v>5.5224999999999982</v>
      </c>
      <c r="G157" s="1" t="s">
        <v>39</v>
      </c>
      <c r="H157" s="1" t="s">
        <v>473</v>
      </c>
    </row>
    <row r="158" spans="1:8" ht="16.5">
      <c r="A158" s="1" t="s">
        <v>2595</v>
      </c>
      <c r="B158" s="1" t="s">
        <v>26</v>
      </c>
      <c r="C158" s="1" t="s">
        <v>3034</v>
      </c>
      <c r="D158" s="1" t="s">
        <v>38</v>
      </c>
      <c r="E158" s="12">
        <f>F158</f>
        <v>2.4</v>
      </c>
      <c r="F158" s="12">
        <f>Systems!H28</f>
        <v>2.4</v>
      </c>
      <c r="G158" s="1" t="s">
        <v>39</v>
      </c>
      <c r="H158" s="1" t="s">
        <v>473</v>
      </c>
    </row>
    <row r="159" spans="1:8" ht="16.5">
      <c r="A159" s="1" t="s">
        <v>991</v>
      </c>
      <c r="B159" s="1" t="s">
        <v>26</v>
      </c>
      <c r="C159" s="1" t="s">
        <v>3034</v>
      </c>
      <c r="D159" s="1" t="s">
        <v>38</v>
      </c>
      <c r="E159" s="12">
        <f>5*F159/3</f>
        <v>4</v>
      </c>
      <c r="F159" s="12">
        <f>Systems!H28</f>
        <v>2.4</v>
      </c>
      <c r="G159" s="1" t="s">
        <v>39</v>
      </c>
      <c r="H159" s="1" t="s">
        <v>473</v>
      </c>
    </row>
    <row r="160" spans="1:8" ht="16.5">
      <c r="A160" s="1" t="s">
        <v>993</v>
      </c>
      <c r="B160" s="1" t="s">
        <v>26</v>
      </c>
      <c r="C160" s="1" t="s">
        <v>3034</v>
      </c>
      <c r="D160" s="1" t="s">
        <v>38</v>
      </c>
      <c r="E160" s="12">
        <f>F160</f>
        <v>2.4</v>
      </c>
      <c r="F160" s="12">
        <f>Systems!H28</f>
        <v>2.4</v>
      </c>
      <c r="G160" s="1" t="s">
        <v>39</v>
      </c>
      <c r="H160" s="1" t="s">
        <v>473</v>
      </c>
    </row>
    <row r="161" spans="1:8" ht="16.5">
      <c r="A161" s="1" t="s">
        <v>2654</v>
      </c>
      <c r="B161" s="1" t="s">
        <v>26</v>
      </c>
      <c r="C161" s="1" t="s">
        <v>3034</v>
      </c>
      <c r="D161" s="1" t="s">
        <v>38</v>
      </c>
      <c r="E161" s="12">
        <f>10*F161</f>
        <v>24</v>
      </c>
      <c r="F161" s="12">
        <f>Systems!H28</f>
        <v>2.4</v>
      </c>
      <c r="G161" s="1" t="s">
        <v>39</v>
      </c>
      <c r="H161" s="1" t="s">
        <v>473</v>
      </c>
    </row>
    <row r="162" spans="1:8" ht="16.5">
      <c r="A162" s="1" t="s">
        <v>4383</v>
      </c>
      <c r="B162" s="1" t="s">
        <v>26</v>
      </c>
      <c r="C162" s="1" t="s">
        <v>3034</v>
      </c>
      <c r="D162" s="1" t="s">
        <v>38</v>
      </c>
      <c r="E162" s="12">
        <f>6*F162</f>
        <v>33.134999999999991</v>
      </c>
      <c r="F162" s="12">
        <f>Systems!H27</f>
        <v>5.5224999999999982</v>
      </c>
      <c r="G162" s="1" t="s">
        <v>39</v>
      </c>
      <c r="H162" s="1" t="s">
        <v>473</v>
      </c>
    </row>
    <row r="163" spans="1:8" ht="16.5">
      <c r="A163" s="1" t="s">
        <v>2799</v>
      </c>
      <c r="B163" s="1" t="s">
        <v>26</v>
      </c>
      <c r="C163" s="1" t="s">
        <v>3034</v>
      </c>
      <c r="D163" s="1" t="s">
        <v>38</v>
      </c>
      <c r="E163" s="12">
        <f>10*F163</f>
        <v>24</v>
      </c>
      <c r="F163" s="12">
        <f>Systems!H28</f>
        <v>2.4</v>
      </c>
      <c r="G163" s="1" t="s">
        <v>39</v>
      </c>
      <c r="H163" s="1" t="s">
        <v>473</v>
      </c>
    </row>
    <row r="164" spans="1:8" ht="16.5">
      <c r="A164" s="1" t="s">
        <v>1749</v>
      </c>
      <c r="B164" s="1" t="s">
        <v>26</v>
      </c>
      <c r="C164" s="1" t="s">
        <v>2936</v>
      </c>
      <c r="D164" s="1" t="s">
        <v>32</v>
      </c>
      <c r="E164" s="12">
        <f>10*F164</f>
        <v>16</v>
      </c>
      <c r="F164" s="12">
        <f>Systems!T27</f>
        <v>1.6</v>
      </c>
      <c r="G164" s="1" t="s">
        <v>33</v>
      </c>
      <c r="H164" s="1" t="s">
        <v>473</v>
      </c>
    </row>
    <row r="165" spans="1:8" ht="16.5">
      <c r="A165" s="1" t="s">
        <v>1937</v>
      </c>
      <c r="B165" s="1" t="s">
        <v>26</v>
      </c>
      <c r="C165" s="1" t="s">
        <v>2936</v>
      </c>
      <c r="D165" s="1" t="s">
        <v>32</v>
      </c>
      <c r="E165" s="12">
        <f>F165</f>
        <v>1.6</v>
      </c>
      <c r="F165" s="12">
        <f>Systems!T27</f>
        <v>1.6</v>
      </c>
      <c r="G165" s="1" t="s">
        <v>33</v>
      </c>
      <c r="H165" s="1" t="s">
        <v>473</v>
      </c>
    </row>
    <row r="166" spans="1:8" ht="16.5">
      <c r="A166" s="1" t="s">
        <v>2062</v>
      </c>
      <c r="B166" s="8" t="s">
        <v>26</v>
      </c>
      <c r="C166" s="1" t="s">
        <v>2936</v>
      </c>
      <c r="D166" s="1" t="s">
        <v>32</v>
      </c>
      <c r="E166" s="12">
        <f>9*F166</f>
        <v>14.4</v>
      </c>
      <c r="F166" s="12">
        <f>Systems!T27</f>
        <v>1.6</v>
      </c>
      <c r="G166" s="1" t="s">
        <v>33</v>
      </c>
      <c r="H166" s="1" t="s">
        <v>473</v>
      </c>
    </row>
    <row r="167" spans="1:8" ht="16.5">
      <c r="A167" s="1" t="s">
        <v>2259</v>
      </c>
      <c r="B167" s="1" t="s">
        <v>26</v>
      </c>
      <c r="C167" s="1" t="s">
        <v>2936</v>
      </c>
      <c r="D167" s="1" t="s">
        <v>32</v>
      </c>
      <c r="E167" s="12">
        <f>5*F167</f>
        <v>8</v>
      </c>
      <c r="F167" s="12">
        <f>Systems!T27</f>
        <v>1.6</v>
      </c>
      <c r="G167" s="1" t="s">
        <v>33</v>
      </c>
      <c r="H167" s="1" t="s">
        <v>473</v>
      </c>
    </row>
    <row r="168" spans="1:8" ht="16.5">
      <c r="A168" s="1" t="s">
        <v>991</v>
      </c>
      <c r="B168" s="1" t="s">
        <v>26</v>
      </c>
      <c r="C168" s="1" t="s">
        <v>2936</v>
      </c>
      <c r="D168" s="1" t="s">
        <v>32</v>
      </c>
      <c r="E168" s="12">
        <f>F168</f>
        <v>1.6</v>
      </c>
      <c r="F168" s="12">
        <f>Systems!T27</f>
        <v>1.6</v>
      </c>
      <c r="G168" s="1" t="s">
        <v>33</v>
      </c>
      <c r="H168" s="1" t="s">
        <v>473</v>
      </c>
    </row>
    <row r="169" spans="1:8" ht="16.5">
      <c r="A169" s="1" t="s">
        <v>2668</v>
      </c>
      <c r="B169" s="1" t="s">
        <v>26</v>
      </c>
      <c r="C169" s="1" t="s">
        <v>2936</v>
      </c>
      <c r="D169" s="1" t="s">
        <v>32</v>
      </c>
      <c r="E169" s="12">
        <f>2*F169</f>
        <v>5.6520000000000001E-2</v>
      </c>
      <c r="F169" s="12">
        <f>Systems!P27</f>
        <v>2.826E-2</v>
      </c>
      <c r="G169" s="1" t="s">
        <v>33</v>
      </c>
      <c r="H169" s="1" t="s">
        <v>473</v>
      </c>
    </row>
    <row r="170" spans="1:8" ht="16.5">
      <c r="A170" s="1" t="s">
        <v>2781</v>
      </c>
      <c r="B170" s="1" t="s">
        <v>26</v>
      </c>
      <c r="C170" s="1" t="s">
        <v>2936</v>
      </c>
      <c r="D170" s="1" t="s">
        <v>32</v>
      </c>
      <c r="E170" s="12">
        <f>5*F170</f>
        <v>8</v>
      </c>
      <c r="F170" s="12">
        <f>Systems!T27</f>
        <v>1.6</v>
      </c>
      <c r="G170" s="1" t="s">
        <v>33</v>
      </c>
      <c r="H170" s="1" t="s">
        <v>473</v>
      </c>
    </row>
    <row r="171" spans="1:8" ht="16.5">
      <c r="A171" s="1" t="s">
        <v>1273</v>
      </c>
      <c r="B171" s="1" t="s">
        <v>26</v>
      </c>
      <c r="C171" s="1" t="s">
        <v>2935</v>
      </c>
      <c r="D171" s="1" t="s">
        <v>32</v>
      </c>
      <c r="E171" s="12">
        <f>F171/2</f>
        <v>5.0000000000000001E-4</v>
      </c>
      <c r="F171" s="12">
        <f>Systems!P28</f>
        <v>1E-3</v>
      </c>
      <c r="G171" s="1" t="s">
        <v>33</v>
      </c>
      <c r="H171" s="1" t="s">
        <v>473</v>
      </c>
    </row>
    <row r="172" spans="1:8" ht="16.5">
      <c r="A172" s="1" t="s">
        <v>1355</v>
      </c>
      <c r="B172" s="1" t="s">
        <v>26</v>
      </c>
      <c r="C172" s="1" t="s">
        <v>2935</v>
      </c>
      <c r="D172" s="1" t="s">
        <v>32</v>
      </c>
      <c r="E172" s="12">
        <f>F172/5</f>
        <v>2.0000000000000001E-4</v>
      </c>
      <c r="F172" s="12">
        <f>Systems!P28</f>
        <v>1E-3</v>
      </c>
      <c r="G172" s="1" t="s">
        <v>33</v>
      </c>
      <c r="H172" s="1" t="s">
        <v>473</v>
      </c>
    </row>
    <row r="173" spans="1:8" ht="16.5">
      <c r="A173" s="1" t="s">
        <v>992</v>
      </c>
      <c r="B173" s="1" t="s">
        <v>26</v>
      </c>
      <c r="C173" s="1" t="s">
        <v>2935</v>
      </c>
      <c r="D173" s="1" t="s">
        <v>32</v>
      </c>
      <c r="E173" s="12">
        <f>F173</f>
        <v>1E-3</v>
      </c>
      <c r="F173" s="12">
        <f>Systems!P28</f>
        <v>1E-3</v>
      </c>
      <c r="G173" s="1" t="s">
        <v>33</v>
      </c>
      <c r="H173" s="1" t="s">
        <v>473</v>
      </c>
    </row>
    <row r="174" spans="1:8" ht="16.5">
      <c r="A174" s="1" t="s">
        <v>1677</v>
      </c>
      <c r="B174" s="1" t="s">
        <v>26</v>
      </c>
      <c r="C174" s="1" t="s">
        <v>2935</v>
      </c>
      <c r="D174" s="1" t="s">
        <v>32</v>
      </c>
      <c r="E174" s="12">
        <f>20*F174</f>
        <v>0.02</v>
      </c>
      <c r="F174" s="12">
        <f>Systems!P28</f>
        <v>1E-3</v>
      </c>
      <c r="G174" s="1" t="s">
        <v>33</v>
      </c>
      <c r="H174" s="1" t="s">
        <v>473</v>
      </c>
    </row>
    <row r="175" spans="1:8" ht="16.5">
      <c r="A175" s="1" t="s">
        <v>4384</v>
      </c>
      <c r="B175" s="1" t="s">
        <v>26</v>
      </c>
      <c r="C175" s="1" t="s">
        <v>2935</v>
      </c>
      <c r="D175" s="1" t="s">
        <v>32</v>
      </c>
      <c r="E175" s="12">
        <f>40*F175</f>
        <v>0.04</v>
      </c>
      <c r="F175" s="12">
        <f>Systems!P28</f>
        <v>1E-3</v>
      </c>
      <c r="G175" s="1" t="s">
        <v>33</v>
      </c>
      <c r="H175" s="1" t="s">
        <v>473</v>
      </c>
    </row>
    <row r="176" spans="1:8" ht="16.5">
      <c r="A176" s="1" t="s">
        <v>914</v>
      </c>
      <c r="B176" s="1" t="s">
        <v>26</v>
      </c>
      <c r="C176" s="1" t="s">
        <v>2935</v>
      </c>
      <c r="D176" s="1" t="s">
        <v>32</v>
      </c>
      <c r="E176" s="12">
        <f>F176</f>
        <v>2.826E-2</v>
      </c>
      <c r="F176" s="12">
        <f>Systems!P27</f>
        <v>2.826E-2</v>
      </c>
      <c r="G176" s="1" t="s">
        <v>33</v>
      </c>
      <c r="H176" s="1" t="s">
        <v>473</v>
      </c>
    </row>
    <row r="177" spans="1:8" ht="16.5">
      <c r="A177" s="1" t="s">
        <v>1743</v>
      </c>
      <c r="B177" s="1" t="s">
        <v>26</v>
      </c>
      <c r="C177" s="1" t="s">
        <v>2935</v>
      </c>
      <c r="D177" s="1" t="s">
        <v>32</v>
      </c>
      <c r="E177" s="12">
        <f>F177/10</f>
        <v>2.766E-4</v>
      </c>
      <c r="F177" s="12">
        <f>Systems!P29</f>
        <v>2.7659999999999998E-3</v>
      </c>
      <c r="G177" s="1" t="s">
        <v>33</v>
      </c>
      <c r="H177" s="1" t="s">
        <v>473</v>
      </c>
    </row>
    <row r="178" spans="1:8" ht="16.5">
      <c r="A178" s="1" t="s">
        <v>1749</v>
      </c>
      <c r="B178" s="1" t="s">
        <v>26</v>
      </c>
      <c r="C178" s="1" t="s">
        <v>2935</v>
      </c>
      <c r="D178" s="1" t="s">
        <v>32</v>
      </c>
      <c r="E178" s="12">
        <f>26*F178</f>
        <v>7.1915999999999994E-2</v>
      </c>
      <c r="F178" s="12">
        <f>Systems!P29</f>
        <v>2.7659999999999998E-3</v>
      </c>
      <c r="G178" s="1" t="s">
        <v>33</v>
      </c>
      <c r="H178" s="1" t="s">
        <v>473</v>
      </c>
    </row>
    <row r="179" spans="1:8" ht="16.5">
      <c r="A179" s="1" t="s">
        <v>2131</v>
      </c>
      <c r="B179" s="1" t="s">
        <v>26</v>
      </c>
      <c r="C179" s="1" t="s">
        <v>2935</v>
      </c>
      <c r="D179" s="1" t="s">
        <v>32</v>
      </c>
      <c r="E179" s="12">
        <f>F179/500</f>
        <v>1.9999999999999999E-6</v>
      </c>
      <c r="F179" s="12">
        <f>Systems!P28</f>
        <v>1E-3</v>
      </c>
      <c r="G179" s="1" t="s">
        <v>33</v>
      </c>
      <c r="H179" s="1" t="s">
        <v>473</v>
      </c>
    </row>
    <row r="180" spans="1:8" ht="16.5">
      <c r="A180" s="1" t="s">
        <v>2132</v>
      </c>
      <c r="B180" s="1" t="s">
        <v>26</v>
      </c>
      <c r="C180" s="1" t="s">
        <v>2935</v>
      </c>
      <c r="D180" s="1" t="s">
        <v>32</v>
      </c>
      <c r="E180" s="12">
        <f>F180/5000</f>
        <v>1.9999999999999999E-7</v>
      </c>
      <c r="F180" s="12">
        <f>Systems!P28</f>
        <v>1E-3</v>
      </c>
      <c r="G180" s="1" t="s">
        <v>33</v>
      </c>
      <c r="H180" s="1" t="s">
        <v>473</v>
      </c>
    </row>
    <row r="181" spans="1:8" ht="16.5">
      <c r="A181" s="1" t="s">
        <v>4385</v>
      </c>
      <c r="B181" s="1" t="s">
        <v>26</v>
      </c>
      <c r="C181" s="1" t="s">
        <v>2935</v>
      </c>
      <c r="D181" s="1" t="s">
        <v>32</v>
      </c>
      <c r="E181" s="12">
        <f>26*F181</f>
        <v>2.6000000000000002E-2</v>
      </c>
      <c r="F181" s="12">
        <f>Systems!P28</f>
        <v>1E-3</v>
      </c>
      <c r="G181" s="1" t="s">
        <v>33</v>
      </c>
      <c r="H181" s="1" t="s">
        <v>473</v>
      </c>
    </row>
    <row r="182" spans="1:8" ht="16.5">
      <c r="A182" s="1" t="s">
        <v>2432</v>
      </c>
      <c r="B182" s="1" t="s">
        <v>26</v>
      </c>
      <c r="C182" s="1" t="s">
        <v>2935</v>
      </c>
      <c r="D182" s="1" t="s">
        <v>32</v>
      </c>
      <c r="E182" s="12">
        <f>F182/500</f>
        <v>1.9999999999999999E-6</v>
      </c>
      <c r="F182" s="12">
        <f>Systems!P28</f>
        <v>1E-3</v>
      </c>
      <c r="G182" s="1" t="s">
        <v>33</v>
      </c>
      <c r="H182" s="1" t="s">
        <v>473</v>
      </c>
    </row>
    <row r="183" spans="1:8" ht="16.5">
      <c r="A183" s="1" t="s">
        <v>2503</v>
      </c>
      <c r="B183" s="1" t="s">
        <v>26</v>
      </c>
      <c r="C183" s="1" t="s">
        <v>2935</v>
      </c>
      <c r="D183" s="1" t="s">
        <v>32</v>
      </c>
      <c r="E183" s="12">
        <f>F183</f>
        <v>2.826E-2</v>
      </c>
      <c r="F183" s="12">
        <f>Systems!P27</f>
        <v>2.826E-2</v>
      </c>
      <c r="G183" s="1" t="s">
        <v>33</v>
      </c>
      <c r="H183" s="1" t="s">
        <v>473</v>
      </c>
    </row>
    <row r="184" spans="1:8" ht="16.5">
      <c r="A184" s="1" t="s">
        <v>2645</v>
      </c>
      <c r="B184" s="1" t="s">
        <v>26</v>
      </c>
      <c r="C184" s="1" t="s">
        <v>2935</v>
      </c>
      <c r="D184" s="1" t="s">
        <v>32</v>
      </c>
      <c r="E184" s="12">
        <f>2*F184</f>
        <v>2E-3</v>
      </c>
      <c r="F184" s="12">
        <f>Systems!P28</f>
        <v>1E-3</v>
      </c>
      <c r="G184" s="1" t="s">
        <v>33</v>
      </c>
      <c r="H184" s="1" t="s">
        <v>473</v>
      </c>
    </row>
    <row r="185" spans="1:8" ht="16.5">
      <c r="A185" s="1" t="s">
        <v>4386</v>
      </c>
      <c r="B185" s="1" t="s">
        <v>26</v>
      </c>
      <c r="C185" s="1" t="s">
        <v>2935</v>
      </c>
      <c r="D185" s="1" t="s">
        <v>32</v>
      </c>
      <c r="E185" s="12">
        <f>F185</f>
        <v>2.7659999999999998E-3</v>
      </c>
      <c r="F185" s="12">
        <f>Systems!P29</f>
        <v>2.7659999999999998E-3</v>
      </c>
      <c r="G185" s="1" t="s">
        <v>33</v>
      </c>
      <c r="H185" s="1" t="s">
        <v>473</v>
      </c>
    </row>
    <row r="186" spans="1:8" ht="16.5">
      <c r="A186" s="1" t="s">
        <v>2653</v>
      </c>
      <c r="B186" s="1" t="s">
        <v>26</v>
      </c>
      <c r="C186" s="1" t="s">
        <v>2935</v>
      </c>
      <c r="D186" s="1" t="s">
        <v>32</v>
      </c>
      <c r="E186" s="12">
        <f>2*F186</f>
        <v>2E-3</v>
      </c>
      <c r="F186" s="12">
        <f>Systems!P28</f>
        <v>1E-3</v>
      </c>
      <c r="G186" s="1" t="s">
        <v>33</v>
      </c>
      <c r="H186" s="1" t="s">
        <v>473</v>
      </c>
    </row>
    <row r="187" spans="1:8" ht="16.5">
      <c r="A187" s="1" t="s">
        <v>4387</v>
      </c>
      <c r="B187" s="1" t="s">
        <v>26</v>
      </c>
      <c r="C187" s="1" t="s">
        <v>2935</v>
      </c>
      <c r="D187" s="1" t="s">
        <v>32</v>
      </c>
      <c r="E187" s="12">
        <f>20*F187</f>
        <v>0.02</v>
      </c>
      <c r="F187" s="12">
        <f>Systems!P28</f>
        <v>1E-3</v>
      </c>
      <c r="G187" s="1" t="s">
        <v>33</v>
      </c>
      <c r="H187" s="1" t="s">
        <v>473</v>
      </c>
    </row>
    <row r="188" spans="1:8" ht="16.5">
      <c r="A188" s="1" t="s">
        <v>4388</v>
      </c>
      <c r="B188" s="1" t="s">
        <v>26</v>
      </c>
      <c r="C188" s="1" t="s">
        <v>2935</v>
      </c>
      <c r="D188" s="1" t="s">
        <v>32</v>
      </c>
      <c r="E188" s="12">
        <f>F188/100</f>
        <v>2.7659999999999999E-5</v>
      </c>
      <c r="F188" s="12">
        <f>Systems!P29</f>
        <v>2.7659999999999998E-3</v>
      </c>
      <c r="G188" s="1" t="s">
        <v>33</v>
      </c>
      <c r="H188" s="1" t="s">
        <v>473</v>
      </c>
    </row>
    <row r="189" spans="1:8" ht="16.5">
      <c r="A189" s="1" t="s">
        <v>2669</v>
      </c>
      <c r="B189" s="1" t="s">
        <v>26</v>
      </c>
      <c r="C189" s="1" t="s">
        <v>2935</v>
      </c>
      <c r="D189" s="1" t="s">
        <v>32</v>
      </c>
      <c r="E189" s="12">
        <f>F189/5000</f>
        <v>1.9999999999999999E-7</v>
      </c>
      <c r="F189" s="12">
        <f>Systems!P28</f>
        <v>1E-3</v>
      </c>
      <c r="G189" s="1" t="s">
        <v>33</v>
      </c>
      <c r="H189" s="1" t="s">
        <v>473</v>
      </c>
    </row>
    <row r="190" spans="1:8" ht="16.5">
      <c r="A190" s="1" t="s">
        <v>2717</v>
      </c>
      <c r="B190" s="1" t="s">
        <v>26</v>
      </c>
      <c r="C190" s="1" t="s">
        <v>2935</v>
      </c>
      <c r="D190" s="1" t="s">
        <v>32</v>
      </c>
      <c r="E190" s="12">
        <f>F190/300000</f>
        <v>3.3333333333333334E-9</v>
      </c>
      <c r="F190" s="12">
        <f>Systems!P28</f>
        <v>1E-3</v>
      </c>
      <c r="G190" s="1" t="s">
        <v>33</v>
      </c>
      <c r="H190" s="1" t="s">
        <v>473</v>
      </c>
    </row>
    <row r="191" spans="1:8" ht="16.5">
      <c r="A191" s="1" t="s">
        <v>2752</v>
      </c>
      <c r="B191" s="1" t="s">
        <v>26</v>
      </c>
      <c r="C191" s="1" t="s">
        <v>2935</v>
      </c>
      <c r="D191" s="1" t="s">
        <v>32</v>
      </c>
      <c r="E191" s="12">
        <f>F191</f>
        <v>1E-3</v>
      </c>
      <c r="F191" s="12">
        <f>Systems!P28</f>
        <v>1E-3</v>
      </c>
      <c r="G191" s="1" t="s">
        <v>33</v>
      </c>
      <c r="H191" s="1" t="s">
        <v>473</v>
      </c>
    </row>
    <row r="192" spans="1:8" ht="16.5">
      <c r="A192" s="1" t="s">
        <v>4389</v>
      </c>
      <c r="B192" s="1" t="s">
        <v>26</v>
      </c>
      <c r="C192" s="1" t="s">
        <v>2935</v>
      </c>
      <c r="D192" s="1" t="s">
        <v>32</v>
      </c>
      <c r="E192" s="12">
        <f>13*F192</f>
        <v>3.5957999999999997E-2</v>
      </c>
      <c r="F192" s="12">
        <f>Systems!P29</f>
        <v>2.7659999999999998E-3</v>
      </c>
      <c r="G192" s="1" t="s">
        <v>33</v>
      </c>
      <c r="H192" s="1" t="s">
        <v>473</v>
      </c>
    </row>
    <row r="193" spans="1:8">
      <c r="A193" s="1" t="s">
        <v>1295</v>
      </c>
      <c r="B193" s="1" t="s">
        <v>26</v>
      </c>
      <c r="C193" s="1" t="s">
        <v>17</v>
      </c>
      <c r="D193" s="1" t="s">
        <v>20</v>
      </c>
      <c r="E193" s="12">
        <f>8000*F193</f>
        <v>30.200000000000003</v>
      </c>
      <c r="F193" s="12">
        <f>Systems!L27</f>
        <v>3.7750000000000001E-3</v>
      </c>
      <c r="G193" s="1" t="s">
        <v>23</v>
      </c>
      <c r="H193" s="1" t="s">
        <v>473</v>
      </c>
    </row>
    <row r="194" spans="1:8">
      <c r="A194" s="1" t="s">
        <v>1346</v>
      </c>
      <c r="B194" s="1" t="s">
        <v>26</v>
      </c>
      <c r="C194" s="1" t="s">
        <v>17</v>
      </c>
      <c r="D194" s="1" t="s">
        <v>20</v>
      </c>
      <c r="E194" s="12">
        <f>160*F194</f>
        <v>0.60399999999999998</v>
      </c>
      <c r="F194" s="12">
        <f>Systems!L27</f>
        <v>3.7750000000000001E-3</v>
      </c>
      <c r="G194" s="1" t="s">
        <v>23</v>
      </c>
      <c r="H194" s="1" t="s">
        <v>473</v>
      </c>
    </row>
    <row r="195" spans="1:8">
      <c r="A195" s="1" t="s">
        <v>4390</v>
      </c>
      <c r="B195" s="1" t="s">
        <v>26</v>
      </c>
      <c r="C195" s="1" t="s">
        <v>17</v>
      </c>
      <c r="D195" s="1" t="s">
        <v>20</v>
      </c>
      <c r="E195" s="12">
        <f>160*F195</f>
        <v>0.60399999999999998</v>
      </c>
      <c r="F195" s="12">
        <f>Systems!L27</f>
        <v>3.7750000000000001E-3</v>
      </c>
      <c r="G195" s="1" t="s">
        <v>23</v>
      </c>
      <c r="H195" s="1" t="s">
        <v>473</v>
      </c>
    </row>
    <row r="196" spans="1:8">
      <c r="A196" s="1" t="s">
        <v>1367</v>
      </c>
      <c r="B196" s="1" t="s">
        <v>26</v>
      </c>
      <c r="C196" s="1" t="s">
        <v>17</v>
      </c>
      <c r="D196" s="1" t="s">
        <v>20</v>
      </c>
      <c r="E196" s="12">
        <f>10*F196</f>
        <v>3.7749999999999999E-2</v>
      </c>
      <c r="F196" s="12">
        <f>Systems!L27</f>
        <v>3.7750000000000001E-3</v>
      </c>
      <c r="G196" s="1" t="s">
        <v>23</v>
      </c>
      <c r="H196" s="1" t="s">
        <v>473</v>
      </c>
    </row>
    <row r="197" spans="1:8">
      <c r="A197" s="1" t="s">
        <v>1401</v>
      </c>
      <c r="B197" s="1" t="s">
        <v>26</v>
      </c>
      <c r="C197" s="1" t="s">
        <v>17</v>
      </c>
      <c r="D197" s="1" t="s">
        <v>20</v>
      </c>
      <c r="E197" s="12">
        <f>F197</f>
        <v>3.7750000000000001E-3</v>
      </c>
      <c r="F197" s="12">
        <f>Systems!L27</f>
        <v>3.7750000000000001E-3</v>
      </c>
      <c r="G197" s="1" t="s">
        <v>23</v>
      </c>
      <c r="H197" s="1" t="s">
        <v>473</v>
      </c>
    </row>
    <row r="198" spans="1:8">
      <c r="A198" s="1" t="s">
        <v>915</v>
      </c>
      <c r="B198" s="1" t="s">
        <v>26</v>
      </c>
      <c r="C198" s="1" t="s">
        <v>17</v>
      </c>
      <c r="D198" s="1" t="s">
        <v>20</v>
      </c>
      <c r="E198" s="12">
        <f>F198</f>
        <v>3.7750000000000001E-3</v>
      </c>
      <c r="F198" s="12">
        <f>Systems!L27</f>
        <v>3.7750000000000001E-3</v>
      </c>
      <c r="G198" s="1" t="s">
        <v>23</v>
      </c>
      <c r="H198" s="1" t="s">
        <v>473</v>
      </c>
    </row>
    <row r="199" spans="1:8">
      <c r="A199" s="1" t="s">
        <v>4391</v>
      </c>
      <c r="B199" s="1" t="s">
        <v>26</v>
      </c>
      <c r="C199" s="1" t="s">
        <v>17</v>
      </c>
      <c r="D199" s="1" t="s">
        <v>20</v>
      </c>
      <c r="E199" s="12">
        <f>F199</f>
        <v>3.7750000000000001E-3</v>
      </c>
      <c r="F199" s="12">
        <f>Systems!L27</f>
        <v>3.7750000000000001E-3</v>
      </c>
      <c r="G199" s="1" t="s">
        <v>23</v>
      </c>
      <c r="H199" s="1" t="s">
        <v>473</v>
      </c>
    </row>
    <row r="200" spans="1:8">
      <c r="A200" s="1" t="s">
        <v>1594</v>
      </c>
      <c r="B200" s="1" t="s">
        <v>26</v>
      </c>
      <c r="C200" s="1" t="s">
        <v>17</v>
      </c>
      <c r="D200" s="1" t="s">
        <v>20</v>
      </c>
      <c r="E200" s="12">
        <f>F200/10</f>
        <v>3.7750000000000001E-4</v>
      </c>
      <c r="F200" s="12">
        <f>Systems!L27</f>
        <v>3.7750000000000001E-3</v>
      </c>
      <c r="G200" s="1" t="s">
        <v>23</v>
      </c>
      <c r="H200" s="1" t="s">
        <v>473</v>
      </c>
    </row>
    <row r="201" spans="1:8">
      <c r="A201" s="1" t="s">
        <v>914</v>
      </c>
      <c r="B201" s="1" t="s">
        <v>26</v>
      </c>
      <c r="C201" s="1" t="s">
        <v>17</v>
      </c>
      <c r="D201" s="1" t="s">
        <v>20</v>
      </c>
      <c r="E201" s="12">
        <f>F201/1000</f>
        <v>3.7750000000000003E-6</v>
      </c>
      <c r="F201" s="12">
        <f>Systems!L27</f>
        <v>3.7750000000000001E-3</v>
      </c>
      <c r="G201" s="1" t="s">
        <v>23</v>
      </c>
      <c r="H201" s="1" t="s">
        <v>473</v>
      </c>
    </row>
    <row r="202" spans="1:8">
      <c r="A202" s="1" t="s">
        <v>1756</v>
      </c>
      <c r="B202" s="1" t="s">
        <v>26</v>
      </c>
      <c r="C202" s="1" t="s">
        <v>17</v>
      </c>
      <c r="D202" s="1" t="s">
        <v>20</v>
      </c>
      <c r="E202" s="12">
        <f>F202/100000</f>
        <v>3.7750000000000004E-8</v>
      </c>
      <c r="F202" s="12">
        <f>Systems!L27</f>
        <v>3.7750000000000001E-3</v>
      </c>
      <c r="G202" s="1" t="s">
        <v>23</v>
      </c>
      <c r="H202" s="1" t="s">
        <v>473</v>
      </c>
    </row>
    <row r="203" spans="1:8">
      <c r="A203" s="1" t="s">
        <v>1954</v>
      </c>
      <c r="B203" s="1" t="s">
        <v>26</v>
      </c>
      <c r="C203" s="1" t="s">
        <v>17</v>
      </c>
      <c r="D203" s="1" t="s">
        <v>20</v>
      </c>
      <c r="E203" s="12">
        <f>F203/100</f>
        <v>3.7750000000000003E-5</v>
      </c>
      <c r="F203" s="12">
        <f>Systems!L27</f>
        <v>3.7750000000000001E-3</v>
      </c>
      <c r="G203" s="1" t="s">
        <v>23</v>
      </c>
      <c r="H203" s="1" t="s">
        <v>473</v>
      </c>
    </row>
    <row r="204" spans="1:8">
      <c r="A204" s="1" t="s">
        <v>927</v>
      </c>
      <c r="B204" s="1" t="s">
        <v>26</v>
      </c>
      <c r="C204" s="1" t="s">
        <v>17</v>
      </c>
      <c r="D204" s="1" t="s">
        <v>20</v>
      </c>
      <c r="E204" s="12">
        <f>18000*F204</f>
        <v>67.95</v>
      </c>
      <c r="F204" s="12">
        <f>Systems!L27</f>
        <v>3.7750000000000001E-3</v>
      </c>
      <c r="G204" s="1" t="s">
        <v>23</v>
      </c>
      <c r="H204" s="1" t="s">
        <v>473</v>
      </c>
    </row>
    <row r="205" spans="1:8">
      <c r="A205" s="1" t="s">
        <v>1929</v>
      </c>
      <c r="B205" s="1" t="s">
        <v>26</v>
      </c>
      <c r="C205" s="1" t="s">
        <v>17</v>
      </c>
      <c r="D205" s="1" t="s">
        <v>20</v>
      </c>
      <c r="E205" s="12">
        <f>10*F205</f>
        <v>3.7749999999999999E-2</v>
      </c>
      <c r="F205" s="12">
        <f>Systems!L27</f>
        <v>3.7750000000000001E-3</v>
      </c>
      <c r="G205" s="1" t="s">
        <v>23</v>
      </c>
      <c r="H205" s="1" t="s">
        <v>473</v>
      </c>
    </row>
    <row r="206" spans="1:8">
      <c r="A206" s="1" t="s">
        <v>1992</v>
      </c>
      <c r="B206" s="1" t="s">
        <v>26</v>
      </c>
      <c r="C206" s="1" t="s">
        <v>17</v>
      </c>
      <c r="D206" s="1" t="s">
        <v>20</v>
      </c>
      <c r="E206" s="12">
        <f>10*F206</f>
        <v>3.7749999999999999E-2</v>
      </c>
      <c r="F206" s="12">
        <f>Systems!L27</f>
        <v>3.7750000000000001E-3</v>
      </c>
      <c r="G206" s="1" t="s">
        <v>23</v>
      </c>
      <c r="H206" s="1" t="s">
        <v>473</v>
      </c>
    </row>
    <row r="207" spans="1:8">
      <c r="A207" s="1" t="s">
        <v>1995</v>
      </c>
      <c r="B207" s="1" t="s">
        <v>26</v>
      </c>
      <c r="C207" s="1" t="s">
        <v>17</v>
      </c>
      <c r="D207" s="1" t="s">
        <v>20</v>
      </c>
      <c r="E207" s="12">
        <f>F207/100</f>
        <v>3.7750000000000003E-5</v>
      </c>
      <c r="F207" s="12">
        <f>Systems!L27</f>
        <v>3.7750000000000001E-3</v>
      </c>
      <c r="G207" s="1" t="s">
        <v>23</v>
      </c>
      <c r="H207" s="1" t="s">
        <v>473</v>
      </c>
    </row>
    <row r="208" spans="1:8">
      <c r="A208" s="1" t="s">
        <v>2123</v>
      </c>
      <c r="B208" s="1" t="s">
        <v>26</v>
      </c>
      <c r="C208" s="1" t="s">
        <v>17</v>
      </c>
      <c r="D208" s="1" t="s">
        <v>20</v>
      </c>
      <c r="E208" s="12">
        <f>100*F208</f>
        <v>0.3775</v>
      </c>
      <c r="F208" s="12">
        <f>Systems!L27</f>
        <v>3.7750000000000001E-3</v>
      </c>
      <c r="G208" s="1" t="s">
        <v>23</v>
      </c>
      <c r="H208" s="1" t="s">
        <v>473</v>
      </c>
    </row>
    <row r="209" spans="1:8">
      <c r="A209" s="1" t="s">
        <v>2125</v>
      </c>
      <c r="B209" s="1" t="s">
        <v>26</v>
      </c>
      <c r="C209" s="1" t="s">
        <v>17</v>
      </c>
      <c r="D209" s="1" t="s">
        <v>20</v>
      </c>
      <c r="E209" s="12">
        <f>100*F209</f>
        <v>0.3775</v>
      </c>
      <c r="F209" s="12">
        <f>Systems!L27</f>
        <v>3.7750000000000001E-3</v>
      </c>
      <c r="G209" s="1" t="s">
        <v>23</v>
      </c>
      <c r="H209" s="1" t="s">
        <v>473</v>
      </c>
    </row>
    <row r="210" spans="1:8">
      <c r="A210" s="1" t="s">
        <v>2258</v>
      </c>
      <c r="B210" s="4" t="s">
        <v>26</v>
      </c>
      <c r="C210" s="1" t="s">
        <v>17</v>
      </c>
      <c r="D210" s="1" t="s">
        <v>20</v>
      </c>
      <c r="E210" s="12">
        <f>F210/10</f>
        <v>3.7750000000000001E-4</v>
      </c>
      <c r="F210" s="12">
        <f>Systems!L27</f>
        <v>3.7750000000000001E-3</v>
      </c>
      <c r="G210" s="1" t="s">
        <v>23</v>
      </c>
      <c r="H210" s="1" t="s">
        <v>473</v>
      </c>
    </row>
    <row r="211" spans="1:8">
      <c r="A211" s="1" t="s">
        <v>923</v>
      </c>
      <c r="B211" s="1" t="s">
        <v>26</v>
      </c>
      <c r="C211" s="1" t="s">
        <v>17</v>
      </c>
      <c r="D211" s="1" t="s">
        <v>20</v>
      </c>
      <c r="E211" s="12">
        <f>16000*F211</f>
        <v>60.400000000000006</v>
      </c>
      <c r="F211" s="12">
        <f>Systems!L27</f>
        <v>3.7750000000000001E-3</v>
      </c>
      <c r="G211" s="1" t="s">
        <v>23</v>
      </c>
      <c r="H211" s="1" t="s">
        <v>473</v>
      </c>
    </row>
    <row r="212" spans="1:8">
      <c r="A212" s="1" t="s">
        <v>2333</v>
      </c>
      <c r="B212" s="1" t="s">
        <v>26</v>
      </c>
      <c r="C212" s="1" t="s">
        <v>17</v>
      </c>
      <c r="D212" s="1" t="s">
        <v>20</v>
      </c>
      <c r="E212" s="12">
        <f>80000*F212</f>
        <v>302</v>
      </c>
      <c r="F212" s="12">
        <f>Systems!L27</f>
        <v>3.7750000000000001E-3</v>
      </c>
      <c r="G212" s="1" t="s">
        <v>23</v>
      </c>
      <c r="H212" s="1" t="s">
        <v>473</v>
      </c>
    </row>
    <row r="213" spans="1:8">
      <c r="A213" s="1" t="s">
        <v>2592</v>
      </c>
      <c r="B213" s="1" t="s">
        <v>26</v>
      </c>
      <c r="C213" s="1" t="s">
        <v>17</v>
      </c>
      <c r="D213" s="1" t="s">
        <v>20</v>
      </c>
      <c r="E213" s="12">
        <f>16000*F213</f>
        <v>60.400000000000006</v>
      </c>
      <c r="F213" s="12">
        <f>Systems!L27</f>
        <v>3.7750000000000001E-3</v>
      </c>
      <c r="G213" s="1" t="s">
        <v>23</v>
      </c>
      <c r="H213" s="1" t="s">
        <v>473</v>
      </c>
    </row>
    <row r="214" spans="1:8">
      <c r="A214" s="1" t="s">
        <v>2607</v>
      </c>
      <c r="B214" s="1" t="s">
        <v>26</v>
      </c>
      <c r="C214" s="1" t="s">
        <v>17</v>
      </c>
      <c r="D214" s="1" t="s">
        <v>20</v>
      </c>
      <c r="E214" s="12">
        <f>160000*F214</f>
        <v>604</v>
      </c>
      <c r="F214" s="12">
        <f>Systems!L27</f>
        <v>3.7750000000000001E-3</v>
      </c>
      <c r="G214" s="1" t="s">
        <v>23</v>
      </c>
      <c r="H214" s="1" t="s">
        <v>473</v>
      </c>
    </row>
    <row r="215" spans="1:8">
      <c r="A215" s="1" t="s">
        <v>2655</v>
      </c>
      <c r="B215" s="1" t="s">
        <v>26</v>
      </c>
      <c r="C215" s="1" t="s">
        <v>17</v>
      </c>
      <c r="D215" s="1" t="s">
        <v>20</v>
      </c>
      <c r="E215" s="12">
        <f>F215/10000</f>
        <v>3.7750000000000004E-7</v>
      </c>
      <c r="F215" s="12">
        <f>Systems!L27</f>
        <v>3.7750000000000001E-3</v>
      </c>
      <c r="G215" s="1" t="s">
        <v>23</v>
      </c>
      <c r="H215" s="1" t="s">
        <v>473</v>
      </c>
    </row>
    <row r="216" spans="1:8">
      <c r="A216" s="1" t="s">
        <v>2657</v>
      </c>
      <c r="B216" s="1" t="s">
        <v>26</v>
      </c>
      <c r="C216" s="1" t="s">
        <v>17</v>
      </c>
      <c r="D216" s="1" t="s">
        <v>20</v>
      </c>
      <c r="E216" s="12">
        <f>F216</f>
        <v>3.7750000000000001E-3</v>
      </c>
      <c r="F216" s="12">
        <f>Systems!L27</f>
        <v>3.7750000000000001E-3</v>
      </c>
      <c r="G216" s="1" t="s">
        <v>23</v>
      </c>
      <c r="H216" s="1" t="s">
        <v>473</v>
      </c>
    </row>
    <row r="217" spans="1:8">
      <c r="A217" s="1" t="s">
        <v>2770</v>
      </c>
      <c r="B217" s="1" t="s">
        <v>26</v>
      </c>
      <c r="C217" s="1" t="s">
        <v>17</v>
      </c>
      <c r="D217" s="1" t="s">
        <v>20</v>
      </c>
      <c r="E217" s="12">
        <f>F217/1000000</f>
        <v>3.7749999999999999E-9</v>
      </c>
      <c r="F217" s="12">
        <f>Systems!L27</f>
        <v>3.7750000000000001E-3</v>
      </c>
      <c r="G217" s="1" t="s">
        <v>23</v>
      </c>
      <c r="H217" s="1" t="s">
        <v>473</v>
      </c>
    </row>
    <row r="218" spans="1:8">
      <c r="A218" s="1" t="s">
        <v>2807</v>
      </c>
      <c r="B218" s="1" t="s">
        <v>26</v>
      </c>
      <c r="C218" s="1" t="s">
        <v>17</v>
      </c>
      <c r="D218" s="1" t="s">
        <v>20</v>
      </c>
      <c r="E218" s="12">
        <f>1600*F218</f>
        <v>6.04</v>
      </c>
      <c r="F218" s="12">
        <f>Systems!L27</f>
        <v>3.7750000000000001E-3</v>
      </c>
      <c r="G218" s="1" t="s">
        <v>23</v>
      </c>
      <c r="H218" s="1" t="s">
        <v>473</v>
      </c>
    </row>
    <row r="219" spans="1:8">
      <c r="A219" s="248"/>
      <c r="B219" s="248"/>
      <c r="C219" s="248"/>
      <c r="D219" s="248"/>
      <c r="E219" s="250"/>
      <c r="F219" s="250"/>
      <c r="G219" s="248"/>
      <c r="H219" s="248"/>
    </row>
    <row r="220" spans="1:8">
      <c r="A220" s="1" t="s">
        <v>1239</v>
      </c>
      <c r="B220" s="1" t="s">
        <v>26</v>
      </c>
      <c r="C220" s="1" t="s">
        <v>3033</v>
      </c>
      <c r="D220" s="1" t="s">
        <v>19</v>
      </c>
      <c r="E220" s="12">
        <f>F220/16</f>
        <v>0.02</v>
      </c>
      <c r="F220" s="12">
        <f>Systems!D31</f>
        <v>0.32</v>
      </c>
      <c r="G220" s="1" t="s">
        <v>14</v>
      </c>
      <c r="H220" s="1" t="s">
        <v>43</v>
      </c>
    </row>
    <row r="221" spans="1:8">
      <c r="A221" s="194" t="s">
        <v>1259</v>
      </c>
      <c r="B221" s="19" t="s">
        <v>26</v>
      </c>
      <c r="C221" s="19" t="s">
        <v>3033</v>
      </c>
      <c r="D221" s="1" t="s">
        <v>19</v>
      </c>
      <c r="E221" s="21">
        <f>72000*F221</f>
        <v>23040</v>
      </c>
      <c r="F221" s="21">
        <f>Systems!D31</f>
        <v>0.32</v>
      </c>
      <c r="G221" s="19" t="s">
        <v>14</v>
      </c>
      <c r="H221" s="1" t="s">
        <v>43</v>
      </c>
    </row>
    <row r="222" spans="1:8">
      <c r="A222" s="1" t="s">
        <v>1335</v>
      </c>
      <c r="B222" s="1" t="s">
        <v>26</v>
      </c>
      <c r="C222" s="1" t="s">
        <v>3033</v>
      </c>
      <c r="D222" s="1" t="s">
        <v>19</v>
      </c>
      <c r="E222" s="12">
        <f>F222/4</f>
        <v>0.08</v>
      </c>
      <c r="F222" s="12">
        <f>Systems!D31</f>
        <v>0.32</v>
      </c>
      <c r="G222" s="1" t="s">
        <v>14</v>
      </c>
      <c r="H222" s="1" t="s">
        <v>43</v>
      </c>
    </row>
    <row r="223" spans="1:8">
      <c r="A223" s="1" t="s">
        <v>6919</v>
      </c>
      <c r="B223" s="1" t="s">
        <v>26</v>
      </c>
      <c r="C223" s="1" t="s">
        <v>3033</v>
      </c>
      <c r="D223" s="1" t="s">
        <v>19</v>
      </c>
      <c r="E223" s="12">
        <f>2*F223</f>
        <v>0.64</v>
      </c>
      <c r="F223" s="12">
        <f>Systems!D31</f>
        <v>0.32</v>
      </c>
      <c r="G223" s="1" t="s">
        <v>14</v>
      </c>
      <c r="H223" s="1" t="s">
        <v>43</v>
      </c>
    </row>
    <row r="224" spans="1:8">
      <c r="A224" s="1" t="s">
        <v>4392</v>
      </c>
      <c r="B224" s="1" t="s">
        <v>26</v>
      </c>
      <c r="C224" s="1" t="s">
        <v>3033</v>
      </c>
      <c r="D224" s="1" t="s">
        <v>19</v>
      </c>
      <c r="E224" s="12">
        <f>3*F224/2</f>
        <v>0.48</v>
      </c>
      <c r="F224" s="12">
        <f>Systems!D31</f>
        <v>0.32</v>
      </c>
      <c r="G224" s="1" t="s">
        <v>14</v>
      </c>
      <c r="H224" s="1" t="s">
        <v>43</v>
      </c>
    </row>
    <row r="225" spans="1:8">
      <c r="A225" s="1" t="s">
        <v>4393</v>
      </c>
      <c r="B225" s="1" t="s">
        <v>26</v>
      </c>
      <c r="C225" s="1" t="s">
        <v>3033</v>
      </c>
      <c r="D225" s="1" t="s">
        <v>19</v>
      </c>
      <c r="E225" s="12">
        <f>2*F225</f>
        <v>0.64</v>
      </c>
      <c r="F225" s="12">
        <f>Systems!D31</f>
        <v>0.32</v>
      </c>
      <c r="G225" s="1" t="s">
        <v>14</v>
      </c>
      <c r="H225" s="1" t="s">
        <v>43</v>
      </c>
    </row>
    <row r="226" spans="1:8">
      <c r="A226" s="1" t="s">
        <v>4394</v>
      </c>
      <c r="B226" s="1" t="s">
        <v>26</v>
      </c>
      <c r="C226" s="1" t="s">
        <v>3033</v>
      </c>
      <c r="D226" s="1" t="s">
        <v>19</v>
      </c>
      <c r="E226" s="12">
        <f>3*F226/2</f>
        <v>0.48</v>
      </c>
      <c r="F226" s="12">
        <f>Systems!D31</f>
        <v>0.32</v>
      </c>
      <c r="G226" s="1" t="s">
        <v>14</v>
      </c>
      <c r="H226" s="1" t="s">
        <v>43</v>
      </c>
    </row>
    <row r="227" spans="1:8">
      <c r="A227" s="1" t="s">
        <v>1238</v>
      </c>
      <c r="B227" s="1" t="s">
        <v>26</v>
      </c>
      <c r="C227" s="1" t="s">
        <v>3033</v>
      </c>
      <c r="D227" s="1" t="s">
        <v>19</v>
      </c>
      <c r="E227" s="12">
        <f>F227/16</f>
        <v>0.02</v>
      </c>
      <c r="F227" s="12">
        <f>Systems!D31</f>
        <v>0.32</v>
      </c>
      <c r="G227" s="1" t="s">
        <v>14</v>
      </c>
      <c r="H227" s="1" t="s">
        <v>43</v>
      </c>
    </row>
    <row r="228" spans="1:8">
      <c r="A228" s="1" t="s">
        <v>200</v>
      </c>
      <c r="B228" s="1" t="s">
        <v>6949</v>
      </c>
      <c r="C228" s="1" t="s">
        <v>3033</v>
      </c>
      <c r="D228" s="1" t="s">
        <v>19</v>
      </c>
      <c r="E228" s="12">
        <v>0.32</v>
      </c>
      <c r="F228" s="12">
        <f>Systems!D31</f>
        <v>0.32</v>
      </c>
      <c r="G228" s="1" t="s">
        <v>14</v>
      </c>
      <c r="H228" s="1" t="s">
        <v>43</v>
      </c>
    </row>
    <row r="229" spans="1:8">
      <c r="A229" s="1" t="s">
        <v>1672</v>
      </c>
      <c r="B229" s="1" t="s">
        <v>26</v>
      </c>
      <c r="C229" s="1" t="s">
        <v>3033</v>
      </c>
      <c r="D229" s="1" t="s">
        <v>19</v>
      </c>
      <c r="E229" s="12">
        <f>720*F229</f>
        <v>230.4</v>
      </c>
      <c r="F229" s="12">
        <f>Systems!D31</f>
        <v>0.32</v>
      </c>
      <c r="G229" s="1" t="s">
        <v>14</v>
      </c>
      <c r="H229" s="1" t="s">
        <v>43</v>
      </c>
    </row>
    <row r="230" spans="1:8">
      <c r="A230" s="1" t="s">
        <v>1674</v>
      </c>
      <c r="B230" s="1" t="s">
        <v>26</v>
      </c>
      <c r="C230" s="1" t="s">
        <v>3033</v>
      </c>
      <c r="D230" s="1" t="s">
        <v>19</v>
      </c>
      <c r="E230" s="12">
        <f>720*F230</f>
        <v>230.4</v>
      </c>
      <c r="F230" s="12">
        <f>Systems!D31</f>
        <v>0.32</v>
      </c>
      <c r="G230" s="1" t="s">
        <v>14</v>
      </c>
      <c r="H230" s="1" t="s">
        <v>43</v>
      </c>
    </row>
    <row r="231" spans="1:8">
      <c r="A231" s="1" t="s">
        <v>2018</v>
      </c>
      <c r="B231" s="1" t="s">
        <v>26</v>
      </c>
      <c r="C231" s="1" t="s">
        <v>3033</v>
      </c>
      <c r="D231" s="1" t="s">
        <v>19</v>
      </c>
      <c r="E231" s="12">
        <f>144000*F231</f>
        <v>46080</v>
      </c>
      <c r="F231" s="12">
        <f>Systems!D31</f>
        <v>0.32</v>
      </c>
      <c r="G231" s="1" t="s">
        <v>14</v>
      </c>
      <c r="H231" s="1" t="s">
        <v>43</v>
      </c>
    </row>
    <row r="232" spans="1:8">
      <c r="A232" s="1" t="s">
        <v>2019</v>
      </c>
      <c r="B232" s="1" t="s">
        <v>26</v>
      </c>
      <c r="C232" s="1" t="s">
        <v>3033</v>
      </c>
      <c r="D232" s="1" t="s">
        <v>19</v>
      </c>
      <c r="E232" s="12">
        <f>144000*F232</f>
        <v>46080</v>
      </c>
      <c r="F232" s="12">
        <f>Systems!D31</f>
        <v>0.32</v>
      </c>
      <c r="G232" s="1" t="s">
        <v>14</v>
      </c>
      <c r="H232" s="1" t="s">
        <v>43</v>
      </c>
    </row>
    <row r="233" spans="1:8">
      <c r="A233" s="1" t="s">
        <v>2072</v>
      </c>
      <c r="B233" s="1" t="s">
        <v>26</v>
      </c>
      <c r="C233" s="1" t="s">
        <v>3033</v>
      </c>
      <c r="D233" s="1" t="s">
        <v>19</v>
      </c>
      <c r="E233" s="12">
        <f>6000*F233</f>
        <v>1920</v>
      </c>
      <c r="F233" s="12">
        <f>Systems!D31</f>
        <v>0.32</v>
      </c>
      <c r="G233" s="1" t="s">
        <v>14</v>
      </c>
      <c r="H233" s="1" t="s">
        <v>43</v>
      </c>
    </row>
    <row r="234" spans="1:8">
      <c r="A234" s="1" t="s">
        <v>2177</v>
      </c>
      <c r="B234" s="1" t="s">
        <v>26</v>
      </c>
      <c r="C234" s="1" t="s">
        <v>3033</v>
      </c>
      <c r="D234" s="1" t="s">
        <v>19</v>
      </c>
      <c r="E234" s="12">
        <f>6*F234</f>
        <v>1.92</v>
      </c>
      <c r="F234" s="12">
        <f>Systems!D31</f>
        <v>0.32</v>
      </c>
      <c r="G234" s="1" t="s">
        <v>14</v>
      </c>
      <c r="H234" s="1" t="s">
        <v>43</v>
      </c>
    </row>
    <row r="235" spans="1:8">
      <c r="A235" s="1" t="s">
        <v>2227</v>
      </c>
      <c r="B235" s="1" t="s">
        <v>26</v>
      </c>
      <c r="C235" s="1" t="s">
        <v>3033</v>
      </c>
      <c r="D235" s="1" t="s">
        <v>19</v>
      </c>
      <c r="E235" s="12">
        <f>18000*F235</f>
        <v>5760</v>
      </c>
      <c r="F235" s="12">
        <f>Systems!D31</f>
        <v>0.32</v>
      </c>
      <c r="G235" s="1" t="s">
        <v>14</v>
      </c>
      <c r="H235" s="1" t="s">
        <v>43</v>
      </c>
    </row>
    <row r="236" spans="1:8">
      <c r="A236" s="1" t="s">
        <v>2319</v>
      </c>
      <c r="B236" s="1" t="s">
        <v>26</v>
      </c>
      <c r="C236" s="1" t="s">
        <v>3033</v>
      </c>
      <c r="D236" s="1" t="s">
        <v>19</v>
      </c>
      <c r="E236" s="12">
        <f>F236/4</f>
        <v>0.08</v>
      </c>
      <c r="F236" s="12">
        <f>Systems!D31</f>
        <v>0.32</v>
      </c>
      <c r="G236" s="1" t="s">
        <v>14</v>
      </c>
      <c r="H236" s="1" t="s">
        <v>43</v>
      </c>
    </row>
    <row r="237" spans="1:8">
      <c r="A237" s="1" t="s">
        <v>2323</v>
      </c>
      <c r="B237" s="1" t="s">
        <v>26</v>
      </c>
      <c r="C237" s="1" t="s">
        <v>3033</v>
      </c>
      <c r="D237" s="1" t="s">
        <v>19</v>
      </c>
      <c r="E237" s="12">
        <f>12*F237</f>
        <v>3.84</v>
      </c>
      <c r="F237" s="12">
        <f>Systems!D31</f>
        <v>0.32</v>
      </c>
      <c r="G237" s="1" t="s">
        <v>14</v>
      </c>
      <c r="H237" s="1" t="s">
        <v>43</v>
      </c>
    </row>
    <row r="238" spans="1:8">
      <c r="A238" s="1" t="s">
        <v>2324</v>
      </c>
      <c r="B238" s="1" t="s">
        <v>26</v>
      </c>
      <c r="C238" s="1" t="s">
        <v>3033</v>
      </c>
      <c r="D238" s="1" t="s">
        <v>19</v>
      </c>
      <c r="E238" s="12">
        <f>12*F238</f>
        <v>3.84</v>
      </c>
      <c r="F238" s="12">
        <f>Systems!D31</f>
        <v>0.32</v>
      </c>
      <c r="G238" s="1" t="s">
        <v>14</v>
      </c>
      <c r="H238" s="1" t="s">
        <v>43</v>
      </c>
    </row>
    <row r="239" spans="1:8">
      <c r="A239" s="1" t="s">
        <v>2468</v>
      </c>
      <c r="B239" s="1" t="s">
        <v>26</v>
      </c>
      <c r="C239" s="1" t="s">
        <v>3033</v>
      </c>
      <c r="D239" s="1" t="s">
        <v>19</v>
      </c>
      <c r="E239" s="12">
        <f>600*F239</f>
        <v>192</v>
      </c>
      <c r="F239" s="12">
        <f>Systems!D31</f>
        <v>0.32</v>
      </c>
      <c r="G239" s="1" t="s">
        <v>14</v>
      </c>
      <c r="H239" s="1" t="s">
        <v>43</v>
      </c>
    </row>
    <row r="240" spans="1:8">
      <c r="A240" s="1" t="s">
        <v>1673</v>
      </c>
      <c r="B240" s="1" t="s">
        <v>26</v>
      </c>
      <c r="C240" s="1" t="s">
        <v>3033</v>
      </c>
      <c r="D240" s="1" t="s">
        <v>19</v>
      </c>
      <c r="E240" s="12">
        <f>600*F240</f>
        <v>192</v>
      </c>
      <c r="F240" s="12">
        <f>Systems!D31</f>
        <v>0.32</v>
      </c>
      <c r="G240" s="1" t="s">
        <v>14</v>
      </c>
      <c r="H240" s="1" t="s">
        <v>43</v>
      </c>
    </row>
    <row r="241" spans="1:8">
      <c r="A241" s="194" t="s">
        <v>1258</v>
      </c>
      <c r="B241" s="19" t="s">
        <v>26</v>
      </c>
      <c r="C241" s="19" t="s">
        <v>3033</v>
      </c>
      <c r="D241" s="19" t="s">
        <v>19</v>
      </c>
      <c r="E241" s="21">
        <f>72000*F241</f>
        <v>23040</v>
      </c>
      <c r="F241" s="21">
        <f>Systems!D31</f>
        <v>0.32</v>
      </c>
      <c r="G241" s="19" t="s">
        <v>14</v>
      </c>
      <c r="H241" s="1" t="s">
        <v>43</v>
      </c>
    </row>
    <row r="242" spans="1:8" ht="16.5">
      <c r="A242" s="1" t="s">
        <v>1158</v>
      </c>
      <c r="B242" s="1" t="s">
        <v>26</v>
      </c>
      <c r="C242" s="1" t="s">
        <v>3034</v>
      </c>
      <c r="D242" s="1" t="s">
        <v>38</v>
      </c>
      <c r="E242" s="12">
        <f>F242/400</f>
        <v>14.7456</v>
      </c>
      <c r="F242" s="12">
        <f>Systems!H31</f>
        <v>5898.24</v>
      </c>
      <c r="G242" s="1" t="s">
        <v>39</v>
      </c>
      <c r="H242" s="1" t="s">
        <v>43</v>
      </c>
    </row>
    <row r="243" spans="1:8" ht="16.5">
      <c r="A243" s="1" t="s">
        <v>811</v>
      </c>
      <c r="B243" s="1" t="s">
        <v>26</v>
      </c>
      <c r="C243" s="1" t="s">
        <v>3034</v>
      </c>
      <c r="D243" s="1" t="s">
        <v>38</v>
      </c>
      <c r="E243" s="12">
        <f>F243/40</f>
        <v>147.45599999999999</v>
      </c>
      <c r="F243" s="12">
        <f>Systems!H31</f>
        <v>5898.24</v>
      </c>
      <c r="G243" s="1" t="s">
        <v>39</v>
      </c>
      <c r="H243" s="1" t="s">
        <v>43</v>
      </c>
    </row>
    <row r="244" spans="1:8" ht="16.5">
      <c r="A244" s="1" t="s">
        <v>1481</v>
      </c>
      <c r="B244" s="1" t="s">
        <v>26</v>
      </c>
      <c r="C244" s="1" t="s">
        <v>3034</v>
      </c>
      <c r="D244" s="1" t="s">
        <v>38</v>
      </c>
      <c r="E244" s="12">
        <f>F244/6</f>
        <v>983.04</v>
      </c>
      <c r="F244" s="12">
        <f>Systems!H31</f>
        <v>5898.24</v>
      </c>
      <c r="G244" s="1" t="s">
        <v>39</v>
      </c>
      <c r="H244" s="1" t="s">
        <v>43</v>
      </c>
    </row>
    <row r="245" spans="1:8" ht="16.5">
      <c r="A245" s="1" t="s">
        <v>1534</v>
      </c>
      <c r="B245" s="1" t="s">
        <v>26</v>
      </c>
      <c r="C245" s="1" t="s">
        <v>3034</v>
      </c>
      <c r="D245" s="1" t="s">
        <v>38</v>
      </c>
      <c r="E245" s="12">
        <f>F245/4</f>
        <v>1474.56</v>
      </c>
      <c r="F245" s="12">
        <f>Systems!H31</f>
        <v>5898.24</v>
      </c>
      <c r="G245" s="1" t="s">
        <v>39</v>
      </c>
      <c r="H245" s="1" t="s">
        <v>43</v>
      </c>
    </row>
    <row r="246" spans="1:8" ht="16.5">
      <c r="A246" s="1" t="s">
        <v>809</v>
      </c>
      <c r="B246" s="1" t="s">
        <v>26</v>
      </c>
      <c r="C246" s="1" t="s">
        <v>3034</v>
      </c>
      <c r="D246" s="1" t="s">
        <v>38</v>
      </c>
      <c r="E246" s="12">
        <f>F246</f>
        <v>5898.24</v>
      </c>
      <c r="F246" s="12">
        <f>Systems!H31</f>
        <v>5898.24</v>
      </c>
      <c r="G246" s="1" t="s">
        <v>39</v>
      </c>
      <c r="H246" s="1" t="s">
        <v>43</v>
      </c>
    </row>
    <row r="247" spans="1:8" ht="16.5">
      <c r="A247" s="1" t="s">
        <v>1707</v>
      </c>
      <c r="B247" s="1" t="s">
        <v>26</v>
      </c>
      <c r="C247" s="1" t="s">
        <v>3034</v>
      </c>
      <c r="D247" s="1" t="s">
        <v>38</v>
      </c>
      <c r="E247" s="12">
        <f>F247/72</f>
        <v>81.92</v>
      </c>
      <c r="F247" s="12">
        <f>Systems!H31</f>
        <v>5898.24</v>
      </c>
      <c r="G247" s="1" t="s">
        <v>39</v>
      </c>
      <c r="H247" s="1" t="s">
        <v>43</v>
      </c>
    </row>
    <row r="248" spans="1:8" ht="16.5">
      <c r="A248" s="1" t="s">
        <v>2321</v>
      </c>
      <c r="B248" s="1" t="s">
        <v>26</v>
      </c>
      <c r="C248" s="1" t="s">
        <v>3034</v>
      </c>
      <c r="D248" s="1" t="s">
        <v>38</v>
      </c>
      <c r="E248" s="12">
        <f>F248/96</f>
        <v>61.44</v>
      </c>
      <c r="F248" s="12">
        <f>Systems!H31</f>
        <v>5898.24</v>
      </c>
      <c r="G248" s="1" t="s">
        <v>39</v>
      </c>
      <c r="H248" s="1" t="s">
        <v>43</v>
      </c>
    </row>
    <row r="249" spans="1:8" ht="16.5">
      <c r="A249" s="1" t="s">
        <v>2325</v>
      </c>
      <c r="B249" s="1" t="s">
        <v>26</v>
      </c>
      <c r="C249" s="1" t="s">
        <v>3034</v>
      </c>
      <c r="D249" s="1" t="s">
        <v>38</v>
      </c>
      <c r="E249" s="12">
        <f>F249/400</f>
        <v>14.7456</v>
      </c>
      <c r="F249" s="12">
        <f>Systems!H31</f>
        <v>5898.24</v>
      </c>
      <c r="G249" s="1" t="s">
        <v>39</v>
      </c>
      <c r="H249" s="1" t="s">
        <v>43</v>
      </c>
    </row>
    <row r="250" spans="1:8" ht="16.5">
      <c r="A250" s="1" t="s">
        <v>2329</v>
      </c>
      <c r="B250" s="1" t="s">
        <v>26</v>
      </c>
      <c r="C250" s="1" t="s">
        <v>3034</v>
      </c>
      <c r="D250" s="1" t="s">
        <v>38</v>
      </c>
      <c r="E250" s="12">
        <f>F250/24</f>
        <v>245.76</v>
      </c>
      <c r="F250" s="12">
        <f>Systems!H31</f>
        <v>5898.24</v>
      </c>
      <c r="G250" s="1" t="s">
        <v>39</v>
      </c>
      <c r="H250" s="1" t="s">
        <v>43</v>
      </c>
    </row>
    <row r="251" spans="1:8" ht="16.5">
      <c r="A251" s="1" t="s">
        <v>4395</v>
      </c>
      <c r="B251" s="1" t="s">
        <v>26</v>
      </c>
      <c r="C251" s="1" t="s">
        <v>3034</v>
      </c>
      <c r="D251" s="1" t="s">
        <v>38</v>
      </c>
      <c r="E251" s="12">
        <f>F251/14400</f>
        <v>0.40959999999999996</v>
      </c>
      <c r="F251" s="12">
        <f>Systems!H31</f>
        <v>5898.24</v>
      </c>
      <c r="G251" s="1" t="s">
        <v>39</v>
      </c>
      <c r="H251" s="1" t="s">
        <v>43</v>
      </c>
    </row>
    <row r="252" spans="1:8" ht="16.5">
      <c r="A252" s="1" t="s">
        <v>1234</v>
      </c>
      <c r="B252" s="1" t="s">
        <v>26</v>
      </c>
      <c r="C252" s="1" t="s">
        <v>2936</v>
      </c>
      <c r="D252" s="1" t="s">
        <v>32</v>
      </c>
      <c r="E252" s="12">
        <f>2*F252</f>
        <v>6.5280000000000005E-2</v>
      </c>
      <c r="F252" s="12">
        <f>Systems!T31</f>
        <v>3.2640000000000002E-2</v>
      </c>
      <c r="G252" s="1" t="s">
        <v>33</v>
      </c>
      <c r="H252" s="1" t="s">
        <v>43</v>
      </c>
    </row>
    <row r="253" spans="1:8" ht="16.5">
      <c r="A253" s="1" t="s">
        <v>811</v>
      </c>
      <c r="B253" s="1" t="s">
        <v>26</v>
      </c>
      <c r="C253" s="1" t="s">
        <v>2936</v>
      </c>
      <c r="D253" s="1" t="s">
        <v>32</v>
      </c>
      <c r="E253" s="12">
        <f>Luminosity!F64</f>
        <v>1</v>
      </c>
      <c r="F253" s="12">
        <f>Systems!T31</f>
        <v>3.2640000000000002E-2</v>
      </c>
      <c r="G253" s="1" t="s">
        <v>33</v>
      </c>
      <c r="H253" s="1" t="s">
        <v>43</v>
      </c>
    </row>
    <row r="254" spans="1:8" ht="16.5">
      <c r="A254" s="1" t="s">
        <v>1356</v>
      </c>
      <c r="B254" s="1" t="s">
        <v>26</v>
      </c>
      <c r="C254" s="1" t="s">
        <v>2936</v>
      </c>
      <c r="D254" s="1" t="s">
        <v>32</v>
      </c>
      <c r="E254" s="12">
        <f>F254/24</f>
        <v>1.3600000000000001E-3</v>
      </c>
      <c r="F254" s="12">
        <f>Systems!T31</f>
        <v>3.2640000000000002E-2</v>
      </c>
      <c r="G254" s="1" t="s">
        <v>33</v>
      </c>
      <c r="H254" s="1" t="s">
        <v>43</v>
      </c>
    </row>
    <row r="255" spans="1:8" ht="16.5">
      <c r="A255" s="1" t="s">
        <v>1608</v>
      </c>
      <c r="B255" s="1" t="s">
        <v>26</v>
      </c>
      <c r="C255" s="1" t="s">
        <v>2936</v>
      </c>
      <c r="D255" s="1" t="s">
        <v>32</v>
      </c>
      <c r="E255" s="12">
        <f>F255/4</f>
        <v>8.1600000000000006E-3</v>
      </c>
      <c r="F255" s="12">
        <f>Systems!T31</f>
        <v>3.2640000000000002E-2</v>
      </c>
      <c r="G255" s="1" t="s">
        <v>33</v>
      </c>
      <c r="H255" s="1" t="s">
        <v>43</v>
      </c>
    </row>
    <row r="256" spans="1:8" ht="16.5">
      <c r="A256" s="1" t="s">
        <v>1654</v>
      </c>
      <c r="B256" s="1" t="s">
        <v>26</v>
      </c>
      <c r="C256" s="1" t="s">
        <v>2936</v>
      </c>
      <c r="D256" s="1" t="s">
        <v>32</v>
      </c>
      <c r="E256" s="12">
        <f>8*F256</f>
        <v>0.26112000000000002</v>
      </c>
      <c r="F256" s="12">
        <f>Systems!T31</f>
        <v>3.2640000000000002E-2</v>
      </c>
      <c r="G256" s="1" t="s">
        <v>33</v>
      </c>
      <c r="H256" s="1" t="s">
        <v>43</v>
      </c>
    </row>
    <row r="257" spans="1:8" ht="16.5">
      <c r="A257" s="1" t="s">
        <v>885</v>
      </c>
      <c r="B257" s="1" t="s">
        <v>26</v>
      </c>
      <c r="C257" s="1" t="s">
        <v>2936</v>
      </c>
      <c r="D257" s="1" t="s">
        <v>32</v>
      </c>
      <c r="E257" s="12">
        <f>F257/2</f>
        <v>1.6320000000000001E-2</v>
      </c>
      <c r="F257" s="12">
        <f>Systems!T31</f>
        <v>3.2640000000000002E-2</v>
      </c>
      <c r="G257" s="1" t="s">
        <v>33</v>
      </c>
      <c r="H257" s="1" t="s">
        <v>43</v>
      </c>
    </row>
    <row r="258" spans="1:8" ht="16.5">
      <c r="A258" s="1" t="s">
        <v>2977</v>
      </c>
      <c r="B258" s="1" t="s">
        <v>26</v>
      </c>
      <c r="C258" s="1" t="s">
        <v>2936</v>
      </c>
      <c r="D258" s="1" t="s">
        <v>32</v>
      </c>
      <c r="E258" s="12">
        <f>F258/24</f>
        <v>1.3600000000000001E-3</v>
      </c>
      <c r="F258" s="12">
        <f>Systems!T31</f>
        <v>3.2640000000000002E-2</v>
      </c>
      <c r="G258" s="1" t="s">
        <v>33</v>
      </c>
      <c r="H258" s="1" t="s">
        <v>43</v>
      </c>
    </row>
    <row r="259" spans="1:8" ht="16.5">
      <c r="A259" s="1" t="s">
        <v>1855</v>
      </c>
      <c r="B259" s="1" t="s">
        <v>26</v>
      </c>
      <c r="C259" s="1" t="s">
        <v>2936</v>
      </c>
      <c r="D259" s="1" t="s">
        <v>32</v>
      </c>
      <c r="E259" s="12">
        <f>F259/24</f>
        <v>1.3600000000000001E-3</v>
      </c>
      <c r="F259" s="12">
        <f>Systems!T31</f>
        <v>3.2640000000000002E-2</v>
      </c>
      <c r="G259" s="1" t="s">
        <v>33</v>
      </c>
      <c r="H259" s="1" t="s">
        <v>43</v>
      </c>
    </row>
    <row r="260" spans="1:8" ht="16.5">
      <c r="A260" s="1" t="s">
        <v>2003</v>
      </c>
      <c r="B260" s="1" t="s">
        <v>26</v>
      </c>
      <c r="C260" s="1" t="s">
        <v>2936</v>
      </c>
      <c r="D260" s="1" t="s">
        <v>32</v>
      </c>
      <c r="E260" s="12">
        <f>F260/8</f>
        <v>4.0800000000000003E-3</v>
      </c>
      <c r="F260" s="12">
        <f>Systems!T31</f>
        <v>3.2640000000000002E-2</v>
      </c>
      <c r="G260" s="1" t="s">
        <v>33</v>
      </c>
      <c r="H260" s="1" t="s">
        <v>43</v>
      </c>
    </row>
    <row r="261" spans="1:8" ht="16.5">
      <c r="A261" s="1" t="s">
        <v>807</v>
      </c>
      <c r="B261" s="1" t="s">
        <v>26</v>
      </c>
      <c r="C261" s="1" t="s">
        <v>2936</v>
      </c>
      <c r="D261" s="1" t="s">
        <v>32</v>
      </c>
      <c r="E261" s="12">
        <f>5*F261/4</f>
        <v>4.0800000000000003E-2</v>
      </c>
      <c r="F261" s="12">
        <f>Systems!T31</f>
        <v>3.2640000000000002E-2</v>
      </c>
      <c r="G261" s="1" t="s">
        <v>33</v>
      </c>
      <c r="H261" s="1" t="s">
        <v>43</v>
      </c>
    </row>
    <row r="262" spans="1:8" ht="16.5">
      <c r="A262" s="1" t="s">
        <v>2103</v>
      </c>
      <c r="B262" s="1" t="s">
        <v>26</v>
      </c>
      <c r="C262" s="1" t="s">
        <v>2936</v>
      </c>
      <c r="D262" s="1" t="s">
        <v>32</v>
      </c>
      <c r="E262" s="12">
        <f>F262/48</f>
        <v>6.8000000000000005E-4</v>
      </c>
      <c r="F262" s="12">
        <f>Systems!T31</f>
        <v>3.2640000000000002E-2</v>
      </c>
      <c r="G262" s="1" t="s">
        <v>33</v>
      </c>
      <c r="H262" s="1" t="s">
        <v>43</v>
      </c>
    </row>
    <row r="263" spans="1:8" ht="16.5">
      <c r="A263" s="1" t="s">
        <v>2408</v>
      </c>
      <c r="B263" s="1" t="s">
        <v>26</v>
      </c>
      <c r="C263" s="1" t="s">
        <v>2936</v>
      </c>
      <c r="D263" s="1" t="s">
        <v>32</v>
      </c>
      <c r="E263" s="12">
        <f>F263/12</f>
        <v>2.7200000000000002E-3</v>
      </c>
      <c r="F263" s="12">
        <f>Systems!T31</f>
        <v>3.2640000000000002E-2</v>
      </c>
      <c r="G263" s="1" t="s">
        <v>33</v>
      </c>
      <c r="H263" s="1" t="s">
        <v>43</v>
      </c>
    </row>
    <row r="264" spans="1:8" ht="16.5">
      <c r="A264" s="1" t="s">
        <v>2409</v>
      </c>
      <c r="B264" s="1" t="s">
        <v>26</v>
      </c>
      <c r="C264" s="1" t="s">
        <v>2936</v>
      </c>
      <c r="D264" s="1" t="s">
        <v>32</v>
      </c>
      <c r="E264" s="12">
        <f>F264/12</f>
        <v>2.7200000000000002E-3</v>
      </c>
      <c r="F264" s="12">
        <f>Systems!T31</f>
        <v>3.2640000000000002E-2</v>
      </c>
      <c r="G264" s="1" t="s">
        <v>33</v>
      </c>
      <c r="H264" s="1" t="s">
        <v>43</v>
      </c>
    </row>
    <row r="265" spans="1:8" ht="16.5">
      <c r="A265" s="1" t="s">
        <v>2408</v>
      </c>
      <c r="B265" s="1" t="s">
        <v>26</v>
      </c>
      <c r="C265" s="1" t="s">
        <v>2935</v>
      </c>
      <c r="D265" s="1" t="s">
        <v>32</v>
      </c>
      <c r="E265" s="12">
        <f>F265</f>
        <v>4.2125000000000001E-3</v>
      </c>
      <c r="F265" s="12">
        <f>Systems!P31</f>
        <v>4.2125000000000001E-3</v>
      </c>
      <c r="G265" s="1" t="s">
        <v>33</v>
      </c>
      <c r="H265" s="1" t="s">
        <v>43</v>
      </c>
    </row>
    <row r="266" spans="1:8">
      <c r="A266" s="1" t="s">
        <v>1528</v>
      </c>
      <c r="B266" s="1" t="s">
        <v>26</v>
      </c>
      <c r="C266" s="1" t="s">
        <v>17</v>
      </c>
      <c r="D266" s="1" t="s">
        <v>20</v>
      </c>
      <c r="E266" s="12">
        <f>F266/120</f>
        <v>2.8333333333333335E-3</v>
      </c>
      <c r="F266" s="12">
        <f>Systems!L31</f>
        <v>0.34</v>
      </c>
      <c r="G266" s="1" t="s">
        <v>23</v>
      </c>
      <c r="H266" s="1" t="s">
        <v>43</v>
      </c>
    </row>
    <row r="267" spans="1:8">
      <c r="A267" s="1" t="s">
        <v>1839</v>
      </c>
      <c r="B267" s="1" t="s">
        <v>26</v>
      </c>
      <c r="C267" s="1" t="s">
        <v>17</v>
      </c>
      <c r="D267" s="1" t="s">
        <v>20</v>
      </c>
      <c r="E267" s="12">
        <f>125*F267</f>
        <v>42.5</v>
      </c>
      <c r="F267" s="12">
        <f>Systems!L31</f>
        <v>0.34</v>
      </c>
      <c r="G267" s="1" t="s">
        <v>23</v>
      </c>
      <c r="H267" s="1" t="s">
        <v>43</v>
      </c>
    </row>
    <row r="268" spans="1:8">
      <c r="A268" s="1" t="s">
        <v>2006</v>
      </c>
      <c r="B268" s="1" t="s">
        <v>26</v>
      </c>
      <c r="C268" s="1" t="s">
        <v>17</v>
      </c>
      <c r="D268" s="1" t="s">
        <v>20</v>
      </c>
      <c r="E268" s="12">
        <f>2*F268</f>
        <v>0.68</v>
      </c>
      <c r="F268" s="12">
        <f>Systems!L31</f>
        <v>0.34</v>
      </c>
      <c r="G268" s="1" t="s">
        <v>23</v>
      </c>
      <c r="H268" s="1" t="s">
        <v>43</v>
      </c>
    </row>
    <row r="269" spans="1:8">
      <c r="A269" s="1" t="s">
        <v>2121</v>
      </c>
      <c r="B269" s="1" t="s">
        <v>26</v>
      </c>
      <c r="C269" s="1" t="s">
        <v>17</v>
      </c>
      <c r="D269" s="1" t="s">
        <v>20</v>
      </c>
      <c r="E269" s="12">
        <f>F269/6</f>
        <v>5.6666666666666671E-2</v>
      </c>
      <c r="F269" s="12">
        <f>Systems!L31</f>
        <v>0.34</v>
      </c>
      <c r="G269" s="1" t="s">
        <v>23</v>
      </c>
      <c r="H269" s="1" t="s">
        <v>43</v>
      </c>
    </row>
    <row r="270" spans="1:8">
      <c r="A270" s="1" t="s">
        <v>2126</v>
      </c>
      <c r="B270" s="1" t="s">
        <v>26</v>
      </c>
      <c r="C270" s="1" t="s">
        <v>17</v>
      </c>
      <c r="D270" s="1" t="s">
        <v>20</v>
      </c>
      <c r="E270" s="12">
        <f>F270/24</f>
        <v>1.4166666666666668E-2</v>
      </c>
      <c r="F270" s="12">
        <f>Systems!L31</f>
        <v>0.34</v>
      </c>
      <c r="G270" s="1" t="s">
        <v>23</v>
      </c>
      <c r="H270" s="1" t="s">
        <v>43</v>
      </c>
    </row>
    <row r="271" spans="1:8">
      <c r="A271" s="1" t="s">
        <v>2155</v>
      </c>
      <c r="B271" s="1" t="s">
        <v>26</v>
      </c>
      <c r="C271" s="1" t="s">
        <v>17</v>
      </c>
      <c r="D271" s="1" t="s">
        <v>20</v>
      </c>
      <c r="E271" s="12">
        <f>4*F271</f>
        <v>1.36</v>
      </c>
      <c r="F271" s="12">
        <f>Systems!L31</f>
        <v>0.34</v>
      </c>
      <c r="G271" s="1" t="s">
        <v>23</v>
      </c>
      <c r="H271" s="1" t="s">
        <v>43</v>
      </c>
    </row>
    <row r="272" spans="1:8">
      <c r="A272" s="1" t="s">
        <v>834</v>
      </c>
      <c r="B272" s="8" t="s">
        <v>26</v>
      </c>
      <c r="C272" s="1" t="s">
        <v>17</v>
      </c>
      <c r="D272" s="1" t="s">
        <v>20</v>
      </c>
      <c r="E272" s="12">
        <f>4*F272</f>
        <v>1.36</v>
      </c>
      <c r="F272" s="12">
        <f>Systems!L31</f>
        <v>0.34</v>
      </c>
      <c r="G272" s="1" t="s">
        <v>23</v>
      </c>
      <c r="H272" s="1" t="s">
        <v>43</v>
      </c>
    </row>
    <row r="273" spans="1:8">
      <c r="A273" s="1" t="s">
        <v>2188</v>
      </c>
      <c r="B273" s="1" t="s">
        <v>26</v>
      </c>
      <c r="C273" s="1" t="s">
        <v>17</v>
      </c>
      <c r="D273" s="1" t="s">
        <v>20</v>
      </c>
      <c r="E273" s="12">
        <f>F273/3</f>
        <v>0.11333333333333334</v>
      </c>
      <c r="F273" s="12">
        <f>Systems!L31</f>
        <v>0.34</v>
      </c>
      <c r="G273" s="1" t="s">
        <v>23</v>
      </c>
      <c r="H273" s="1" t="s">
        <v>43</v>
      </c>
    </row>
    <row r="274" spans="1:8">
      <c r="A274" s="1" t="s">
        <v>2334</v>
      </c>
      <c r="B274" s="1" t="s">
        <v>26</v>
      </c>
      <c r="C274" s="1" t="s">
        <v>17</v>
      </c>
      <c r="D274" s="1" t="s">
        <v>20</v>
      </c>
      <c r="E274" s="12">
        <f>100*F274</f>
        <v>34</v>
      </c>
      <c r="F274" s="12">
        <f>Systems!L31</f>
        <v>0.34</v>
      </c>
      <c r="G274" s="1" t="s">
        <v>23</v>
      </c>
      <c r="H274" s="1" t="s">
        <v>43</v>
      </c>
    </row>
    <row r="275" spans="1:8">
      <c r="A275" s="1" t="s">
        <v>810</v>
      </c>
      <c r="B275" s="1" t="s">
        <v>26</v>
      </c>
      <c r="C275" s="1" t="s">
        <v>17</v>
      </c>
      <c r="D275" s="1" t="s">
        <v>20</v>
      </c>
      <c r="E275" s="12">
        <f>F275</f>
        <v>0.34</v>
      </c>
      <c r="F275" s="12">
        <f>Systems!L31</f>
        <v>0.34</v>
      </c>
      <c r="G275" s="1" t="s">
        <v>23</v>
      </c>
      <c r="H275" s="1" t="s">
        <v>43</v>
      </c>
    </row>
    <row r="276" spans="1:8">
      <c r="A276" s="248"/>
      <c r="B276" s="248"/>
      <c r="C276" s="248"/>
      <c r="D276" s="248"/>
      <c r="E276" s="250"/>
      <c r="F276" s="250"/>
      <c r="G276" s="248"/>
      <c r="H276" s="248"/>
    </row>
    <row r="277" spans="1:8">
      <c r="A277" s="1" t="s">
        <v>2071</v>
      </c>
      <c r="B277" s="1" t="s">
        <v>26</v>
      </c>
      <c r="C277" s="1" t="s">
        <v>3033</v>
      </c>
      <c r="D277" s="1" t="s">
        <v>19</v>
      </c>
      <c r="E277" s="12">
        <f>2135*F277</f>
        <v>1850.191</v>
      </c>
      <c r="F277" s="12">
        <f>Systems!D32</f>
        <v>0.86660000000000004</v>
      </c>
      <c r="G277" s="1" t="s">
        <v>14</v>
      </c>
      <c r="H277" s="1" t="s">
        <v>436</v>
      </c>
    </row>
    <row r="278" spans="1:8">
      <c r="A278" s="1" t="s">
        <v>1012</v>
      </c>
      <c r="B278" s="1" t="s">
        <v>26</v>
      </c>
      <c r="C278" s="1" t="s">
        <v>3033</v>
      </c>
      <c r="D278" s="1" t="s">
        <v>19</v>
      </c>
      <c r="E278" s="12">
        <f>F278/4</f>
        <v>0.21665000000000001</v>
      </c>
      <c r="F278" s="12">
        <f>Systems!D32</f>
        <v>0.86660000000000004</v>
      </c>
      <c r="G278" s="1" t="s">
        <v>14</v>
      </c>
      <c r="H278" s="1" t="s">
        <v>436</v>
      </c>
    </row>
    <row r="279" spans="1:8">
      <c r="A279" s="1" t="s">
        <v>1314</v>
      </c>
      <c r="B279" s="1" t="s">
        <v>26</v>
      </c>
      <c r="C279" s="1" t="s">
        <v>3033</v>
      </c>
      <c r="D279" s="1" t="s">
        <v>19</v>
      </c>
      <c r="E279" s="12">
        <f>2*F279</f>
        <v>1.7332000000000001</v>
      </c>
      <c r="F279" s="12">
        <f>Systems!D32</f>
        <v>0.86660000000000004</v>
      </c>
      <c r="G279" s="1" t="s">
        <v>14</v>
      </c>
      <c r="H279" s="1" t="s">
        <v>436</v>
      </c>
    </row>
    <row r="280" spans="1:8">
      <c r="A280" s="1" t="s">
        <v>1447</v>
      </c>
      <c r="B280" s="1" t="s">
        <v>26</v>
      </c>
      <c r="C280" s="1" t="s">
        <v>3033</v>
      </c>
      <c r="D280" s="1" t="s">
        <v>19</v>
      </c>
      <c r="E280" s="12">
        <f>150*F280</f>
        <v>129.99</v>
      </c>
      <c r="F280" s="12">
        <f>Systems!D32</f>
        <v>0.86660000000000004</v>
      </c>
      <c r="G280" s="1" t="s">
        <v>14</v>
      </c>
      <c r="H280" s="1" t="s">
        <v>436</v>
      </c>
    </row>
    <row r="281" spans="1:8">
      <c r="A281" s="1" t="s">
        <v>1448</v>
      </c>
      <c r="B281" s="1" t="s">
        <v>26</v>
      </c>
      <c r="C281" s="1" t="s">
        <v>3033</v>
      </c>
      <c r="D281" s="1" t="s">
        <v>19</v>
      </c>
      <c r="E281" s="12">
        <f>F281/4</f>
        <v>5.9374999999999999E-4</v>
      </c>
      <c r="F281" s="12">
        <f>Systems!P32</f>
        <v>2.3749999999999999E-3</v>
      </c>
      <c r="G281" s="1" t="s">
        <v>14</v>
      </c>
      <c r="H281" s="1" t="s">
        <v>436</v>
      </c>
    </row>
    <row r="282" spans="1:8">
      <c r="A282" s="1" t="s">
        <v>1945</v>
      </c>
      <c r="B282" s="1" t="s">
        <v>26</v>
      </c>
      <c r="C282" s="1" t="s">
        <v>3033</v>
      </c>
      <c r="D282" s="1" t="s">
        <v>19</v>
      </c>
      <c r="E282" s="12">
        <f>6000*F282</f>
        <v>5199.6000000000004</v>
      </c>
      <c r="F282" s="12">
        <f>Systems!D32</f>
        <v>0.86660000000000004</v>
      </c>
      <c r="G282" s="1" t="s">
        <v>14</v>
      </c>
      <c r="H282" s="1" t="s">
        <v>436</v>
      </c>
    </row>
    <row r="283" spans="1:8">
      <c r="A283" s="1" t="s">
        <v>1964</v>
      </c>
      <c r="B283" s="1" t="s">
        <v>26</v>
      </c>
      <c r="C283" s="1" t="s">
        <v>3033</v>
      </c>
      <c r="D283" s="1" t="s">
        <v>19</v>
      </c>
      <c r="E283" s="12">
        <f>F283/432</f>
        <v>2.0060185185185185E-3</v>
      </c>
      <c r="F283" s="12">
        <f>Systems!D32</f>
        <v>0.86660000000000004</v>
      </c>
      <c r="G283" s="1" t="s">
        <v>14</v>
      </c>
      <c r="H283" s="1" t="s">
        <v>436</v>
      </c>
    </row>
    <row r="284" spans="1:8">
      <c r="A284" s="1" t="s">
        <v>933</v>
      </c>
      <c r="B284" s="1" t="s">
        <v>26</v>
      </c>
      <c r="C284" s="1" t="s">
        <v>3033</v>
      </c>
      <c r="D284" s="1" t="s">
        <v>19</v>
      </c>
      <c r="E284" s="12">
        <f>F284/3</f>
        <v>0.28886666666666666</v>
      </c>
      <c r="F284" s="12">
        <f>Systems!D32</f>
        <v>0.86660000000000004</v>
      </c>
      <c r="G284" s="1" t="s">
        <v>14</v>
      </c>
      <c r="H284" s="1" t="s">
        <v>436</v>
      </c>
    </row>
    <row r="285" spans="1:8">
      <c r="A285" s="1" t="s">
        <v>2306</v>
      </c>
      <c r="B285" s="1" t="s">
        <v>26</v>
      </c>
      <c r="C285" s="1" t="s">
        <v>3033</v>
      </c>
      <c r="D285" s="1" t="s">
        <v>19</v>
      </c>
      <c r="E285" s="12">
        <f>F285/36</f>
        <v>2.4072222222222224E-2</v>
      </c>
      <c r="F285" s="12">
        <f>Systems!D32</f>
        <v>0.86660000000000004</v>
      </c>
      <c r="G285" s="1" t="s">
        <v>14</v>
      </c>
      <c r="H285" s="1" t="s">
        <v>436</v>
      </c>
    </row>
    <row r="286" spans="1:8">
      <c r="A286" s="1" t="s">
        <v>821</v>
      </c>
      <c r="B286" s="1" t="s">
        <v>26</v>
      </c>
      <c r="C286" s="1" t="s">
        <v>3033</v>
      </c>
      <c r="D286" s="1" t="s">
        <v>19</v>
      </c>
      <c r="E286" s="12">
        <f>F286</f>
        <v>0.86660000000000004</v>
      </c>
      <c r="F286" s="12">
        <f>Systems!D32</f>
        <v>0.86660000000000004</v>
      </c>
      <c r="G286" s="1" t="s">
        <v>14</v>
      </c>
      <c r="H286" s="1" t="s">
        <v>436</v>
      </c>
    </row>
    <row r="287" spans="1:8" ht="16.5">
      <c r="A287" s="1" t="s">
        <v>4513</v>
      </c>
      <c r="B287" s="1" t="s">
        <v>26</v>
      </c>
      <c r="C287" s="1" t="s">
        <v>3034</v>
      </c>
      <c r="D287" s="1" t="s">
        <v>38</v>
      </c>
      <c r="E287" s="12">
        <f>F287</f>
        <v>0.75099556000000012</v>
      </c>
      <c r="F287" s="12">
        <f>Systems!H32</f>
        <v>0.75099556000000012</v>
      </c>
      <c r="G287" s="1" t="s">
        <v>39</v>
      </c>
      <c r="H287" s="1" t="s">
        <v>436</v>
      </c>
    </row>
    <row r="288" spans="1:8" ht="16.5">
      <c r="A288" s="1" t="s">
        <v>1449</v>
      </c>
      <c r="B288" s="1" t="s">
        <v>26</v>
      </c>
      <c r="C288" s="1" t="s">
        <v>2936</v>
      </c>
      <c r="D288" s="1" t="s">
        <v>32</v>
      </c>
      <c r="E288" s="12">
        <f>F288/4</f>
        <v>3.4299425000000001E-2</v>
      </c>
      <c r="F288" s="12">
        <f>Systems!T32</f>
        <v>0.13719770000000001</v>
      </c>
      <c r="G288" s="1" t="s">
        <v>33</v>
      </c>
      <c r="H288" s="1" t="s">
        <v>436</v>
      </c>
    </row>
    <row r="289" spans="1:8" ht="16.5">
      <c r="A289" s="1" t="s">
        <v>823</v>
      </c>
      <c r="B289" s="1" t="s">
        <v>26</v>
      </c>
      <c r="C289" s="1" t="s">
        <v>2936</v>
      </c>
      <c r="D289" s="1" t="s">
        <v>32</v>
      </c>
      <c r="E289" s="12">
        <f>F289</f>
        <v>0.13719770000000001</v>
      </c>
      <c r="F289" s="12">
        <f>Systems!T32</f>
        <v>0.13719770000000001</v>
      </c>
      <c r="G289" s="1" t="s">
        <v>33</v>
      </c>
      <c r="H289" s="1" t="s">
        <v>436</v>
      </c>
    </row>
    <row r="290" spans="1:8" ht="16.5">
      <c r="A290" s="1" t="s">
        <v>1934</v>
      </c>
      <c r="B290" s="1" t="s">
        <v>26</v>
      </c>
      <c r="C290" s="1" t="s">
        <v>2936</v>
      </c>
      <c r="D290" s="1" t="s">
        <v>32</v>
      </c>
      <c r="E290" s="12">
        <f>15*F290</f>
        <v>2.0579654999999999</v>
      </c>
      <c r="F290" s="12">
        <f>Systems!T32</f>
        <v>0.13719770000000001</v>
      </c>
      <c r="G290" s="1" t="s">
        <v>33</v>
      </c>
      <c r="H290" s="1" t="s">
        <v>436</v>
      </c>
    </row>
    <row r="291" spans="1:8" ht="16.5">
      <c r="A291" s="1" t="s">
        <v>2682</v>
      </c>
      <c r="B291" s="1" t="s">
        <v>26</v>
      </c>
      <c r="C291" s="1" t="s">
        <v>2936</v>
      </c>
      <c r="D291" s="1" t="s">
        <v>32</v>
      </c>
      <c r="E291" s="12">
        <f>7*F291</f>
        <v>0.96038390000000007</v>
      </c>
      <c r="F291" s="12">
        <f>Systems!T32</f>
        <v>0.13719770000000001</v>
      </c>
      <c r="G291" s="1" t="s">
        <v>33</v>
      </c>
      <c r="H291" s="1" t="s">
        <v>436</v>
      </c>
    </row>
    <row r="292" spans="1:8" ht="16.5">
      <c r="A292" s="22" t="s">
        <v>830</v>
      </c>
      <c r="B292" s="19" t="s">
        <v>26</v>
      </c>
      <c r="C292" s="1" t="s">
        <v>2935</v>
      </c>
      <c r="D292" s="1" t="s">
        <v>32</v>
      </c>
      <c r="E292" s="21">
        <f>32*F292</f>
        <v>7.5999999999999998E-2</v>
      </c>
      <c r="F292" s="21">
        <f>Systems!P32</f>
        <v>2.3749999999999999E-3</v>
      </c>
      <c r="G292" s="1" t="s">
        <v>33</v>
      </c>
      <c r="H292" s="1" t="s">
        <v>436</v>
      </c>
    </row>
    <row r="293" spans="1:8" ht="16.5">
      <c r="A293" s="1" t="s">
        <v>1448</v>
      </c>
      <c r="B293" s="1" t="s">
        <v>26</v>
      </c>
      <c r="C293" s="1" t="s">
        <v>2935</v>
      </c>
      <c r="D293" s="1" t="s">
        <v>32</v>
      </c>
      <c r="E293" s="12">
        <f>F293/4</f>
        <v>5.9374999999999999E-4</v>
      </c>
      <c r="F293" s="12">
        <f>Systems!P32</f>
        <v>2.3749999999999999E-3</v>
      </c>
      <c r="G293" s="1" t="s">
        <v>33</v>
      </c>
      <c r="H293" s="1" t="s">
        <v>436</v>
      </c>
    </row>
    <row r="294" spans="1:8" ht="16.5">
      <c r="A294" s="1" t="s">
        <v>1461</v>
      </c>
      <c r="C294" s="1" t="s">
        <v>2935</v>
      </c>
      <c r="D294" s="1" t="s">
        <v>32</v>
      </c>
      <c r="E294" s="12">
        <f>48*F294</f>
        <v>0.11399999999999999</v>
      </c>
      <c r="F294" s="12">
        <f>Systems!P32</f>
        <v>2.3749999999999999E-3</v>
      </c>
      <c r="G294" s="1" t="s">
        <v>33</v>
      </c>
      <c r="H294" s="1" t="s">
        <v>436</v>
      </c>
    </row>
    <row r="295" spans="1:8" ht="16.5">
      <c r="A295" s="1" t="s">
        <v>943</v>
      </c>
      <c r="B295" s="1" t="s">
        <v>26</v>
      </c>
      <c r="C295" s="1" t="s">
        <v>2935</v>
      </c>
      <c r="D295" s="1" t="s">
        <v>32</v>
      </c>
      <c r="E295" s="12">
        <f>F295</f>
        <v>2.3749999999999999E-3</v>
      </c>
      <c r="F295" s="12">
        <f>Systems!P32</f>
        <v>2.3749999999999999E-3</v>
      </c>
      <c r="G295" s="1" t="s">
        <v>33</v>
      </c>
      <c r="H295" s="1" t="s">
        <v>436</v>
      </c>
    </row>
    <row r="296" spans="1:8" ht="16.5">
      <c r="A296" s="1" t="s">
        <v>2156</v>
      </c>
      <c r="B296" s="1" t="s">
        <v>26</v>
      </c>
      <c r="C296" s="1" t="s">
        <v>2935</v>
      </c>
      <c r="D296" s="1" t="s">
        <v>32</v>
      </c>
      <c r="E296" s="12">
        <f>F296/8</f>
        <v>2.9687499999999999E-4</v>
      </c>
      <c r="F296" s="12">
        <f>Systems!P32</f>
        <v>2.3749999999999999E-3</v>
      </c>
      <c r="G296" s="1" t="s">
        <v>33</v>
      </c>
      <c r="H296" s="1" t="s">
        <v>436</v>
      </c>
    </row>
    <row r="297" spans="1:8" ht="16.5">
      <c r="A297" s="1" t="s">
        <v>2277</v>
      </c>
      <c r="B297" s="1" t="s">
        <v>26</v>
      </c>
      <c r="C297" s="1" t="s">
        <v>2935</v>
      </c>
      <c r="D297" s="1" t="s">
        <v>32</v>
      </c>
      <c r="E297" s="12">
        <f>192*F297</f>
        <v>0.45599999999999996</v>
      </c>
      <c r="F297" s="12">
        <f>Systems!P32</f>
        <v>2.3749999999999999E-3</v>
      </c>
      <c r="G297" s="1" t="s">
        <v>33</v>
      </c>
      <c r="H297" s="1" t="s">
        <v>436</v>
      </c>
    </row>
    <row r="298" spans="1:8">
      <c r="A298" s="1" t="s">
        <v>1163</v>
      </c>
      <c r="B298" s="1" t="s">
        <v>26</v>
      </c>
      <c r="C298" s="1" t="s">
        <v>17</v>
      </c>
      <c r="D298" s="1" t="s">
        <v>20</v>
      </c>
      <c r="E298" s="12">
        <f>F298/256</f>
        <v>1.7945312499999999E-3</v>
      </c>
      <c r="F298" s="12">
        <f>Systems!L32</f>
        <v>0.45939999999999998</v>
      </c>
      <c r="G298" s="1" t="s">
        <v>23</v>
      </c>
      <c r="H298" s="1" t="s">
        <v>436</v>
      </c>
    </row>
    <row r="299" spans="1:8">
      <c r="A299" s="1" t="s">
        <v>1018</v>
      </c>
      <c r="B299" s="1" t="s">
        <v>26</v>
      </c>
      <c r="C299" s="1" t="s">
        <v>17</v>
      </c>
      <c r="D299" s="1" t="s">
        <v>20</v>
      </c>
      <c r="E299" s="12">
        <f>25*F299</f>
        <v>11.484999999999999</v>
      </c>
      <c r="F299" s="12">
        <f>Systems!L32</f>
        <v>0.45939999999999998</v>
      </c>
      <c r="G299" s="1" t="s">
        <v>23</v>
      </c>
      <c r="H299" s="1" t="s">
        <v>436</v>
      </c>
    </row>
    <row r="300" spans="1:8">
      <c r="A300" s="1" t="s">
        <v>1695</v>
      </c>
      <c r="B300" s="1" t="s">
        <v>26</v>
      </c>
      <c r="C300" s="1" t="s">
        <v>17</v>
      </c>
      <c r="D300" s="1" t="s">
        <v>20</v>
      </c>
      <c r="E300" s="12">
        <f>F300/9216</f>
        <v>4.9848090277777774E-5</v>
      </c>
      <c r="F300" s="12">
        <f>Systems!L32</f>
        <v>0.45939999999999998</v>
      </c>
      <c r="G300" s="1" t="s">
        <v>23</v>
      </c>
      <c r="H300" s="1" t="s">
        <v>436</v>
      </c>
    </row>
    <row r="301" spans="1:8">
      <c r="A301" s="1" t="s">
        <v>822</v>
      </c>
      <c r="B301" s="1" t="s">
        <v>26</v>
      </c>
      <c r="C301" s="1" t="s">
        <v>17</v>
      </c>
      <c r="D301" s="1" t="s">
        <v>20</v>
      </c>
      <c r="E301" s="12">
        <f>F301</f>
        <v>0.45939999999999998</v>
      </c>
      <c r="F301" s="12">
        <f>Systems!L32</f>
        <v>0.45939999999999998</v>
      </c>
      <c r="G301" s="1" t="s">
        <v>23</v>
      </c>
      <c r="H301" s="1" t="s">
        <v>436</v>
      </c>
    </row>
    <row r="302" spans="1:8">
      <c r="A302" s="1" t="s">
        <v>2174</v>
      </c>
      <c r="B302" s="1" t="s">
        <v>26</v>
      </c>
      <c r="C302" s="1" t="s">
        <v>17</v>
      </c>
      <c r="D302" s="1" t="s">
        <v>20</v>
      </c>
      <c r="E302" s="12">
        <f>F302/16</f>
        <v>2.8712499999999998E-2</v>
      </c>
      <c r="F302" s="12">
        <f>Systems!L32</f>
        <v>0.45939999999999998</v>
      </c>
      <c r="G302" s="1" t="s">
        <v>23</v>
      </c>
      <c r="H302" s="1" t="s">
        <v>436</v>
      </c>
    </row>
    <row r="303" spans="1:8">
      <c r="A303" s="1" t="s">
        <v>2357</v>
      </c>
      <c r="B303" s="1" t="s">
        <v>26</v>
      </c>
      <c r="C303" s="1" t="s">
        <v>17</v>
      </c>
      <c r="D303" s="1" t="s">
        <v>20</v>
      </c>
      <c r="E303" s="12">
        <f>100*F303</f>
        <v>45.94</v>
      </c>
      <c r="F303" s="12">
        <f>Systems!L32</f>
        <v>0.45939999999999998</v>
      </c>
      <c r="G303" s="1" t="s">
        <v>23</v>
      </c>
      <c r="H303" s="1" t="s">
        <v>436</v>
      </c>
    </row>
    <row r="304" spans="1:8">
      <c r="A304" s="1" t="s">
        <v>2682</v>
      </c>
      <c r="B304" s="1" t="s">
        <v>26</v>
      </c>
      <c r="C304" s="1" t="s">
        <v>17</v>
      </c>
      <c r="D304" s="1" t="s">
        <v>20</v>
      </c>
      <c r="E304" s="12">
        <f>2000*F304</f>
        <v>918.8</v>
      </c>
      <c r="F304" s="12">
        <f>Systems!L32</f>
        <v>0.45939999999999998</v>
      </c>
      <c r="G304" s="1" t="s">
        <v>23</v>
      </c>
      <c r="H304" s="1" t="s">
        <v>436</v>
      </c>
    </row>
    <row r="305" spans="1:8">
      <c r="A305" s="248"/>
      <c r="B305" s="248"/>
      <c r="C305" s="248"/>
      <c r="D305" s="248"/>
      <c r="E305" s="250"/>
      <c r="F305" s="250"/>
      <c r="G305" s="248"/>
      <c r="H305" s="248"/>
    </row>
    <row r="306" spans="1:8">
      <c r="A306" s="1" t="s">
        <v>48</v>
      </c>
      <c r="B306" s="1" t="s">
        <v>26</v>
      </c>
      <c r="C306" s="1" t="s">
        <v>3033</v>
      </c>
      <c r="D306" s="1" t="s">
        <v>19</v>
      </c>
      <c r="E306" s="12">
        <f>F306</f>
        <v>1.6</v>
      </c>
      <c r="F306" s="12">
        <f>Systems!D131</f>
        <v>1.6</v>
      </c>
      <c r="G306" s="1" t="s">
        <v>14</v>
      </c>
      <c r="H306" s="1" t="s">
        <v>608</v>
      </c>
    </row>
    <row r="307" spans="1:8" ht="16.5">
      <c r="A307" s="1" t="s">
        <v>4396</v>
      </c>
      <c r="B307" s="1" t="s">
        <v>26</v>
      </c>
      <c r="C307" s="1" t="s">
        <v>3034</v>
      </c>
      <c r="D307" s="1" t="s">
        <v>38</v>
      </c>
      <c r="E307" s="12">
        <f>F307</f>
        <v>2.5600000000000005</v>
      </c>
      <c r="F307" s="12">
        <f>Systems!H131</f>
        <v>2.5600000000000005</v>
      </c>
      <c r="G307" s="1" t="s">
        <v>39</v>
      </c>
      <c r="H307" s="1" t="s">
        <v>608</v>
      </c>
    </row>
    <row r="308" spans="1:8" ht="16.5">
      <c r="A308" s="1" t="s">
        <v>4397</v>
      </c>
      <c r="B308" s="1" t="s">
        <v>26</v>
      </c>
      <c r="C308" s="1" t="s">
        <v>2935</v>
      </c>
      <c r="D308" s="1" t="s">
        <v>32</v>
      </c>
      <c r="E308" s="12">
        <f>F308</f>
        <v>4.096000000000001</v>
      </c>
      <c r="F308" s="12">
        <f>Systems!P131</f>
        <v>4.096000000000001</v>
      </c>
      <c r="G308" s="1" t="s">
        <v>33</v>
      </c>
      <c r="H308" s="1" t="s">
        <v>608</v>
      </c>
    </row>
    <row r="309" spans="1:8">
      <c r="A309" s="1" t="s">
        <v>912</v>
      </c>
      <c r="B309" s="1" t="s">
        <v>26</v>
      </c>
      <c r="C309" s="1" t="s">
        <v>17</v>
      </c>
      <c r="D309" s="1" t="s">
        <v>20</v>
      </c>
      <c r="E309" s="12">
        <f>F309</f>
        <v>0.6048</v>
      </c>
      <c r="F309" s="12">
        <f>Systems!L186</f>
        <v>0.6048</v>
      </c>
      <c r="G309" s="1" t="s">
        <v>23</v>
      </c>
      <c r="H309" s="1" t="s">
        <v>608</v>
      </c>
    </row>
    <row r="310" spans="1:8">
      <c r="A310" s="1" t="s">
        <v>1883</v>
      </c>
      <c r="B310" s="1" t="s">
        <v>26</v>
      </c>
      <c r="C310" s="1" t="s">
        <v>17</v>
      </c>
      <c r="D310" s="1" t="s">
        <v>20</v>
      </c>
      <c r="E310" s="12">
        <f>4000*F310</f>
        <v>2419.1999999999998</v>
      </c>
      <c r="F310" s="12">
        <f>Systems!L186</f>
        <v>0.6048</v>
      </c>
      <c r="G310" s="1" t="s">
        <v>23</v>
      </c>
      <c r="H310" s="1" t="s">
        <v>608</v>
      </c>
    </row>
    <row r="311" spans="1:8">
      <c r="A311" s="1" t="s">
        <v>978</v>
      </c>
      <c r="B311" s="1" t="s">
        <v>26</v>
      </c>
      <c r="C311" s="1" t="s">
        <v>17</v>
      </c>
      <c r="D311" s="1" t="s">
        <v>20</v>
      </c>
      <c r="E311" s="12">
        <f>F311/12</f>
        <v>3.7799364166666669E-2</v>
      </c>
      <c r="F311" s="12">
        <f>Systems!L6</f>
        <v>0.45359237000000002</v>
      </c>
      <c r="G311" s="1" t="s">
        <v>23</v>
      </c>
      <c r="H311" s="1" t="s">
        <v>608</v>
      </c>
    </row>
    <row r="312" spans="1:8">
      <c r="A312" s="1" t="s">
        <v>2596</v>
      </c>
      <c r="B312" s="1" t="s">
        <v>26</v>
      </c>
      <c r="C312" s="1" t="s">
        <v>17</v>
      </c>
      <c r="D312" s="1" t="s">
        <v>20</v>
      </c>
      <c r="E312" s="12">
        <f>F312/12</f>
        <v>3.7799364166666669E-2</v>
      </c>
      <c r="F312" s="12">
        <f>Systems!L6</f>
        <v>0.45359237000000002</v>
      </c>
      <c r="G312" s="1" t="s">
        <v>23</v>
      </c>
      <c r="H312" s="1" t="s">
        <v>608</v>
      </c>
    </row>
    <row r="313" spans="1:8">
      <c r="A313" s="248"/>
      <c r="B313" s="248"/>
      <c r="C313" s="248"/>
      <c r="D313" s="248"/>
      <c r="E313" s="250"/>
      <c r="F313" s="250"/>
      <c r="G313" s="248"/>
      <c r="H313" s="248"/>
    </row>
    <row r="314" spans="1:8">
      <c r="A314" s="1" t="s">
        <v>1176</v>
      </c>
      <c r="B314" s="1" t="s">
        <v>26</v>
      </c>
      <c r="C314" s="1" t="s">
        <v>3033</v>
      </c>
      <c r="D314" s="1" t="s">
        <v>19</v>
      </c>
      <c r="E314" s="12">
        <f>9*F314</f>
        <v>2.77704</v>
      </c>
      <c r="F314" s="12">
        <f>Systems!D33</f>
        <v>0.30856</v>
      </c>
      <c r="G314" s="1" t="s">
        <v>14</v>
      </c>
      <c r="H314" s="1" t="s">
        <v>50</v>
      </c>
    </row>
    <row r="315" spans="1:8">
      <c r="A315" s="1" t="s">
        <v>1209</v>
      </c>
      <c r="B315" s="1" t="s">
        <v>26</v>
      </c>
      <c r="C315" s="1" t="s">
        <v>3033</v>
      </c>
      <c r="D315" s="1" t="s">
        <v>19</v>
      </c>
      <c r="E315" s="12">
        <f>60*F315</f>
        <v>18.5136</v>
      </c>
      <c r="F315" s="12">
        <f>Systems!D33</f>
        <v>0.30856</v>
      </c>
      <c r="G315" s="1" t="s">
        <v>14</v>
      </c>
      <c r="H315" s="1" t="s">
        <v>50</v>
      </c>
    </row>
    <row r="316" spans="1:8">
      <c r="A316" s="1" t="s">
        <v>1285</v>
      </c>
      <c r="B316" s="1" t="s">
        <v>26</v>
      </c>
      <c r="C316" s="1" t="s">
        <v>3033</v>
      </c>
      <c r="D316" s="1" t="s">
        <v>19</v>
      </c>
      <c r="E316" s="12">
        <f>5*F316/2</f>
        <v>0.77139999999999997</v>
      </c>
      <c r="F316" s="12">
        <f>Systems!D33</f>
        <v>0.30856</v>
      </c>
      <c r="G316" s="1" t="s">
        <v>14</v>
      </c>
      <c r="H316" s="1" t="s">
        <v>50</v>
      </c>
    </row>
    <row r="317" spans="1:8">
      <c r="A317" s="1" t="s">
        <v>4398</v>
      </c>
      <c r="B317" s="1" t="s">
        <v>26</v>
      </c>
      <c r="C317" s="1" t="s">
        <v>3033</v>
      </c>
      <c r="D317" s="1" t="s">
        <v>19</v>
      </c>
      <c r="E317" s="12">
        <f>5*F317</f>
        <v>1.5427999999999999</v>
      </c>
      <c r="F317" s="12">
        <f>Systems!D33</f>
        <v>0.30856</v>
      </c>
      <c r="G317" s="1" t="s">
        <v>14</v>
      </c>
      <c r="H317" s="1" t="s">
        <v>50</v>
      </c>
    </row>
    <row r="318" spans="1:8">
      <c r="A318" s="1" t="s">
        <v>4399</v>
      </c>
      <c r="B318" s="1" t="s">
        <v>26</v>
      </c>
      <c r="C318" s="1" t="s">
        <v>3033</v>
      </c>
      <c r="D318" s="1" t="s">
        <v>19</v>
      </c>
      <c r="E318" s="12">
        <f>5*F318/2</f>
        <v>0.77139999999999997</v>
      </c>
      <c r="F318" s="12">
        <f>Systems!D33</f>
        <v>0.30856</v>
      </c>
      <c r="G318" s="1" t="s">
        <v>14</v>
      </c>
      <c r="H318" s="1" t="s">
        <v>50</v>
      </c>
    </row>
    <row r="319" spans="1:8">
      <c r="A319" s="1" t="s">
        <v>1427</v>
      </c>
      <c r="B319" s="1" t="s">
        <v>26</v>
      </c>
      <c r="C319" s="1" t="s">
        <v>3033</v>
      </c>
      <c r="D319" s="1" t="s">
        <v>19</v>
      </c>
      <c r="E319" s="12">
        <f>F319/8</f>
        <v>3.857E-2</v>
      </c>
      <c r="F319" s="12">
        <f>Systems!D33</f>
        <v>0.30856</v>
      </c>
      <c r="G319" s="1" t="s">
        <v>14</v>
      </c>
      <c r="H319" s="1" t="s">
        <v>50</v>
      </c>
    </row>
    <row r="320" spans="1:8">
      <c r="A320" s="1" t="s">
        <v>4400</v>
      </c>
      <c r="B320" s="1" t="s">
        <v>26</v>
      </c>
      <c r="C320" s="1" t="s">
        <v>3033</v>
      </c>
      <c r="D320" s="1" t="s">
        <v>19</v>
      </c>
      <c r="E320" s="12">
        <f>2*F320</f>
        <v>0.61712</v>
      </c>
      <c r="F320" s="12">
        <f>Systems!D33</f>
        <v>0.30856</v>
      </c>
      <c r="G320" s="1" t="s">
        <v>14</v>
      </c>
      <c r="H320" s="1" t="s">
        <v>50</v>
      </c>
    </row>
    <row r="321" spans="1:8">
      <c r="A321" s="1" t="s">
        <v>1476</v>
      </c>
      <c r="B321" s="1" t="s">
        <v>26</v>
      </c>
      <c r="C321" s="1" t="s">
        <v>3033</v>
      </c>
      <c r="D321" s="1" t="s">
        <v>19</v>
      </c>
      <c r="E321" s="12">
        <f>F321/16</f>
        <v>1.9285E-2</v>
      </c>
      <c r="F321" s="12">
        <f>Systems!D33</f>
        <v>0.30856</v>
      </c>
      <c r="G321" s="1" t="s">
        <v>14</v>
      </c>
      <c r="H321" s="1" t="s">
        <v>50</v>
      </c>
    </row>
    <row r="322" spans="1:8">
      <c r="A322" s="1" t="s">
        <v>1497</v>
      </c>
      <c r="B322" s="1" t="s">
        <v>26</v>
      </c>
      <c r="C322" s="1" t="s">
        <v>3033</v>
      </c>
      <c r="D322" s="1" t="s">
        <v>19</v>
      </c>
      <c r="E322" s="12">
        <f>10*F322</f>
        <v>3.0855999999999999</v>
      </c>
      <c r="F322" s="12">
        <f>Systems!D33</f>
        <v>0.30856</v>
      </c>
      <c r="G322" s="1" t="s">
        <v>14</v>
      </c>
      <c r="H322" s="1" t="s">
        <v>50</v>
      </c>
    </row>
    <row r="323" spans="1:8">
      <c r="A323" s="1" t="s">
        <v>1522</v>
      </c>
      <c r="B323" s="1" t="s">
        <v>26</v>
      </c>
      <c r="C323" s="1" t="s">
        <v>3033</v>
      </c>
      <c r="D323" s="1" t="s">
        <v>19</v>
      </c>
      <c r="E323" s="12">
        <f>1200*F323</f>
        <v>370.27199999999999</v>
      </c>
      <c r="F323" s="12">
        <f>Systems!D33</f>
        <v>0.30856</v>
      </c>
      <c r="G323" s="1" t="s">
        <v>14</v>
      </c>
      <c r="H323" s="1" t="s">
        <v>50</v>
      </c>
    </row>
    <row r="324" spans="1:8">
      <c r="A324" s="1" t="s">
        <v>1523</v>
      </c>
      <c r="B324" s="1" t="s">
        <v>26</v>
      </c>
      <c r="C324" s="1" t="s">
        <v>3033</v>
      </c>
      <c r="D324" s="1" t="s">
        <v>19</v>
      </c>
      <c r="E324" s="12">
        <f>F324/2</f>
        <v>0.15428</v>
      </c>
      <c r="F324" s="12">
        <f>Systems!D33</f>
        <v>0.30856</v>
      </c>
      <c r="G324" s="1" t="s">
        <v>14</v>
      </c>
      <c r="H324" s="1" t="s">
        <v>50</v>
      </c>
    </row>
    <row r="325" spans="1:8">
      <c r="A325" s="1" t="s">
        <v>4401</v>
      </c>
      <c r="B325" s="1" t="s">
        <v>26</v>
      </c>
      <c r="C325" s="1" t="s">
        <v>3033</v>
      </c>
      <c r="D325" s="1" t="s">
        <v>19</v>
      </c>
      <c r="E325" s="12">
        <f>5*F325</f>
        <v>1.5427999999999999</v>
      </c>
      <c r="F325" s="12">
        <f>Systems!D33</f>
        <v>0.30856</v>
      </c>
      <c r="G325" s="1" t="s">
        <v>14</v>
      </c>
      <c r="H325" s="1" t="s">
        <v>50</v>
      </c>
    </row>
    <row r="326" spans="1:8">
      <c r="A326" s="1" t="s">
        <v>1539</v>
      </c>
      <c r="B326" s="1" t="s">
        <v>26</v>
      </c>
      <c r="C326" s="1" t="s">
        <v>3033</v>
      </c>
      <c r="D326" s="1" t="s">
        <v>19</v>
      </c>
      <c r="E326" s="12">
        <f>7200*F326</f>
        <v>2221.6320000000001</v>
      </c>
      <c r="F326" s="12">
        <f>Systems!D33</f>
        <v>0.30856</v>
      </c>
      <c r="G326" s="1" t="s">
        <v>14</v>
      </c>
      <c r="H326" s="1" t="s">
        <v>50</v>
      </c>
    </row>
    <row r="327" spans="1:8">
      <c r="A327" s="1" t="s">
        <v>1545</v>
      </c>
      <c r="B327" s="1" t="s">
        <v>26</v>
      </c>
      <c r="C327" s="1" t="s">
        <v>3033</v>
      </c>
      <c r="D327" s="1" t="s">
        <v>19</v>
      </c>
      <c r="E327" s="12">
        <f>F327/4</f>
        <v>7.714E-2</v>
      </c>
      <c r="F327" s="12">
        <f>Systems!D33</f>
        <v>0.30856</v>
      </c>
      <c r="G327" s="1" t="s">
        <v>14</v>
      </c>
      <c r="H327" s="1" t="s">
        <v>50</v>
      </c>
    </row>
    <row r="328" spans="1:8">
      <c r="A328" s="1" t="s">
        <v>1238</v>
      </c>
      <c r="B328" s="1" t="s">
        <v>26</v>
      </c>
      <c r="C328" s="1" t="s">
        <v>3033</v>
      </c>
      <c r="D328" s="1" t="s">
        <v>19</v>
      </c>
      <c r="E328" s="12">
        <f>F328/16</f>
        <v>1.9285E-2</v>
      </c>
      <c r="F328" s="12">
        <f>Systems!D33</f>
        <v>0.30856</v>
      </c>
      <c r="G328" s="1" t="s">
        <v>14</v>
      </c>
      <c r="H328" s="1" t="s">
        <v>50</v>
      </c>
    </row>
    <row r="329" spans="1:8">
      <c r="A329" s="1" t="s">
        <v>200</v>
      </c>
      <c r="B329" s="1" t="s">
        <v>6949</v>
      </c>
      <c r="C329" s="1" t="s">
        <v>3033</v>
      </c>
      <c r="D329" s="1" t="s">
        <v>19</v>
      </c>
      <c r="E329" s="12">
        <v>0.30856</v>
      </c>
      <c r="F329" s="12">
        <f>Systems!D33</f>
        <v>0.30856</v>
      </c>
      <c r="G329" s="1" t="s">
        <v>14</v>
      </c>
      <c r="H329" s="1" t="s">
        <v>50</v>
      </c>
    </row>
    <row r="330" spans="1:8">
      <c r="A330" s="1" t="s">
        <v>1715</v>
      </c>
      <c r="B330" s="1" t="s">
        <v>26</v>
      </c>
      <c r="C330" s="1" t="s">
        <v>3033</v>
      </c>
      <c r="D330" s="1" t="s">
        <v>19</v>
      </c>
      <c r="E330" s="12">
        <f>60*F330</f>
        <v>18.5136</v>
      </c>
      <c r="F330" s="12">
        <f>Systems!D33</f>
        <v>0.30856</v>
      </c>
      <c r="G330" s="1" t="s">
        <v>14</v>
      </c>
      <c r="H330" s="1" t="s">
        <v>50</v>
      </c>
    </row>
    <row r="331" spans="1:8">
      <c r="A331" s="1" t="s">
        <v>4402</v>
      </c>
      <c r="B331" s="1" t="s">
        <v>26</v>
      </c>
      <c r="C331" s="1" t="s">
        <v>3033</v>
      </c>
      <c r="D331" s="1" t="s">
        <v>19</v>
      </c>
      <c r="E331" s="12">
        <f>5*F331/2</f>
        <v>0.77139999999999997</v>
      </c>
      <c r="F331" s="12">
        <f>Systems!D33</f>
        <v>0.30856</v>
      </c>
      <c r="G331" s="1" t="s">
        <v>14</v>
      </c>
      <c r="H331" s="1" t="s">
        <v>50</v>
      </c>
    </row>
    <row r="332" spans="1:8">
      <c r="A332" s="1" t="s">
        <v>1737</v>
      </c>
      <c r="B332" s="1" t="s">
        <v>26</v>
      </c>
      <c r="C332" s="1" t="s">
        <v>3033</v>
      </c>
      <c r="D332" s="1" t="s">
        <v>19</v>
      </c>
      <c r="E332" s="12">
        <f>F332/2</f>
        <v>0.15428</v>
      </c>
      <c r="F332" s="12">
        <f>Systems!D33</f>
        <v>0.30856</v>
      </c>
      <c r="G332" s="1" t="s">
        <v>14</v>
      </c>
      <c r="H332" s="1" t="s">
        <v>50</v>
      </c>
    </row>
    <row r="333" spans="1:8">
      <c r="A333" s="1" t="s">
        <v>1745</v>
      </c>
      <c r="B333" s="1" t="s">
        <v>26</v>
      </c>
      <c r="C333" s="1" t="s">
        <v>3033</v>
      </c>
      <c r="D333" s="1" t="s">
        <v>19</v>
      </c>
      <c r="E333" s="12">
        <f>2400*F333</f>
        <v>740.54399999999998</v>
      </c>
      <c r="F333" s="12">
        <f>Systems!D33</f>
        <v>0.30856</v>
      </c>
      <c r="G333" s="1" t="s">
        <v>14</v>
      </c>
      <c r="H333" s="1" t="s">
        <v>50</v>
      </c>
    </row>
    <row r="334" spans="1:8">
      <c r="A334" s="1" t="s">
        <v>1794</v>
      </c>
      <c r="B334" s="1" t="s">
        <v>26</v>
      </c>
      <c r="C334" s="1" t="s">
        <v>3033</v>
      </c>
      <c r="D334" s="1" t="s">
        <v>19</v>
      </c>
      <c r="E334" s="12">
        <f>10*F334</f>
        <v>3.0855999999999999</v>
      </c>
      <c r="F334" s="12">
        <f>Systems!D33</f>
        <v>0.30856</v>
      </c>
      <c r="G334" s="1" t="s">
        <v>14</v>
      </c>
      <c r="H334" s="1" t="s">
        <v>50</v>
      </c>
    </row>
    <row r="335" spans="1:8">
      <c r="A335" s="1" t="s">
        <v>1871</v>
      </c>
      <c r="B335" s="1" t="s">
        <v>26</v>
      </c>
      <c r="C335" s="1" t="s">
        <v>3033</v>
      </c>
      <c r="D335" s="1" t="s">
        <v>19</v>
      </c>
      <c r="E335" s="12">
        <f>F335/8</f>
        <v>3.857E-2</v>
      </c>
      <c r="F335" s="12">
        <f>Systems!D33</f>
        <v>0.30856</v>
      </c>
      <c r="G335" s="1" t="s">
        <v>14</v>
      </c>
      <c r="H335" s="1" t="s">
        <v>50</v>
      </c>
    </row>
    <row r="336" spans="1:8">
      <c r="A336" s="1" t="s">
        <v>1956</v>
      </c>
      <c r="B336" s="1" t="s">
        <v>26</v>
      </c>
      <c r="C336" s="1" t="s">
        <v>3033</v>
      </c>
      <c r="D336" s="1" t="s">
        <v>19</v>
      </c>
      <c r="E336" s="12">
        <f>5*F336/8</f>
        <v>0.19284999999999999</v>
      </c>
      <c r="F336" s="12">
        <f>Systems!D33</f>
        <v>0.30856</v>
      </c>
      <c r="G336" s="1" t="s">
        <v>14</v>
      </c>
      <c r="H336" s="1" t="s">
        <v>50</v>
      </c>
    </row>
    <row r="337" spans="1:8">
      <c r="A337" s="1" t="s">
        <v>2070</v>
      </c>
      <c r="B337" s="1" t="s">
        <v>26</v>
      </c>
      <c r="C337" s="1" t="s">
        <v>3033</v>
      </c>
      <c r="D337" s="1" t="s">
        <v>19</v>
      </c>
      <c r="E337" s="12">
        <f>4800*F337</f>
        <v>1481.088</v>
      </c>
      <c r="F337" s="12">
        <f>Systems!D33</f>
        <v>0.30856</v>
      </c>
      <c r="G337" s="1" t="s">
        <v>14</v>
      </c>
      <c r="H337" s="1" t="s">
        <v>50</v>
      </c>
    </row>
    <row r="338" spans="1:8">
      <c r="A338" s="1" t="s">
        <v>2072</v>
      </c>
      <c r="B338" s="1" t="s">
        <v>26</v>
      </c>
      <c r="C338" s="1" t="s">
        <v>3033</v>
      </c>
      <c r="D338" s="1" t="s">
        <v>19</v>
      </c>
      <c r="E338" s="12">
        <f>4500*F338</f>
        <v>1388.52</v>
      </c>
      <c r="F338" s="12">
        <f>Systems!D33</f>
        <v>0.30856</v>
      </c>
      <c r="G338" s="1" t="s">
        <v>14</v>
      </c>
      <c r="H338" s="1" t="s">
        <v>50</v>
      </c>
    </row>
    <row r="339" spans="1:8">
      <c r="A339" s="1" t="s">
        <v>2176</v>
      </c>
      <c r="B339" s="1" t="s">
        <v>26</v>
      </c>
      <c r="C339" s="1" t="s">
        <v>3033</v>
      </c>
      <c r="D339" s="1" t="s">
        <v>19</v>
      </c>
      <c r="E339" s="12">
        <f>6*F339</f>
        <v>1.8513600000000001</v>
      </c>
      <c r="F339" s="12">
        <f>Systems!D33</f>
        <v>0.30856</v>
      </c>
      <c r="G339" s="1" t="s">
        <v>14</v>
      </c>
      <c r="H339" s="1" t="s">
        <v>50</v>
      </c>
    </row>
    <row r="340" spans="1:8">
      <c r="A340" s="1" t="s">
        <v>2178</v>
      </c>
      <c r="B340" s="1" t="s">
        <v>26</v>
      </c>
      <c r="C340" s="1" t="s">
        <v>3033</v>
      </c>
      <c r="D340" s="1" t="s">
        <v>19</v>
      </c>
      <c r="E340" s="12">
        <f>6*F340</f>
        <v>1.8513600000000001</v>
      </c>
      <c r="F340" s="12">
        <f>Systems!D33</f>
        <v>0.30856</v>
      </c>
      <c r="G340" s="1" t="s">
        <v>14</v>
      </c>
      <c r="H340" s="1" t="s">
        <v>50</v>
      </c>
    </row>
    <row r="341" spans="1:8">
      <c r="A341" s="1" t="s">
        <v>2181</v>
      </c>
      <c r="B341" s="1" t="s">
        <v>26</v>
      </c>
      <c r="C341" s="1" t="s">
        <v>3033</v>
      </c>
      <c r="D341" s="1" t="s">
        <v>19</v>
      </c>
      <c r="E341" s="12">
        <f>11*F341/16</f>
        <v>0.21213499999999999</v>
      </c>
      <c r="F341" s="12">
        <f>Systems!D33</f>
        <v>0.30856</v>
      </c>
      <c r="G341" s="1" t="s">
        <v>14</v>
      </c>
      <c r="H341" s="1" t="s">
        <v>50</v>
      </c>
    </row>
    <row r="342" spans="1:8">
      <c r="A342" s="1" t="s">
        <v>2206</v>
      </c>
      <c r="B342" s="1" t="s">
        <v>26</v>
      </c>
      <c r="C342" s="1" t="s">
        <v>3033</v>
      </c>
      <c r="D342" s="1" t="s">
        <v>19</v>
      </c>
      <c r="E342" s="12">
        <f>F342/4</f>
        <v>7.714E-2</v>
      </c>
      <c r="F342" s="12">
        <f>Systems!D33</f>
        <v>0.30856</v>
      </c>
      <c r="G342" s="1" t="s">
        <v>14</v>
      </c>
      <c r="H342" s="1" t="s">
        <v>50</v>
      </c>
    </row>
    <row r="343" spans="1:8">
      <c r="A343" s="1" t="s">
        <v>2208</v>
      </c>
      <c r="B343" s="1" t="s">
        <v>26</v>
      </c>
      <c r="C343" s="1" t="s">
        <v>3033</v>
      </c>
      <c r="D343" s="1" t="s">
        <v>19</v>
      </c>
      <c r="E343" s="12">
        <f>F343/4</f>
        <v>7.714E-2</v>
      </c>
      <c r="F343" s="12">
        <f>Systems!D33</f>
        <v>0.30856</v>
      </c>
      <c r="G343" s="1" t="s">
        <v>14</v>
      </c>
      <c r="H343" s="1" t="s">
        <v>50</v>
      </c>
    </row>
    <row r="344" spans="1:8">
      <c r="A344" s="1" t="s">
        <v>2228</v>
      </c>
      <c r="B344" s="1" t="s">
        <v>26</v>
      </c>
      <c r="C344" s="1" t="s">
        <v>3033</v>
      </c>
      <c r="D344" s="1" t="s">
        <v>19</v>
      </c>
      <c r="E344" s="12">
        <f>18000*F344</f>
        <v>5554.08</v>
      </c>
      <c r="F344" s="12">
        <f>Systems!D33</f>
        <v>0.30856</v>
      </c>
      <c r="G344" s="1" t="s">
        <v>14</v>
      </c>
      <c r="H344" s="1" t="s">
        <v>50</v>
      </c>
    </row>
    <row r="345" spans="1:8">
      <c r="A345" s="1" t="s">
        <v>2238</v>
      </c>
      <c r="B345" s="1" t="s">
        <v>26</v>
      </c>
      <c r="C345" s="1" t="s">
        <v>3033</v>
      </c>
      <c r="D345" s="1" t="s">
        <v>19</v>
      </c>
      <c r="E345" s="12">
        <f>3*F345/2</f>
        <v>0.46284000000000003</v>
      </c>
      <c r="F345" s="12">
        <f>Systems!D33</f>
        <v>0.30856</v>
      </c>
      <c r="G345" s="1" t="s">
        <v>14</v>
      </c>
      <c r="H345" s="1" t="s">
        <v>50</v>
      </c>
    </row>
    <row r="346" spans="1:8">
      <c r="A346" s="1" t="s">
        <v>2239</v>
      </c>
      <c r="B346" s="1" t="s">
        <v>26</v>
      </c>
      <c r="C346" s="1" t="s">
        <v>3033</v>
      </c>
      <c r="D346" s="1" t="s">
        <v>19</v>
      </c>
      <c r="E346" s="12">
        <f>3*F346/2</f>
        <v>0.46284000000000003</v>
      </c>
      <c r="F346" s="12">
        <f>Systems!D33</f>
        <v>0.30856</v>
      </c>
      <c r="G346" s="1" t="s">
        <v>14</v>
      </c>
      <c r="H346" s="1" t="s">
        <v>50</v>
      </c>
    </row>
    <row r="347" spans="1:8">
      <c r="A347" s="1" t="s">
        <v>2240</v>
      </c>
      <c r="B347" s="1" t="s">
        <v>26</v>
      </c>
      <c r="C347" s="1" t="s">
        <v>3033</v>
      </c>
      <c r="D347" s="1" t="s">
        <v>19</v>
      </c>
      <c r="E347" s="12">
        <f>3*F347/2</f>
        <v>0.46284000000000003</v>
      </c>
      <c r="F347" s="12">
        <f>Systems!D33</f>
        <v>0.30856</v>
      </c>
      <c r="G347" s="1" t="s">
        <v>14</v>
      </c>
      <c r="H347" s="1" t="s">
        <v>50</v>
      </c>
    </row>
    <row r="348" spans="1:8">
      <c r="A348" s="1" t="s">
        <v>2280</v>
      </c>
      <c r="B348" s="1" t="s">
        <v>26</v>
      </c>
      <c r="C348" s="1" t="s">
        <v>3033</v>
      </c>
      <c r="D348" s="1" t="s">
        <v>19</v>
      </c>
      <c r="E348" s="12">
        <f>100*F348</f>
        <v>30.856000000000002</v>
      </c>
      <c r="F348" s="12">
        <f>Systems!D33</f>
        <v>0.30856</v>
      </c>
      <c r="G348" s="1" t="s">
        <v>14</v>
      </c>
      <c r="H348" s="1" t="s">
        <v>50</v>
      </c>
    </row>
    <row r="349" spans="1:8">
      <c r="A349" s="1" t="s">
        <v>805</v>
      </c>
      <c r="B349" s="1" t="s">
        <v>26</v>
      </c>
      <c r="C349" s="1" t="s">
        <v>3033</v>
      </c>
      <c r="D349" s="1" t="s">
        <v>19</v>
      </c>
      <c r="E349" s="12">
        <f>F349</f>
        <v>0.30856</v>
      </c>
      <c r="F349" s="12">
        <f>Systems!D33</f>
        <v>0.30856</v>
      </c>
      <c r="G349" s="1" t="s">
        <v>14</v>
      </c>
      <c r="H349" s="1" t="s">
        <v>50</v>
      </c>
    </row>
    <row r="350" spans="1:8">
      <c r="A350" s="1" t="s">
        <v>2315</v>
      </c>
      <c r="B350" s="1" t="s">
        <v>26</v>
      </c>
      <c r="C350" s="1" t="s">
        <v>3033</v>
      </c>
      <c r="D350" s="1" t="s">
        <v>19</v>
      </c>
      <c r="E350" s="12">
        <f>9*F350/8</f>
        <v>0.34712999999999999</v>
      </c>
      <c r="F350" s="12">
        <f>Systems!D33</f>
        <v>0.30856</v>
      </c>
      <c r="G350" s="1" t="s">
        <v>14</v>
      </c>
      <c r="H350" s="1" t="s">
        <v>50</v>
      </c>
    </row>
    <row r="351" spans="1:8">
      <c r="A351" s="1" t="s">
        <v>2316</v>
      </c>
      <c r="B351" s="1" t="s">
        <v>26</v>
      </c>
      <c r="C351" s="1" t="s">
        <v>3033</v>
      </c>
      <c r="D351" s="1" t="s">
        <v>19</v>
      </c>
      <c r="E351" s="12">
        <f>5*F351/4</f>
        <v>0.38569999999999999</v>
      </c>
      <c r="F351" s="12">
        <f>Systems!D33</f>
        <v>0.30856</v>
      </c>
      <c r="G351" s="1" t="s">
        <v>14</v>
      </c>
      <c r="H351" s="1" t="s">
        <v>50</v>
      </c>
    </row>
    <row r="352" spans="1:8">
      <c r="A352" s="1" t="s">
        <v>4403</v>
      </c>
      <c r="B352" s="1" t="s">
        <v>26</v>
      </c>
      <c r="C352" s="1" t="s">
        <v>3033</v>
      </c>
      <c r="D352" s="1" t="s">
        <v>19</v>
      </c>
      <c r="E352" s="12">
        <f>27*F352/16</f>
        <v>0.52069500000000002</v>
      </c>
      <c r="F352" s="12">
        <f>Systems!D33</f>
        <v>0.30856</v>
      </c>
      <c r="G352" s="1" t="s">
        <v>14</v>
      </c>
      <c r="H352" s="1" t="s">
        <v>50</v>
      </c>
    </row>
    <row r="353" spans="1:8">
      <c r="A353" s="1" t="s">
        <v>2449</v>
      </c>
      <c r="B353" s="1" t="s">
        <v>26</v>
      </c>
      <c r="C353" s="1" t="s">
        <v>3033</v>
      </c>
      <c r="D353" s="1" t="s">
        <v>19</v>
      </c>
      <c r="E353" s="12">
        <f>24000*F353</f>
        <v>7405.44</v>
      </c>
      <c r="F353" s="12">
        <f>Systems!D33</f>
        <v>0.30856</v>
      </c>
      <c r="G353" s="1" t="s">
        <v>14</v>
      </c>
      <c r="H353" s="1" t="s">
        <v>50</v>
      </c>
    </row>
    <row r="354" spans="1:8">
      <c r="A354" s="1" t="s">
        <v>2547</v>
      </c>
      <c r="B354" s="1" t="s">
        <v>26</v>
      </c>
      <c r="C354" s="1" t="s">
        <v>3033</v>
      </c>
      <c r="D354" s="1" t="s">
        <v>19</v>
      </c>
      <c r="E354" s="12">
        <f>3*F354/4</f>
        <v>0.23142000000000001</v>
      </c>
      <c r="F354" s="12">
        <f>Systems!D33</f>
        <v>0.30856</v>
      </c>
      <c r="G354" s="1" t="s">
        <v>14</v>
      </c>
      <c r="H354" s="1" t="s">
        <v>50</v>
      </c>
    </row>
    <row r="355" spans="1:8">
      <c r="A355" s="1" t="s">
        <v>2548</v>
      </c>
      <c r="B355" s="1" t="s">
        <v>26</v>
      </c>
      <c r="C355" s="1" t="s">
        <v>3033</v>
      </c>
      <c r="D355" s="1" t="s">
        <v>19</v>
      </c>
      <c r="E355" s="12">
        <f>3*F355/4</f>
        <v>0.23142000000000001</v>
      </c>
      <c r="F355" s="12">
        <f>Systems!D33</f>
        <v>0.30856</v>
      </c>
      <c r="G355" s="1" t="s">
        <v>14</v>
      </c>
      <c r="H355" s="1" t="s">
        <v>50</v>
      </c>
    </row>
    <row r="356" spans="1:8">
      <c r="A356" s="1" t="s">
        <v>1673</v>
      </c>
      <c r="B356" s="1" t="s">
        <v>26</v>
      </c>
      <c r="C356" s="1" t="s">
        <v>3033</v>
      </c>
      <c r="D356" s="1" t="s">
        <v>19</v>
      </c>
      <c r="E356" s="12">
        <f>600*F356</f>
        <v>185.136</v>
      </c>
      <c r="F356" s="12">
        <f>Systems!D33</f>
        <v>0.30856</v>
      </c>
      <c r="G356" s="1" t="s">
        <v>14</v>
      </c>
      <c r="H356" s="1" t="s">
        <v>50</v>
      </c>
    </row>
    <row r="357" spans="1:8">
      <c r="A357" s="1" t="s">
        <v>2555</v>
      </c>
      <c r="B357" s="1" t="s">
        <v>26</v>
      </c>
      <c r="C357" s="1" t="s">
        <v>3033</v>
      </c>
      <c r="D357" s="1" t="s">
        <v>19</v>
      </c>
      <c r="E357" s="12">
        <f>96000*F357</f>
        <v>29621.759999999998</v>
      </c>
      <c r="F357" s="12">
        <f>Systems!D33</f>
        <v>0.30856</v>
      </c>
      <c r="G357" s="1" t="s">
        <v>14</v>
      </c>
      <c r="H357" s="1" t="s">
        <v>50</v>
      </c>
    </row>
    <row r="358" spans="1:8">
      <c r="A358" s="1" t="s">
        <v>2010</v>
      </c>
      <c r="B358" s="1" t="s">
        <v>26</v>
      </c>
      <c r="C358" s="1" t="s">
        <v>3033</v>
      </c>
      <c r="D358" s="1" t="s">
        <v>19</v>
      </c>
      <c r="E358" s="12">
        <f>80000*F358</f>
        <v>24684.799999999999</v>
      </c>
      <c r="F358" s="12">
        <f>Systems!D33</f>
        <v>0.30856</v>
      </c>
      <c r="G358" s="1" t="s">
        <v>14</v>
      </c>
      <c r="H358" s="1" t="s">
        <v>50</v>
      </c>
    </row>
    <row r="359" spans="1:8" s="20" customFormat="1">
      <c r="A359" s="1" t="s">
        <v>2801</v>
      </c>
      <c r="B359" s="1" t="s">
        <v>26</v>
      </c>
      <c r="C359" s="1" t="s">
        <v>3033</v>
      </c>
      <c r="D359" s="1" t="s">
        <v>19</v>
      </c>
      <c r="E359" s="12">
        <f>4.5*F359</f>
        <v>1.38852</v>
      </c>
      <c r="F359" s="12">
        <f>Systems!D33</f>
        <v>0.30856</v>
      </c>
      <c r="G359" s="1" t="s">
        <v>14</v>
      </c>
      <c r="H359" s="1" t="s">
        <v>50</v>
      </c>
    </row>
    <row r="360" spans="1:8" s="20" customFormat="1" ht="16.5">
      <c r="A360" s="1" t="s">
        <v>1228</v>
      </c>
      <c r="B360" s="1" t="s">
        <v>26</v>
      </c>
      <c r="C360" s="1" t="s">
        <v>3034</v>
      </c>
      <c r="D360" s="1" t="s">
        <v>38</v>
      </c>
      <c r="E360" s="12">
        <f>2500*F360</f>
        <v>238.02318400000001</v>
      </c>
      <c r="F360" s="12">
        <f>POWER(Systems!D33,2)</f>
        <v>9.5209273600000005E-2</v>
      </c>
      <c r="G360" s="1" t="s">
        <v>39</v>
      </c>
      <c r="H360" s="1" t="s">
        <v>50</v>
      </c>
    </row>
    <row r="361" spans="1:8" s="20" customFormat="1" ht="16.5">
      <c r="A361" s="1" t="s">
        <v>1732</v>
      </c>
      <c r="B361" s="1" t="s">
        <v>26</v>
      </c>
      <c r="C361" s="1" t="s">
        <v>3034</v>
      </c>
      <c r="D361" s="1" t="s">
        <v>38</v>
      </c>
      <c r="E361" s="12">
        <f>5000*F361/3</f>
        <v>158.68212266666669</v>
      </c>
      <c r="F361" s="12">
        <f>POWER(Systems!D33,2)</f>
        <v>9.5209273600000005E-2</v>
      </c>
      <c r="G361" s="1" t="s">
        <v>39</v>
      </c>
      <c r="H361" s="1" t="s">
        <v>50</v>
      </c>
    </row>
    <row r="362" spans="1:8" s="20" customFormat="1" ht="16.5">
      <c r="A362" s="1" t="s">
        <v>1741</v>
      </c>
      <c r="B362" s="1" t="s">
        <v>26</v>
      </c>
      <c r="C362" s="1" t="s">
        <v>3034</v>
      </c>
      <c r="D362" s="1" t="s">
        <v>38</v>
      </c>
      <c r="E362" s="12">
        <f>36*F362</f>
        <v>3.4275338496000001</v>
      </c>
      <c r="F362" s="12">
        <f>POWER(Systems!D33,2)</f>
        <v>9.5209273600000005E-2</v>
      </c>
      <c r="G362" s="1" t="s">
        <v>39</v>
      </c>
      <c r="H362" s="1" t="s">
        <v>50</v>
      </c>
    </row>
    <row r="363" spans="1:8" s="20" customFormat="1" ht="16.5">
      <c r="A363" s="1" t="s">
        <v>4404</v>
      </c>
      <c r="B363" s="1" t="s">
        <v>26</v>
      </c>
      <c r="C363" s="1" t="s">
        <v>3034</v>
      </c>
      <c r="D363" s="1" t="s">
        <v>38</v>
      </c>
      <c r="E363" s="12">
        <f>100*F363</f>
        <v>9.52092736</v>
      </c>
      <c r="F363" s="12">
        <f>POWER(Systems!D33,2)</f>
        <v>9.5209273600000005E-2</v>
      </c>
      <c r="G363" s="1" t="s">
        <v>39</v>
      </c>
      <c r="H363" s="1" t="s">
        <v>50</v>
      </c>
    </row>
    <row r="364" spans="1:8" s="20" customFormat="1" ht="16.5">
      <c r="A364" s="1" t="s">
        <v>4405</v>
      </c>
      <c r="B364" s="1" t="s">
        <v>26</v>
      </c>
      <c r="C364" s="1" t="s">
        <v>3034</v>
      </c>
      <c r="D364" s="1" t="s">
        <v>38</v>
      </c>
      <c r="E364" s="12">
        <f>100*F364</f>
        <v>9.52092736</v>
      </c>
      <c r="F364" s="12">
        <f>POWER(Systems!D33,2)</f>
        <v>9.5209273600000005E-2</v>
      </c>
      <c r="G364" s="1" t="s">
        <v>39</v>
      </c>
      <c r="H364" s="1" t="s">
        <v>50</v>
      </c>
    </row>
    <row r="365" spans="1:8" s="20" customFormat="1" ht="16.5">
      <c r="A365" s="1" t="s">
        <v>4406</v>
      </c>
      <c r="B365" s="1" t="s">
        <v>26</v>
      </c>
      <c r="C365" s="1" t="s">
        <v>3034</v>
      </c>
      <c r="D365" s="1" t="s">
        <v>38</v>
      </c>
      <c r="E365" s="12">
        <f>10000*F365</f>
        <v>952.09273600000006</v>
      </c>
      <c r="F365" s="12">
        <f>POWER(Systems!D33,2)</f>
        <v>9.5209273600000005E-2</v>
      </c>
      <c r="G365" s="1" t="s">
        <v>39</v>
      </c>
      <c r="H365" s="1" t="s">
        <v>50</v>
      </c>
    </row>
    <row r="366" spans="1:8" ht="16.5">
      <c r="A366" s="1" t="s">
        <v>4407</v>
      </c>
      <c r="B366" s="1" t="s">
        <v>26</v>
      </c>
      <c r="C366" s="1" t="s">
        <v>3034</v>
      </c>
      <c r="D366" s="1" t="s">
        <v>38</v>
      </c>
      <c r="E366" s="12">
        <f>F366</f>
        <v>9.5209273600000005E-2</v>
      </c>
      <c r="F366" s="12">
        <f>POWER(Systems!D33,2)</f>
        <v>9.5209273600000005E-2</v>
      </c>
      <c r="G366" s="1" t="s">
        <v>39</v>
      </c>
      <c r="H366" s="1" t="s">
        <v>50</v>
      </c>
    </row>
    <row r="367" spans="1:8" ht="16.5">
      <c r="A367" s="1" t="s">
        <v>906</v>
      </c>
      <c r="B367" s="1" t="s">
        <v>26</v>
      </c>
      <c r="C367" s="1" t="s">
        <v>2936</v>
      </c>
      <c r="D367" s="1" t="s">
        <v>32</v>
      </c>
      <c r="E367" s="12">
        <f>4*F367</f>
        <v>1.08E-3</v>
      </c>
      <c r="F367" s="12">
        <f>Systems!T33</f>
        <v>2.7E-4</v>
      </c>
      <c r="G367" s="1" t="s">
        <v>33</v>
      </c>
      <c r="H367" s="1" t="s">
        <v>50</v>
      </c>
    </row>
    <row r="368" spans="1:8" ht="16.5">
      <c r="A368" s="1" t="s">
        <v>954</v>
      </c>
      <c r="B368" s="1" t="s">
        <v>26</v>
      </c>
      <c r="C368" s="1" t="s">
        <v>2936</v>
      </c>
      <c r="D368" s="1" t="s">
        <v>32</v>
      </c>
      <c r="E368" s="12">
        <f>F368</f>
        <v>1.08E-3</v>
      </c>
      <c r="F368" s="12">
        <f>Systems!T34</f>
        <v>1.08E-3</v>
      </c>
      <c r="G368" s="1" t="s">
        <v>33</v>
      </c>
      <c r="H368" s="1" t="s">
        <v>50</v>
      </c>
    </row>
    <row r="369" spans="1:8" ht="16.5">
      <c r="A369" s="1" t="s">
        <v>1411</v>
      </c>
      <c r="B369" s="1" t="s">
        <v>26</v>
      </c>
      <c r="C369" s="1" t="s">
        <v>2936</v>
      </c>
      <c r="D369" s="1" t="s">
        <v>32</v>
      </c>
      <c r="E369" s="12">
        <f>F369</f>
        <v>1.08E-3</v>
      </c>
      <c r="F369" s="12">
        <f>Systems!T34</f>
        <v>1.08E-3</v>
      </c>
      <c r="G369" s="1" t="s">
        <v>33</v>
      </c>
      <c r="H369" s="1" t="s">
        <v>50</v>
      </c>
    </row>
    <row r="370" spans="1:8" ht="16.5">
      <c r="A370" s="1" t="s">
        <v>806</v>
      </c>
      <c r="B370" s="1" t="s">
        <v>26</v>
      </c>
      <c r="C370" s="1" t="s">
        <v>2936</v>
      </c>
      <c r="D370" s="1" t="s">
        <v>32</v>
      </c>
      <c r="E370" s="12">
        <f>F370</f>
        <v>2.7E-4</v>
      </c>
      <c r="F370" s="12">
        <f>Systems!T33</f>
        <v>2.7E-4</v>
      </c>
      <c r="G370" s="1" t="s">
        <v>33</v>
      </c>
      <c r="H370" s="1" t="s">
        <v>50</v>
      </c>
    </row>
    <row r="371" spans="1:8" ht="16.5">
      <c r="A371" s="1" t="s">
        <v>1470</v>
      </c>
      <c r="B371" s="1" t="s">
        <v>26</v>
      </c>
      <c r="C371" s="1" t="s">
        <v>2936</v>
      </c>
      <c r="D371" s="1" t="s">
        <v>32</v>
      </c>
      <c r="E371" s="12">
        <f>F371/24</f>
        <v>4.5000000000000003E-5</v>
      </c>
      <c r="F371" s="12">
        <f>Systems!T34</f>
        <v>1.08E-3</v>
      </c>
      <c r="G371" s="1" t="s">
        <v>33</v>
      </c>
      <c r="H371" s="1" t="s">
        <v>50</v>
      </c>
    </row>
    <row r="372" spans="1:8" ht="16.5">
      <c r="A372" s="1" t="s">
        <v>1731</v>
      </c>
      <c r="B372" s="1" t="s">
        <v>26</v>
      </c>
      <c r="C372" s="1" t="s">
        <v>2936</v>
      </c>
      <c r="D372" s="1" t="s">
        <v>32</v>
      </c>
      <c r="E372" s="12">
        <f>32*F372</f>
        <v>8.6400000000000001E-3</v>
      </c>
      <c r="F372" s="12">
        <f>Systems!T33</f>
        <v>2.7E-4</v>
      </c>
      <c r="G372" s="1" t="s">
        <v>33</v>
      </c>
      <c r="H372" s="1" t="s">
        <v>50</v>
      </c>
    </row>
    <row r="373" spans="1:8" ht="16.5">
      <c r="A373" s="1" t="s">
        <v>1732</v>
      </c>
      <c r="B373" s="1" t="s">
        <v>26</v>
      </c>
      <c r="C373" s="1" t="s">
        <v>2936</v>
      </c>
      <c r="D373" s="1" t="s">
        <v>32</v>
      </c>
      <c r="E373" s="12">
        <f>32*F373</f>
        <v>8.6400000000000001E-3</v>
      </c>
      <c r="F373" s="12">
        <f>Systems!T33</f>
        <v>2.7E-4</v>
      </c>
      <c r="G373" s="1" t="s">
        <v>33</v>
      </c>
      <c r="H373" s="1" t="s">
        <v>50</v>
      </c>
    </row>
    <row r="374" spans="1:8" ht="16.5">
      <c r="A374" s="1" t="s">
        <v>1735</v>
      </c>
      <c r="B374" s="1" t="s">
        <v>26</v>
      </c>
      <c r="C374" s="1" t="s">
        <v>2936</v>
      </c>
      <c r="D374" s="1" t="s">
        <v>32</v>
      </c>
      <c r="E374" s="12">
        <f>4*F374</f>
        <v>4.3200000000000001E-3</v>
      </c>
      <c r="F374" s="12">
        <f>Systems!T34</f>
        <v>1.08E-3</v>
      </c>
      <c r="G374" s="1" t="s">
        <v>33</v>
      </c>
      <c r="H374" s="1" t="s">
        <v>50</v>
      </c>
    </row>
    <row r="375" spans="1:8" ht="16.5">
      <c r="A375" s="1" t="s">
        <v>1736</v>
      </c>
      <c r="B375" s="1" t="s">
        <v>26</v>
      </c>
      <c r="C375" s="1" t="s">
        <v>2936</v>
      </c>
      <c r="D375" s="1" t="s">
        <v>32</v>
      </c>
      <c r="E375" s="12">
        <f>F375/4</f>
        <v>2.7E-4</v>
      </c>
      <c r="F375" s="12">
        <f>Systems!T34</f>
        <v>1.08E-3</v>
      </c>
      <c r="G375" s="1" t="s">
        <v>33</v>
      </c>
      <c r="H375" s="1" t="s">
        <v>50</v>
      </c>
    </row>
    <row r="376" spans="1:8" ht="16.5">
      <c r="A376" s="1" t="s">
        <v>1860</v>
      </c>
      <c r="B376" s="1" t="s">
        <v>26</v>
      </c>
      <c r="C376" s="1" t="s">
        <v>2936</v>
      </c>
      <c r="D376" s="1" t="s">
        <v>32</v>
      </c>
      <c r="E376" s="12">
        <f>F376/240</f>
        <v>4.5000000000000001E-6</v>
      </c>
      <c r="F376" s="12">
        <f>Systems!T34</f>
        <v>1.08E-3</v>
      </c>
      <c r="G376" s="1" t="s">
        <v>33</v>
      </c>
      <c r="H376" s="1" t="s">
        <v>50</v>
      </c>
    </row>
    <row r="377" spans="1:8" ht="16.5">
      <c r="A377" s="1" t="s">
        <v>1881</v>
      </c>
      <c r="B377" s="1" t="s">
        <v>26</v>
      </c>
      <c r="C377" s="1" t="s">
        <v>2936</v>
      </c>
      <c r="D377" s="1" t="s">
        <v>32</v>
      </c>
      <c r="E377" s="12">
        <f>F377/4</f>
        <v>2.7E-4</v>
      </c>
      <c r="F377" s="12">
        <f>Systems!T34</f>
        <v>1.08E-3</v>
      </c>
      <c r="G377" s="1" t="s">
        <v>33</v>
      </c>
      <c r="H377" s="1" t="s">
        <v>50</v>
      </c>
    </row>
    <row r="378" spans="1:8" ht="16.5">
      <c r="A378" s="1" t="s">
        <v>1912</v>
      </c>
      <c r="B378" s="1" t="s">
        <v>26</v>
      </c>
      <c r="C378" s="1" t="s">
        <v>2936</v>
      </c>
      <c r="D378" s="1" t="s">
        <v>32</v>
      </c>
      <c r="E378" s="12">
        <f>F378/24</f>
        <v>4.5000000000000003E-5</v>
      </c>
      <c r="F378" s="12">
        <f>Systems!T34</f>
        <v>1.08E-3</v>
      </c>
      <c r="G378" s="1" t="s">
        <v>33</v>
      </c>
      <c r="H378" s="1" t="s">
        <v>50</v>
      </c>
    </row>
    <row r="379" spans="1:8" ht="16.5">
      <c r="A379" s="1" t="s">
        <v>2020</v>
      </c>
      <c r="B379" s="1" t="s">
        <v>26</v>
      </c>
      <c r="C379" s="1" t="s">
        <v>2936</v>
      </c>
      <c r="D379" s="1" t="s">
        <v>32</v>
      </c>
      <c r="E379" s="12">
        <f>24*F379</f>
        <v>6.4799999999999996E-3</v>
      </c>
      <c r="F379" s="12">
        <f>Systems!T33</f>
        <v>2.7E-4</v>
      </c>
      <c r="G379" s="1" t="s">
        <v>33</v>
      </c>
      <c r="H379" s="1" t="s">
        <v>50</v>
      </c>
    </row>
    <row r="380" spans="1:8" ht="16.5">
      <c r="A380" s="1" t="s">
        <v>2041</v>
      </c>
      <c r="B380" s="1" t="s">
        <v>26</v>
      </c>
      <c r="C380" s="1" t="s">
        <v>2936</v>
      </c>
      <c r="D380" s="1" t="s">
        <v>32</v>
      </c>
      <c r="E380" s="12">
        <f>192*F380</f>
        <v>5.1839999999999997E-2</v>
      </c>
      <c r="F380" s="12">
        <f>Systems!T33</f>
        <v>2.7E-4</v>
      </c>
      <c r="G380" s="1" t="s">
        <v>33</v>
      </c>
      <c r="H380" s="1" t="s">
        <v>50</v>
      </c>
    </row>
    <row r="381" spans="1:8" ht="16.5">
      <c r="A381" s="1" t="s">
        <v>807</v>
      </c>
      <c r="B381" s="1" t="s">
        <v>26</v>
      </c>
      <c r="C381" s="1" t="s">
        <v>2936</v>
      </c>
      <c r="D381" s="1" t="s">
        <v>32</v>
      </c>
      <c r="E381" s="12">
        <f>32*F381</f>
        <v>8.6400000000000001E-3</v>
      </c>
      <c r="F381" s="12">
        <f>Systems!T33</f>
        <v>2.7E-4</v>
      </c>
      <c r="G381" s="1" t="s">
        <v>33</v>
      </c>
      <c r="H381" s="1" t="s">
        <v>50</v>
      </c>
    </row>
    <row r="382" spans="1:8" ht="16.5">
      <c r="A382" s="1" t="s">
        <v>2199</v>
      </c>
      <c r="B382" s="1" t="s">
        <v>26</v>
      </c>
      <c r="C382" s="1" t="s">
        <v>2936</v>
      </c>
      <c r="D382" s="1" t="s">
        <v>32</v>
      </c>
      <c r="E382" s="12">
        <f>F382/16</f>
        <v>6.7500000000000001E-5</v>
      </c>
      <c r="F382" s="12">
        <f>Systems!T34</f>
        <v>1.08E-3</v>
      </c>
      <c r="G382" s="1" t="s">
        <v>33</v>
      </c>
      <c r="H382" s="1" t="s">
        <v>50</v>
      </c>
    </row>
    <row r="383" spans="1:8" ht="16.5">
      <c r="A383" s="1" t="s">
        <v>2200</v>
      </c>
      <c r="B383" s="1" t="s">
        <v>26</v>
      </c>
      <c r="C383" s="1" t="s">
        <v>2936</v>
      </c>
      <c r="D383" s="1" t="s">
        <v>32</v>
      </c>
      <c r="E383" s="12">
        <f>F383/16</f>
        <v>6.7500000000000001E-5</v>
      </c>
      <c r="F383" s="12">
        <f>Systems!T34</f>
        <v>1.08E-3</v>
      </c>
      <c r="G383" s="1" t="s">
        <v>33</v>
      </c>
      <c r="H383" s="1" t="s">
        <v>50</v>
      </c>
    </row>
    <row r="384" spans="1:8" ht="16.5">
      <c r="A384" s="1" t="s">
        <v>2797</v>
      </c>
      <c r="B384" s="1" t="s">
        <v>26</v>
      </c>
      <c r="C384" s="1" t="s">
        <v>2936</v>
      </c>
      <c r="D384" s="1" t="s">
        <v>32</v>
      </c>
      <c r="E384" s="12">
        <f>F384/2</f>
        <v>5.4000000000000001E-4</v>
      </c>
      <c r="F384" s="12">
        <f>Systems!T34</f>
        <v>1.08E-3</v>
      </c>
      <c r="G384" s="1" t="s">
        <v>33</v>
      </c>
      <c r="H384" s="1" t="s">
        <v>50</v>
      </c>
    </row>
    <row r="385" spans="1:8" ht="16.5">
      <c r="A385" s="1" t="s">
        <v>803</v>
      </c>
      <c r="B385" s="1" t="s">
        <v>26</v>
      </c>
      <c r="C385" s="1" t="s">
        <v>2935</v>
      </c>
      <c r="D385" s="1" t="s">
        <v>32</v>
      </c>
      <c r="E385" s="12">
        <f>64*F385</f>
        <v>1.728E-2</v>
      </c>
      <c r="F385" s="12">
        <f>Systems!P33</f>
        <v>2.7E-4</v>
      </c>
      <c r="G385" s="1" t="s">
        <v>33</v>
      </c>
      <c r="H385" s="1" t="s">
        <v>50</v>
      </c>
    </row>
    <row r="386" spans="1:8" ht="16.5">
      <c r="A386" s="1" t="s">
        <v>1396</v>
      </c>
      <c r="B386" s="1" t="s">
        <v>26</v>
      </c>
      <c r="C386" s="1" t="s">
        <v>2935</v>
      </c>
      <c r="D386" s="1" t="s">
        <v>32</v>
      </c>
      <c r="E386" s="12">
        <f>F386/30</f>
        <v>9.0000000000000002E-6</v>
      </c>
      <c r="F386" s="12">
        <f>Systems!P33</f>
        <v>2.7E-4</v>
      </c>
      <c r="G386" s="1" t="s">
        <v>33</v>
      </c>
      <c r="H386" s="1" t="s">
        <v>50</v>
      </c>
    </row>
    <row r="387" spans="1:8" ht="16.5">
      <c r="A387" s="1" t="s">
        <v>1414</v>
      </c>
      <c r="B387" s="1" t="s">
        <v>26</v>
      </c>
      <c r="C387" s="1" t="s">
        <v>2935</v>
      </c>
      <c r="D387" s="1" t="s">
        <v>32</v>
      </c>
      <c r="E387" s="12">
        <f>4*F387</f>
        <v>1.08E-3</v>
      </c>
      <c r="F387" s="12">
        <f>Systems!P33</f>
        <v>2.7E-4</v>
      </c>
      <c r="G387" s="1" t="s">
        <v>33</v>
      </c>
      <c r="H387" s="1" t="s">
        <v>50</v>
      </c>
    </row>
    <row r="388" spans="1:8" ht="16.5">
      <c r="A388" s="1" t="s">
        <v>1430</v>
      </c>
      <c r="B388" s="1" t="s">
        <v>26</v>
      </c>
      <c r="C388" s="1" t="s">
        <v>2935</v>
      </c>
      <c r="D388" s="1" t="s">
        <v>32</v>
      </c>
      <c r="E388" s="12">
        <f>12*F388</f>
        <v>3.2399999999999998E-3</v>
      </c>
      <c r="F388" s="12">
        <f>Systems!P33</f>
        <v>2.7E-4</v>
      </c>
      <c r="G388" s="1" t="s">
        <v>33</v>
      </c>
      <c r="H388" s="1" t="s">
        <v>50</v>
      </c>
    </row>
    <row r="389" spans="1:8" ht="16.5">
      <c r="A389" s="1" t="s">
        <v>806</v>
      </c>
      <c r="B389" s="1" t="s">
        <v>26</v>
      </c>
      <c r="C389" s="1" t="s">
        <v>2935</v>
      </c>
      <c r="D389" s="1" t="s">
        <v>32</v>
      </c>
      <c r="E389" s="12">
        <f>F389</f>
        <v>2.7E-4</v>
      </c>
      <c r="F389" s="12">
        <f>Systems!P33</f>
        <v>2.7E-4</v>
      </c>
      <c r="G389" s="1" t="s">
        <v>33</v>
      </c>
      <c r="H389" s="1" t="s">
        <v>50</v>
      </c>
    </row>
    <row r="390" spans="1:8" ht="16.5">
      <c r="A390" s="1" t="s">
        <v>1734</v>
      </c>
      <c r="B390" s="1" t="s">
        <v>26</v>
      </c>
      <c r="C390" s="1" t="s">
        <v>2935</v>
      </c>
      <c r="D390" s="1" t="s">
        <v>32</v>
      </c>
      <c r="E390" s="12">
        <f>F390/2</f>
        <v>1.35E-4</v>
      </c>
      <c r="F390" s="12">
        <f>Systems!P33</f>
        <v>2.7E-4</v>
      </c>
      <c r="G390" s="1" t="s">
        <v>33</v>
      </c>
      <c r="H390" s="1" t="s">
        <v>50</v>
      </c>
    </row>
    <row r="391" spans="1:8" ht="16.5">
      <c r="A391" s="1" t="s">
        <v>1736</v>
      </c>
      <c r="B391" s="1" t="s">
        <v>26</v>
      </c>
      <c r="C391" s="1" t="s">
        <v>2935</v>
      </c>
      <c r="D391" s="1" t="s">
        <v>32</v>
      </c>
      <c r="E391" s="12">
        <f>F391</f>
        <v>2.7E-4</v>
      </c>
      <c r="F391" s="12">
        <f>Systems!P33</f>
        <v>2.7E-4</v>
      </c>
      <c r="G391" s="1" t="s">
        <v>33</v>
      </c>
      <c r="H391" s="1" t="s">
        <v>50</v>
      </c>
    </row>
    <row r="392" spans="1:8" ht="16.5">
      <c r="A392" s="1" t="s">
        <v>1826</v>
      </c>
      <c r="B392" s="1" t="s">
        <v>26</v>
      </c>
      <c r="C392" s="1" t="s">
        <v>2935</v>
      </c>
      <c r="D392" s="1" t="s">
        <v>32</v>
      </c>
      <c r="E392" s="12">
        <f>96*F392</f>
        <v>2.5919999999999999E-2</v>
      </c>
      <c r="F392" s="12">
        <f>Systems!P33</f>
        <v>2.7E-4</v>
      </c>
      <c r="G392" s="1" t="s">
        <v>33</v>
      </c>
      <c r="H392" s="1" t="s">
        <v>50</v>
      </c>
    </row>
    <row r="393" spans="1:8" ht="16.5">
      <c r="A393" s="1" t="s">
        <v>1429</v>
      </c>
      <c r="B393" s="1" t="s">
        <v>26</v>
      </c>
      <c r="C393" s="1" t="s">
        <v>2935</v>
      </c>
      <c r="D393" s="1" t="s">
        <v>32</v>
      </c>
      <c r="E393" s="12">
        <f>12*F393</f>
        <v>3.2399999999999998E-3</v>
      </c>
      <c r="F393" s="12">
        <f>Systems!P33</f>
        <v>2.7E-4</v>
      </c>
      <c r="G393" s="1" t="s">
        <v>33</v>
      </c>
      <c r="H393" s="1" t="s">
        <v>50</v>
      </c>
    </row>
    <row r="394" spans="1:8" ht="16.5">
      <c r="A394" s="1" t="s">
        <v>1860</v>
      </c>
      <c r="B394" s="1" t="s">
        <v>26</v>
      </c>
      <c r="C394" s="1" t="s">
        <v>2935</v>
      </c>
      <c r="D394" s="1" t="s">
        <v>32</v>
      </c>
      <c r="E394" s="12">
        <f>F394/60</f>
        <v>4.5000000000000001E-6</v>
      </c>
      <c r="F394" s="12">
        <f>Systems!P33</f>
        <v>2.7E-4</v>
      </c>
      <c r="G394" s="1" t="s">
        <v>33</v>
      </c>
      <c r="H394" s="1" t="s">
        <v>50</v>
      </c>
    </row>
    <row r="395" spans="1:8" ht="16.5">
      <c r="A395" s="1" t="s">
        <v>1870</v>
      </c>
      <c r="B395" s="1" t="s">
        <v>26</v>
      </c>
      <c r="C395" s="1" t="s">
        <v>2935</v>
      </c>
      <c r="D395" s="1" t="s">
        <v>32</v>
      </c>
      <c r="E395" s="12">
        <f>F395/12</f>
        <v>2.2500000000000001E-5</v>
      </c>
      <c r="F395" s="12">
        <f>Systems!P33</f>
        <v>2.7E-4</v>
      </c>
      <c r="G395" s="1" t="s">
        <v>33</v>
      </c>
      <c r="H395" s="1" t="s">
        <v>50</v>
      </c>
    </row>
    <row r="396" spans="1:8" ht="16.5">
      <c r="A396" s="1" t="s">
        <v>1881</v>
      </c>
      <c r="B396" s="1" t="s">
        <v>26</v>
      </c>
      <c r="C396" s="1" t="s">
        <v>2935</v>
      </c>
      <c r="D396" s="1" t="s">
        <v>32</v>
      </c>
      <c r="E396" s="12">
        <f>F396</f>
        <v>2.7E-4</v>
      </c>
      <c r="F396" s="12">
        <f>Systems!P33</f>
        <v>2.7E-4</v>
      </c>
      <c r="G396" s="1" t="s">
        <v>33</v>
      </c>
      <c r="H396" s="1" t="s">
        <v>50</v>
      </c>
    </row>
    <row r="397" spans="1:8" ht="16.5">
      <c r="A397" s="1" t="s">
        <v>1912</v>
      </c>
      <c r="B397" s="1" t="s">
        <v>26</v>
      </c>
      <c r="C397" s="1" t="s">
        <v>2935</v>
      </c>
      <c r="D397" s="1" t="s">
        <v>32</v>
      </c>
      <c r="E397" s="12">
        <f>F397/6</f>
        <v>4.5000000000000003E-5</v>
      </c>
      <c r="F397" s="12">
        <f>Systems!P33</f>
        <v>2.7E-4</v>
      </c>
      <c r="G397" s="1" t="s">
        <v>33</v>
      </c>
      <c r="H397" s="1" t="s">
        <v>50</v>
      </c>
    </row>
    <row r="398" spans="1:8" ht="16.5">
      <c r="A398" s="1" t="s">
        <v>2835</v>
      </c>
      <c r="B398" s="1" t="s">
        <v>26</v>
      </c>
      <c r="C398" s="1" t="s">
        <v>2935</v>
      </c>
      <c r="D398" s="1" t="s">
        <v>32</v>
      </c>
      <c r="E398" s="12">
        <f>144*F398</f>
        <v>3.8879999999999998E-2</v>
      </c>
      <c r="F398" s="12">
        <f>Systems!P33</f>
        <v>2.7E-4</v>
      </c>
      <c r="G398" s="1" t="s">
        <v>33</v>
      </c>
      <c r="H398" s="1" t="s">
        <v>50</v>
      </c>
    </row>
    <row r="399" spans="1:8" ht="16.5">
      <c r="A399" s="1" t="s">
        <v>2115</v>
      </c>
      <c r="B399" s="1" t="s">
        <v>26</v>
      </c>
      <c r="C399" s="1" t="s">
        <v>2935</v>
      </c>
      <c r="D399" s="1" t="s">
        <v>32</v>
      </c>
      <c r="E399" s="12">
        <f>F399/24</f>
        <v>1.1250000000000001E-5</v>
      </c>
      <c r="F399" s="12">
        <f>Systems!P33</f>
        <v>2.7E-4</v>
      </c>
      <c r="G399" s="1" t="s">
        <v>33</v>
      </c>
      <c r="H399" s="1" t="s">
        <v>50</v>
      </c>
    </row>
    <row r="400" spans="1:8" ht="16.5">
      <c r="A400" s="1" t="s">
        <v>2200</v>
      </c>
      <c r="B400" s="1" t="s">
        <v>26</v>
      </c>
      <c r="C400" s="1" t="s">
        <v>2935</v>
      </c>
      <c r="D400" s="1" t="s">
        <v>32</v>
      </c>
      <c r="E400" s="12">
        <f>F400/4</f>
        <v>6.7500000000000001E-5</v>
      </c>
      <c r="F400" s="12">
        <f>Systems!P33</f>
        <v>2.7E-4</v>
      </c>
      <c r="G400" s="1" t="s">
        <v>33</v>
      </c>
      <c r="H400" s="1" t="s">
        <v>50</v>
      </c>
    </row>
    <row r="401" spans="1:8" ht="16.5">
      <c r="A401" s="1" t="s">
        <v>2641</v>
      </c>
      <c r="B401" s="1" t="s">
        <v>26</v>
      </c>
      <c r="C401" s="1" t="s">
        <v>2935</v>
      </c>
      <c r="D401" s="1" t="s">
        <v>32</v>
      </c>
      <c r="E401" s="12">
        <f>F401/2</f>
        <v>1.35E-4</v>
      </c>
      <c r="F401" s="12">
        <f>Systems!P33</f>
        <v>2.7E-4</v>
      </c>
      <c r="G401" s="1" t="s">
        <v>33</v>
      </c>
      <c r="H401" s="1" t="s">
        <v>50</v>
      </c>
    </row>
    <row r="402" spans="1:8" ht="16.5">
      <c r="A402" s="1" t="s">
        <v>2710</v>
      </c>
      <c r="B402" s="1" t="s">
        <v>26</v>
      </c>
      <c r="C402" s="1" t="s">
        <v>2935</v>
      </c>
      <c r="D402" s="1" t="s">
        <v>32</v>
      </c>
      <c r="E402" s="12">
        <f>F402</f>
        <v>2.7E-4</v>
      </c>
      <c r="F402" s="12">
        <f>Systems!P33</f>
        <v>2.7E-4</v>
      </c>
      <c r="G402" s="1" t="s">
        <v>33</v>
      </c>
      <c r="H402" s="1" t="s">
        <v>50</v>
      </c>
    </row>
    <row r="403" spans="1:8" ht="16.5">
      <c r="A403" s="1" t="s">
        <v>2797</v>
      </c>
      <c r="B403" s="1" t="s">
        <v>26</v>
      </c>
      <c r="C403" s="1" t="s">
        <v>2935</v>
      </c>
      <c r="D403" s="1" t="s">
        <v>32</v>
      </c>
      <c r="E403" s="12">
        <f>2*F403</f>
        <v>5.4000000000000001E-4</v>
      </c>
      <c r="F403" s="12">
        <f>Systems!P33</f>
        <v>2.7E-4</v>
      </c>
      <c r="G403" s="1" t="s">
        <v>33</v>
      </c>
      <c r="H403" s="1" t="s">
        <v>50</v>
      </c>
    </row>
    <row r="404" spans="1:8">
      <c r="A404" s="1" t="s">
        <v>1384</v>
      </c>
      <c r="B404" s="1" t="s">
        <v>26</v>
      </c>
      <c r="C404" s="1" t="s">
        <v>17</v>
      </c>
      <c r="D404" s="1" t="s">
        <v>20</v>
      </c>
      <c r="E404" s="12">
        <f>F404/288000</f>
        <v>9.0000000000000006E-5</v>
      </c>
      <c r="F404" s="12">
        <f>Systems!L33</f>
        <v>25.92</v>
      </c>
      <c r="G404" s="1" t="s">
        <v>23</v>
      </c>
      <c r="H404" s="1" t="s">
        <v>50</v>
      </c>
    </row>
    <row r="405" spans="1:8">
      <c r="A405" s="1" t="s">
        <v>1530</v>
      </c>
      <c r="B405" s="1" t="s">
        <v>26</v>
      </c>
      <c r="C405" s="1" t="s">
        <v>17</v>
      </c>
      <c r="D405" s="1" t="s">
        <v>20</v>
      </c>
      <c r="E405" s="12">
        <f>F405/18000</f>
        <v>1.4400000000000001E-3</v>
      </c>
      <c r="F405" s="12">
        <f>Systems!L33</f>
        <v>25.92</v>
      </c>
      <c r="G405" s="1" t="s">
        <v>23</v>
      </c>
      <c r="H405" s="1" t="s">
        <v>50</v>
      </c>
    </row>
    <row r="406" spans="1:8">
      <c r="A406" s="1" t="s">
        <v>1549</v>
      </c>
      <c r="B406" s="1" t="s">
        <v>26</v>
      </c>
      <c r="C406" s="1" t="s">
        <v>17</v>
      </c>
      <c r="D406" s="1" t="s">
        <v>20</v>
      </c>
      <c r="E406" s="12">
        <f>F406/6000</f>
        <v>4.3200000000000001E-3</v>
      </c>
      <c r="F406" s="12">
        <f>Systems!L33</f>
        <v>25.92</v>
      </c>
      <c r="G406" s="1" t="s">
        <v>23</v>
      </c>
      <c r="H406" s="1" t="s">
        <v>50</v>
      </c>
    </row>
    <row r="407" spans="1:8">
      <c r="A407" s="1" t="s">
        <v>2082</v>
      </c>
      <c r="B407" s="1" t="s">
        <v>26</v>
      </c>
      <c r="C407" s="1" t="s">
        <v>17</v>
      </c>
      <c r="D407" s="1" t="s">
        <v>20</v>
      </c>
      <c r="E407" s="12">
        <f>F407/60</f>
        <v>0.43200000000000005</v>
      </c>
      <c r="F407" s="12">
        <f>Systems!L33</f>
        <v>25.92</v>
      </c>
      <c r="G407" s="1" t="s">
        <v>23</v>
      </c>
      <c r="H407" s="1" t="s">
        <v>50</v>
      </c>
    </row>
    <row r="408" spans="1:8">
      <c r="A408" s="1" t="s">
        <v>1998</v>
      </c>
      <c r="B408" s="1" t="s">
        <v>26</v>
      </c>
      <c r="C408" s="1" t="s">
        <v>17</v>
      </c>
      <c r="D408" s="1" t="s">
        <v>20</v>
      </c>
      <c r="E408" s="12">
        <f>F408/60</f>
        <v>0.43200000000000005</v>
      </c>
      <c r="F408" s="12">
        <f>Systems!L33</f>
        <v>25.92</v>
      </c>
      <c r="G408" s="1" t="s">
        <v>23</v>
      </c>
      <c r="H408" s="1" t="s">
        <v>50</v>
      </c>
    </row>
    <row r="409" spans="1:8">
      <c r="A409" s="1" t="s">
        <v>1666</v>
      </c>
      <c r="B409" s="1" t="s">
        <v>26</v>
      </c>
      <c r="C409" s="1" t="s">
        <v>17</v>
      </c>
      <c r="D409" s="1" t="s">
        <v>20</v>
      </c>
      <c r="E409" s="12">
        <f>F409/36000</f>
        <v>7.2000000000000005E-4</v>
      </c>
      <c r="F409" s="12">
        <f>Systems!L33</f>
        <v>25.92</v>
      </c>
      <c r="G409" s="1" t="s">
        <v>23</v>
      </c>
      <c r="H409" s="1" t="s">
        <v>50</v>
      </c>
    </row>
    <row r="410" spans="1:8">
      <c r="A410" s="1" t="s">
        <v>802</v>
      </c>
      <c r="B410" s="1" t="s">
        <v>26</v>
      </c>
      <c r="C410" s="1" t="s">
        <v>17</v>
      </c>
      <c r="D410" s="1" t="s">
        <v>20</v>
      </c>
      <c r="E410" s="12">
        <f>F410</f>
        <v>25.92</v>
      </c>
      <c r="F410" s="12">
        <f>Systems!L33</f>
        <v>25.92</v>
      </c>
      <c r="G410" s="1" t="s">
        <v>23</v>
      </c>
      <c r="H410" s="1" t="s">
        <v>50</v>
      </c>
    </row>
    <row r="411" spans="1:8">
      <c r="A411" s="248"/>
      <c r="B411" s="248"/>
      <c r="C411" s="248"/>
      <c r="D411" s="248"/>
      <c r="E411" s="250"/>
      <c r="F411" s="250"/>
      <c r="G411" s="248"/>
      <c r="H411" s="248"/>
    </row>
    <row r="412" spans="1:8">
      <c r="A412" s="1" t="s">
        <v>838</v>
      </c>
      <c r="B412" s="1" t="s">
        <v>26</v>
      </c>
      <c r="C412" s="1" t="s">
        <v>3033</v>
      </c>
      <c r="D412" s="1" t="s">
        <v>19</v>
      </c>
      <c r="E412" s="12">
        <f>F412</f>
        <v>0.7792</v>
      </c>
      <c r="F412" s="12">
        <f>Systems!D36</f>
        <v>0.7792</v>
      </c>
      <c r="G412" s="1" t="s">
        <v>14</v>
      </c>
      <c r="H412" s="1" t="s">
        <v>44</v>
      </c>
    </row>
    <row r="413" spans="1:8">
      <c r="A413" s="1" t="s">
        <v>846</v>
      </c>
      <c r="B413" s="1" t="s">
        <v>26</v>
      </c>
      <c r="C413" s="1" t="s">
        <v>3033</v>
      </c>
      <c r="D413" s="1" t="s">
        <v>19</v>
      </c>
      <c r="E413" s="12">
        <f>F413/3</f>
        <v>0.10536000000000001</v>
      </c>
      <c r="F413" s="12">
        <f>Systems!D35</f>
        <v>0.31608000000000003</v>
      </c>
      <c r="G413" s="1" t="s">
        <v>14</v>
      </c>
      <c r="H413" s="1" t="s">
        <v>44</v>
      </c>
    </row>
    <row r="414" spans="1:8">
      <c r="A414" s="1" t="s">
        <v>817</v>
      </c>
      <c r="B414" s="1" t="s">
        <v>26</v>
      </c>
      <c r="C414" s="1" t="s">
        <v>3033</v>
      </c>
      <c r="D414" s="1" t="s">
        <v>19</v>
      </c>
      <c r="E414" s="12">
        <f>F414</f>
        <v>0.31608000000000003</v>
      </c>
      <c r="F414" s="12">
        <f>Systems!D35</f>
        <v>0.31608000000000003</v>
      </c>
      <c r="G414" s="1" t="s">
        <v>14</v>
      </c>
      <c r="H414" s="1" t="s">
        <v>44</v>
      </c>
    </row>
    <row r="415" spans="1:8">
      <c r="A415" s="1" t="s">
        <v>961</v>
      </c>
      <c r="B415" s="1" t="s">
        <v>26</v>
      </c>
      <c r="C415" s="1" t="s">
        <v>3033</v>
      </c>
      <c r="D415" s="1" t="s">
        <v>19</v>
      </c>
      <c r="E415" s="12">
        <f>6*F415</f>
        <v>1.8964800000000002</v>
      </c>
      <c r="F415" s="12">
        <f>Systems!D35</f>
        <v>0.31608000000000003</v>
      </c>
      <c r="G415" s="1" t="s">
        <v>14</v>
      </c>
      <c r="H415" s="1" t="s">
        <v>44</v>
      </c>
    </row>
    <row r="416" spans="1:8">
      <c r="A416" s="1" t="s">
        <v>1968</v>
      </c>
      <c r="B416" s="1" t="s">
        <v>26</v>
      </c>
      <c r="C416" s="1" t="s">
        <v>3033</v>
      </c>
      <c r="D416" s="1" t="s">
        <v>19</v>
      </c>
      <c r="E416" s="12">
        <f>F416/144</f>
        <v>2.1950000000000003E-3</v>
      </c>
      <c r="F416" s="12">
        <f>Systems!D35</f>
        <v>0.31608000000000003</v>
      </c>
      <c r="G416" s="1" t="s">
        <v>14</v>
      </c>
      <c r="H416" s="1" t="s">
        <v>44</v>
      </c>
    </row>
    <row r="417" spans="1:8">
      <c r="A417" s="1" t="s">
        <v>2044</v>
      </c>
      <c r="B417" s="1" t="s">
        <v>26</v>
      </c>
      <c r="C417" s="1" t="s">
        <v>3033</v>
      </c>
      <c r="D417" s="1" t="s">
        <v>19</v>
      </c>
      <c r="E417" s="12">
        <f>24000*F417</f>
        <v>7585.920000000001</v>
      </c>
      <c r="F417" s="12">
        <f>Systems!D35</f>
        <v>0.31608000000000003</v>
      </c>
      <c r="G417" s="1" t="s">
        <v>14</v>
      </c>
      <c r="H417" s="1" t="s">
        <v>44</v>
      </c>
    </row>
    <row r="418" spans="1:8">
      <c r="A418" s="1" t="s">
        <v>4408</v>
      </c>
      <c r="B418" s="1" t="s">
        <v>26</v>
      </c>
      <c r="C418" s="1" t="s">
        <v>3033</v>
      </c>
      <c r="D418" s="1" t="s">
        <v>19</v>
      </c>
      <c r="E418" s="12">
        <f>6910*F418</f>
        <v>6910</v>
      </c>
      <c r="F418" s="12">
        <f>SI!E3</f>
        <v>1</v>
      </c>
      <c r="G418" s="1" t="s">
        <v>14</v>
      </c>
      <c r="H418" s="1" t="s">
        <v>44</v>
      </c>
    </row>
    <row r="419" spans="1:8">
      <c r="A419" s="1" t="s">
        <v>4409</v>
      </c>
      <c r="B419" s="1" t="s">
        <v>26</v>
      </c>
      <c r="C419" s="1" t="s">
        <v>3033</v>
      </c>
      <c r="D419" s="1" t="s">
        <v>19</v>
      </c>
      <c r="E419" s="12">
        <f>7848.5*F419</f>
        <v>7848.5</v>
      </c>
      <c r="F419" s="12">
        <f>SI!E3</f>
        <v>1</v>
      </c>
      <c r="G419" s="1" t="s">
        <v>14</v>
      </c>
      <c r="H419" s="1" t="s">
        <v>44</v>
      </c>
    </row>
    <row r="420" spans="1:8">
      <c r="A420" s="1" t="s">
        <v>2313</v>
      </c>
      <c r="B420" s="1" t="s">
        <v>26</v>
      </c>
      <c r="C420" s="1" t="s">
        <v>3033</v>
      </c>
      <c r="D420" s="1" t="s">
        <v>19</v>
      </c>
      <c r="E420" s="12">
        <f>F420/1728</f>
        <v>1.8291666666666668E-4</v>
      </c>
      <c r="F420" s="12">
        <f>Systems!D35</f>
        <v>0.31608000000000003</v>
      </c>
      <c r="G420" s="1" t="s">
        <v>14</v>
      </c>
      <c r="H420" s="1" t="s">
        <v>44</v>
      </c>
    </row>
    <row r="421" spans="1:8">
      <c r="A421" s="1" t="s">
        <v>2405</v>
      </c>
      <c r="B421" s="1" t="s">
        <v>26</v>
      </c>
      <c r="C421" s="1" t="s">
        <v>3033</v>
      </c>
      <c r="D421" s="1" t="s">
        <v>19</v>
      </c>
      <c r="E421" s="12">
        <f>10*F421</f>
        <v>3.1608000000000001</v>
      </c>
      <c r="F421" s="12">
        <f>Systems!D35</f>
        <v>0.31608000000000003</v>
      </c>
      <c r="G421" s="1" t="s">
        <v>14</v>
      </c>
      <c r="H421" s="1" t="s">
        <v>44</v>
      </c>
    </row>
    <row r="422" spans="1:8">
      <c r="A422" s="1" t="s">
        <v>2406</v>
      </c>
      <c r="B422" s="1" t="s">
        <v>26</v>
      </c>
      <c r="C422" s="1" t="s">
        <v>3033</v>
      </c>
      <c r="D422" s="1" t="s">
        <v>19</v>
      </c>
      <c r="E422" s="12">
        <f>12*F422</f>
        <v>3.7929600000000003</v>
      </c>
      <c r="F422" s="12">
        <f>Systems!D35</f>
        <v>0.31608000000000003</v>
      </c>
      <c r="G422" s="1" t="s">
        <v>14</v>
      </c>
      <c r="H422" s="1" t="s">
        <v>44</v>
      </c>
    </row>
    <row r="423" spans="1:8">
      <c r="A423" s="1" t="s">
        <v>2545</v>
      </c>
      <c r="B423" s="1" t="s">
        <v>26</v>
      </c>
      <c r="C423" s="1" t="s">
        <v>3033</v>
      </c>
      <c r="D423" s="1" t="s">
        <v>19</v>
      </c>
      <c r="E423" s="12">
        <f>2*F423/3</f>
        <v>0.21072000000000002</v>
      </c>
      <c r="F423" s="12">
        <f>Systems!D35</f>
        <v>0.31608000000000003</v>
      </c>
      <c r="G423" s="1" t="s">
        <v>14</v>
      </c>
      <c r="H423" s="1" t="s">
        <v>44</v>
      </c>
    </row>
    <row r="424" spans="1:8" ht="16.5">
      <c r="A424" s="1" t="s">
        <v>839</v>
      </c>
      <c r="B424" s="1" t="s">
        <v>26</v>
      </c>
      <c r="C424" s="1" t="s">
        <v>3034</v>
      </c>
      <c r="D424" s="1" t="s">
        <v>38</v>
      </c>
      <c r="E424" s="12">
        <f>F424</f>
        <v>5754.6182246400003</v>
      </c>
      <c r="F424" s="12">
        <f>Systems!H35</f>
        <v>5754.6182246400003</v>
      </c>
      <c r="G424" s="1" t="s">
        <v>39</v>
      </c>
      <c r="H424" s="1" t="s">
        <v>44</v>
      </c>
    </row>
    <row r="425" spans="1:8" ht="16.5">
      <c r="A425" s="1" t="s">
        <v>975</v>
      </c>
      <c r="B425" s="1" t="s">
        <v>26</v>
      </c>
      <c r="C425" s="1" t="s">
        <v>3034</v>
      </c>
      <c r="D425" s="1" t="s">
        <v>38</v>
      </c>
      <c r="E425" s="12">
        <f>F425/3</f>
        <v>1918.2060748800002</v>
      </c>
      <c r="F425" s="12">
        <f>Systems!H35</f>
        <v>5754.6182246400003</v>
      </c>
      <c r="G425" s="1" t="s">
        <v>39</v>
      </c>
      <c r="H425" s="1" t="s">
        <v>44</v>
      </c>
    </row>
    <row r="426" spans="1:8" ht="16.5">
      <c r="A426" s="1" t="s">
        <v>4410</v>
      </c>
      <c r="B426" s="1" t="s">
        <v>26</v>
      </c>
      <c r="C426" s="1" t="s">
        <v>3034</v>
      </c>
      <c r="D426" s="1" t="s">
        <v>38</v>
      </c>
      <c r="E426" s="12">
        <f>F426/1600</f>
        <v>3.5966363904</v>
      </c>
      <c r="F426" s="12">
        <f>Systems!H35</f>
        <v>5754.6182246400003</v>
      </c>
      <c r="G426" s="1" t="s">
        <v>39</v>
      </c>
      <c r="H426" s="1" t="s">
        <v>44</v>
      </c>
    </row>
    <row r="427" spans="1:8" ht="16.5">
      <c r="A427" s="1" t="s">
        <v>1160</v>
      </c>
      <c r="B427" s="1" t="s">
        <v>26</v>
      </c>
      <c r="C427" s="1" t="s">
        <v>2936</v>
      </c>
      <c r="D427" s="1" t="s">
        <v>32</v>
      </c>
      <c r="E427" s="12">
        <f>F427/8</f>
        <v>7.6861250000000002E-3</v>
      </c>
      <c r="F427" s="12">
        <f>Systems!T35</f>
        <v>6.1489000000000002E-2</v>
      </c>
      <c r="G427" s="1" t="s">
        <v>33</v>
      </c>
      <c r="H427" s="1" t="s">
        <v>44</v>
      </c>
    </row>
    <row r="428" spans="1:8" ht="16.5">
      <c r="A428" s="1" t="s">
        <v>1278</v>
      </c>
      <c r="B428" s="1" t="s">
        <v>26</v>
      </c>
      <c r="C428" s="1" t="s">
        <v>2936</v>
      </c>
      <c r="D428" s="1" t="s">
        <v>32</v>
      </c>
      <c r="E428" s="12">
        <f>F428/128</f>
        <v>4.8038281250000002E-4</v>
      </c>
      <c r="F428" s="12">
        <f>Systems!T35</f>
        <v>6.1489000000000002E-2</v>
      </c>
      <c r="G428" s="1" t="s">
        <v>33</v>
      </c>
      <c r="H428" s="1" t="s">
        <v>44</v>
      </c>
    </row>
    <row r="429" spans="1:8" ht="16.5">
      <c r="A429" s="1" t="s">
        <v>1642</v>
      </c>
      <c r="B429" s="1" t="s">
        <v>26</v>
      </c>
      <c r="C429" s="1" t="s">
        <v>2936</v>
      </c>
      <c r="D429" s="1" t="s">
        <v>32</v>
      </c>
      <c r="E429" s="12">
        <f>F429/32</f>
        <v>1.9215312500000001E-3</v>
      </c>
      <c r="F429" s="12">
        <f>Systems!T35</f>
        <v>6.1489000000000002E-2</v>
      </c>
      <c r="G429" s="1" t="s">
        <v>33</v>
      </c>
      <c r="H429" s="1" t="s">
        <v>44</v>
      </c>
    </row>
    <row r="430" spans="1:8" ht="16.5">
      <c r="A430" s="1" t="s">
        <v>841</v>
      </c>
      <c r="B430" s="1" t="s">
        <v>26</v>
      </c>
      <c r="C430" s="1" t="s">
        <v>2936</v>
      </c>
      <c r="D430" s="1" t="s">
        <v>32</v>
      </c>
      <c r="E430" s="12">
        <f>F430</f>
        <v>6.1489000000000002E-2</v>
      </c>
      <c r="F430" s="12">
        <f>Systems!T35</f>
        <v>6.1489000000000002E-2</v>
      </c>
      <c r="G430" s="1" t="s">
        <v>33</v>
      </c>
      <c r="H430" s="1" t="s">
        <v>44</v>
      </c>
    </row>
    <row r="431" spans="1:8" ht="16.5">
      <c r="A431" s="1" t="s">
        <v>2111</v>
      </c>
      <c r="B431" s="1" t="s">
        <v>26</v>
      </c>
      <c r="C431" s="1" t="s">
        <v>2936</v>
      </c>
      <c r="D431" s="1" t="s">
        <v>32</v>
      </c>
      <c r="E431" s="12">
        <f>F431/16</f>
        <v>3.8430625000000001E-3</v>
      </c>
      <c r="F431" s="12">
        <f>Systems!T35</f>
        <v>6.1489000000000002E-2</v>
      </c>
      <c r="G431" s="1" t="s">
        <v>33</v>
      </c>
      <c r="H431" s="1" t="s">
        <v>44</v>
      </c>
    </row>
    <row r="432" spans="1:8" ht="16.5">
      <c r="A432" s="1" t="s">
        <v>2109</v>
      </c>
      <c r="B432" s="1" t="s">
        <v>26</v>
      </c>
      <c r="C432" s="1" t="s">
        <v>2936</v>
      </c>
      <c r="D432" s="1" t="s">
        <v>32</v>
      </c>
      <c r="E432" s="12">
        <f>30*F432</f>
        <v>1.84467</v>
      </c>
      <c r="F432" s="12">
        <f>Systems!T35</f>
        <v>6.1489000000000002E-2</v>
      </c>
      <c r="G432" s="1" t="s">
        <v>33</v>
      </c>
      <c r="H432" s="1" t="s">
        <v>44</v>
      </c>
    </row>
    <row r="433" spans="1:8" ht="16.5">
      <c r="A433" s="1" t="s">
        <v>4411</v>
      </c>
      <c r="B433" s="1" t="s">
        <v>26</v>
      </c>
      <c r="C433" s="1" t="s">
        <v>2936</v>
      </c>
      <c r="D433" s="1" t="s">
        <v>32</v>
      </c>
      <c r="E433" s="12">
        <f>F433/1024</f>
        <v>6.0047851562500002E-5</v>
      </c>
      <c r="F433" s="12">
        <f>Systems!T35</f>
        <v>6.1489000000000002E-2</v>
      </c>
      <c r="G433" s="1" t="s">
        <v>33</v>
      </c>
      <c r="H433" s="1" t="s">
        <v>44</v>
      </c>
    </row>
    <row r="434" spans="1:8" ht="16.5">
      <c r="A434" s="1" t="s">
        <v>2774</v>
      </c>
      <c r="B434" s="1" t="s">
        <v>26</v>
      </c>
      <c r="C434" s="1" t="s">
        <v>2936</v>
      </c>
      <c r="D434" s="1" t="s">
        <v>32</v>
      </c>
      <c r="E434" s="12">
        <f>F434/4</f>
        <v>1.537225E-2</v>
      </c>
      <c r="F434" s="12">
        <f>Systems!T35</f>
        <v>6.1489000000000002E-2</v>
      </c>
      <c r="G434" s="1" t="s">
        <v>33</v>
      </c>
      <c r="H434" s="1" t="s">
        <v>44</v>
      </c>
    </row>
    <row r="435" spans="1:8" ht="16.5">
      <c r="A435" s="1" t="s">
        <v>1555</v>
      </c>
      <c r="B435" s="1" t="s">
        <v>26</v>
      </c>
      <c r="C435" s="1" t="s">
        <v>2935</v>
      </c>
      <c r="D435" s="1" t="s">
        <v>32</v>
      </c>
      <c r="E435" s="12">
        <f>1200*F435</f>
        <v>1.6981200000000001</v>
      </c>
      <c r="F435" s="12">
        <f>Systems!P35</f>
        <v>1.4151000000000001E-3</v>
      </c>
      <c r="G435" s="1" t="s">
        <v>33</v>
      </c>
      <c r="H435" s="1" t="s">
        <v>44</v>
      </c>
    </row>
    <row r="436" spans="1:8" ht="16.5">
      <c r="A436" s="1" t="s">
        <v>847</v>
      </c>
      <c r="B436" s="1" t="s">
        <v>26</v>
      </c>
      <c r="C436" s="1" t="s">
        <v>2935</v>
      </c>
      <c r="D436" s="1" t="s">
        <v>32</v>
      </c>
      <c r="E436" s="12">
        <f>40*F436</f>
        <v>5.6604000000000002E-2</v>
      </c>
      <c r="F436" s="12">
        <f>Systems!P35</f>
        <v>1.4151000000000001E-3</v>
      </c>
      <c r="G436" s="1" t="s">
        <v>33</v>
      </c>
      <c r="H436" s="1" t="s">
        <v>44</v>
      </c>
    </row>
    <row r="437" spans="1:8" ht="16.5">
      <c r="A437" s="1" t="s">
        <v>1601</v>
      </c>
      <c r="B437" s="1" t="s">
        <v>26</v>
      </c>
      <c r="C437" s="1" t="s">
        <v>2935</v>
      </c>
      <c r="D437" s="1" t="s">
        <v>32</v>
      </c>
      <c r="E437" s="12">
        <f>400*F437</f>
        <v>0.56603999999999999</v>
      </c>
      <c r="F437" s="12">
        <f>Systems!P35</f>
        <v>1.4151000000000001E-3</v>
      </c>
      <c r="G437" s="1" t="s">
        <v>33</v>
      </c>
      <c r="H437" s="1" t="s">
        <v>44</v>
      </c>
    </row>
    <row r="438" spans="1:8" ht="16.5">
      <c r="A438" s="1" t="s">
        <v>1637</v>
      </c>
      <c r="B438" s="1" t="s">
        <v>26</v>
      </c>
      <c r="C438" s="1" t="s">
        <v>2935</v>
      </c>
      <c r="D438" s="1" t="s">
        <v>32</v>
      </c>
      <c r="E438" s="12">
        <f>1280*F438</f>
        <v>1.811328</v>
      </c>
      <c r="F438" s="12">
        <f>Systems!P35</f>
        <v>1.4151000000000001E-3</v>
      </c>
      <c r="G438" s="1" t="s">
        <v>33</v>
      </c>
      <c r="H438" s="1" t="s">
        <v>44</v>
      </c>
    </row>
    <row r="439" spans="1:8" ht="16.5">
      <c r="A439" s="1" t="s">
        <v>1708</v>
      </c>
      <c r="B439" s="1" t="s">
        <v>26</v>
      </c>
      <c r="C439" s="1" t="s">
        <v>2935</v>
      </c>
      <c r="D439" s="1" t="s">
        <v>32</v>
      </c>
      <c r="E439" s="12">
        <f>F439/2</f>
        <v>7.0755000000000004E-4</v>
      </c>
      <c r="F439" s="12">
        <f>Systems!P35</f>
        <v>1.4151000000000001E-3</v>
      </c>
      <c r="G439" s="1" t="s">
        <v>33</v>
      </c>
      <c r="H439" s="1" t="s">
        <v>44</v>
      </c>
    </row>
    <row r="440" spans="1:8" ht="16.5">
      <c r="A440" s="1" t="s">
        <v>17</v>
      </c>
      <c r="B440" s="1" t="s">
        <v>26</v>
      </c>
      <c r="C440" s="1" t="s">
        <v>2935</v>
      </c>
      <c r="D440" s="1" t="s">
        <v>32</v>
      </c>
      <c r="E440" s="12">
        <f>F440</f>
        <v>1.4151000000000001E-3</v>
      </c>
      <c r="F440" s="12">
        <f>Systems!P35</f>
        <v>1.4151000000000001E-3</v>
      </c>
      <c r="G440" s="1" t="s">
        <v>33</v>
      </c>
      <c r="H440" s="1" t="s">
        <v>44</v>
      </c>
    </row>
    <row r="441" spans="1:8" ht="16.5">
      <c r="A441" s="1" t="s">
        <v>2256</v>
      </c>
      <c r="B441" s="1" t="s">
        <v>26</v>
      </c>
      <c r="C441" s="1" t="s">
        <v>2935</v>
      </c>
      <c r="D441" s="1" t="s">
        <v>32</v>
      </c>
      <c r="E441" s="12">
        <f>F441/8</f>
        <v>1.7688750000000001E-4</v>
      </c>
      <c r="F441" s="12">
        <f>Systems!P35</f>
        <v>1.4151000000000001E-3</v>
      </c>
      <c r="G441" s="1" t="s">
        <v>33</v>
      </c>
      <c r="H441" s="1" t="s">
        <v>44</v>
      </c>
    </row>
    <row r="442" spans="1:8" ht="16.5">
      <c r="A442" s="1" t="s">
        <v>2466</v>
      </c>
      <c r="B442" s="1" t="s">
        <v>26</v>
      </c>
      <c r="C442" s="1" t="s">
        <v>2935</v>
      </c>
      <c r="D442" s="1" t="s">
        <v>32</v>
      </c>
      <c r="E442" s="12">
        <f>F442/4</f>
        <v>3.5377500000000002E-4</v>
      </c>
      <c r="F442" s="12">
        <f>Systems!P35</f>
        <v>1.4151000000000001E-3</v>
      </c>
      <c r="G442" s="1" t="s">
        <v>33</v>
      </c>
      <c r="H442" s="1" t="s">
        <v>44</v>
      </c>
    </row>
    <row r="443" spans="1:8" ht="16.5">
      <c r="A443" s="1" t="s">
        <v>2774</v>
      </c>
      <c r="B443" s="1" t="s">
        <v>26</v>
      </c>
      <c r="C443" s="1" t="s">
        <v>2935</v>
      </c>
      <c r="D443" s="1" t="s">
        <v>32</v>
      </c>
      <c r="E443" s="12">
        <f>10*F443</f>
        <v>1.4151E-2</v>
      </c>
      <c r="F443" s="12">
        <f>Systems!P35</f>
        <v>1.4151000000000001E-3</v>
      </c>
      <c r="G443" s="1" t="s">
        <v>33</v>
      </c>
      <c r="H443" s="1" t="s">
        <v>44</v>
      </c>
    </row>
    <row r="444" spans="1:8">
      <c r="A444" s="1" t="s">
        <v>1504</v>
      </c>
      <c r="B444" s="1" t="s">
        <v>26</v>
      </c>
      <c r="C444" s="1" t="s">
        <v>17</v>
      </c>
      <c r="D444" s="1" t="s">
        <v>20</v>
      </c>
      <c r="E444" s="12">
        <f>F444/512</f>
        <v>1.09376953125E-3</v>
      </c>
      <c r="F444" s="12">
        <f>Systems!L35</f>
        <v>0.56001000000000001</v>
      </c>
      <c r="G444" s="1" t="s">
        <v>23</v>
      </c>
      <c r="H444" s="1" t="s">
        <v>44</v>
      </c>
    </row>
    <row r="445" spans="1:8">
      <c r="A445" s="1" t="s">
        <v>4412</v>
      </c>
      <c r="B445" s="1" t="s">
        <v>26</v>
      </c>
      <c r="C445" s="1" t="s">
        <v>17</v>
      </c>
      <c r="D445" s="1" t="s">
        <v>20</v>
      </c>
      <c r="E445" s="12">
        <f>F445/96</f>
        <v>4.3750781250000001E-3</v>
      </c>
      <c r="F445" s="12">
        <f>Systems!L36</f>
        <v>0.42000749999999998</v>
      </c>
      <c r="G445" s="1" t="s">
        <v>23</v>
      </c>
      <c r="H445" s="1" t="s">
        <v>44</v>
      </c>
    </row>
    <row r="446" spans="1:8">
      <c r="A446" s="1" t="s">
        <v>4413</v>
      </c>
      <c r="B446" s="1" t="s">
        <v>26</v>
      </c>
      <c r="C446" s="1" t="s">
        <v>17</v>
      </c>
      <c r="D446" s="1" t="s">
        <v>20</v>
      </c>
      <c r="E446" s="12">
        <f>F446/5760</f>
        <v>7.2917968749999998E-5</v>
      </c>
      <c r="F446" s="12">
        <f>Systems!L36</f>
        <v>0.42000749999999998</v>
      </c>
      <c r="G446" s="1" t="s">
        <v>23</v>
      </c>
      <c r="H446" s="1" t="s">
        <v>44</v>
      </c>
    </row>
    <row r="447" spans="1:8">
      <c r="A447" s="1" t="s">
        <v>1811</v>
      </c>
      <c r="B447" s="1" t="s">
        <v>26</v>
      </c>
      <c r="C447" s="1" t="s">
        <v>17</v>
      </c>
      <c r="D447" s="1" t="s">
        <v>20</v>
      </c>
      <c r="E447" s="12">
        <f>400*F447</f>
        <v>224.00399999999999</v>
      </c>
      <c r="F447" s="12">
        <f>Systems!L35</f>
        <v>0.56001000000000001</v>
      </c>
      <c r="G447" s="1" t="s">
        <v>23</v>
      </c>
      <c r="H447" s="1" t="s">
        <v>44</v>
      </c>
    </row>
    <row r="448" spans="1:8">
      <c r="A448" s="1" t="s">
        <v>1988</v>
      </c>
      <c r="B448" s="1" t="s">
        <v>26</v>
      </c>
      <c r="C448" s="1" t="s">
        <v>17</v>
      </c>
      <c r="D448" s="1" t="s">
        <v>20</v>
      </c>
      <c r="E448" s="12">
        <f>F448/32</f>
        <v>1.75003125E-2</v>
      </c>
      <c r="F448" s="12">
        <f>Systems!L35</f>
        <v>0.56001000000000001</v>
      </c>
      <c r="G448" s="1" t="s">
        <v>23</v>
      </c>
      <c r="H448" s="1" t="s">
        <v>44</v>
      </c>
    </row>
    <row r="449" spans="1:8">
      <c r="A449" s="1" t="s">
        <v>2021</v>
      </c>
      <c r="B449" s="1" t="s">
        <v>26</v>
      </c>
      <c r="C449" s="1" t="s">
        <v>17</v>
      </c>
      <c r="D449" s="1" t="s">
        <v>20</v>
      </c>
      <c r="E449" s="12">
        <f>F449/2</f>
        <v>0.280005</v>
      </c>
      <c r="F449" s="12">
        <f>Systems!L35</f>
        <v>0.56001000000000001</v>
      </c>
      <c r="G449" s="1" t="s">
        <v>23</v>
      </c>
      <c r="H449" s="1" t="s">
        <v>44</v>
      </c>
    </row>
    <row r="450" spans="1:8">
      <c r="A450" s="1" t="s">
        <v>1503</v>
      </c>
      <c r="B450" s="1" t="s">
        <v>26</v>
      </c>
      <c r="C450" s="1" t="s">
        <v>17</v>
      </c>
      <c r="D450" s="1" t="s">
        <v>20</v>
      </c>
      <c r="E450" s="12">
        <f>F450/512</f>
        <v>1.09376953125E-3</v>
      </c>
      <c r="F450" s="12">
        <f>Systems!L35</f>
        <v>0.56001000000000001</v>
      </c>
      <c r="G450" s="1" t="s">
        <v>23</v>
      </c>
      <c r="H450" s="1" t="s">
        <v>44</v>
      </c>
    </row>
    <row r="451" spans="1:8">
      <c r="A451" s="1" t="s">
        <v>840</v>
      </c>
      <c r="B451" s="1" t="s">
        <v>26</v>
      </c>
      <c r="C451" s="1" t="s">
        <v>17</v>
      </c>
      <c r="D451" s="1" t="s">
        <v>20</v>
      </c>
      <c r="E451" s="12">
        <f>F451</f>
        <v>0.56001000000000001</v>
      </c>
      <c r="F451" s="12">
        <f>Systems!L35</f>
        <v>0.56001000000000001</v>
      </c>
      <c r="G451" s="1" t="s">
        <v>23</v>
      </c>
      <c r="H451" s="1" t="s">
        <v>44</v>
      </c>
    </row>
    <row r="452" spans="1:8">
      <c r="A452" s="1" t="s">
        <v>4414</v>
      </c>
      <c r="B452" s="1" t="s">
        <v>26</v>
      </c>
      <c r="C452" s="1" t="s">
        <v>17</v>
      </c>
      <c r="D452" s="1" t="s">
        <v>20</v>
      </c>
      <c r="E452" s="12">
        <f>F452</f>
        <v>0.42000749999999998</v>
      </c>
      <c r="F452" s="12">
        <f>Systems!L36</f>
        <v>0.42000749999999998</v>
      </c>
      <c r="G452" s="1" t="s">
        <v>23</v>
      </c>
      <c r="H452" s="1" t="s">
        <v>44</v>
      </c>
    </row>
    <row r="453" spans="1:8">
      <c r="A453" s="1" t="s">
        <v>4415</v>
      </c>
      <c r="B453" s="1" t="s">
        <v>26</v>
      </c>
      <c r="C453" s="1" t="s">
        <v>17</v>
      </c>
      <c r="D453" s="1" t="s">
        <v>20</v>
      </c>
      <c r="E453" s="12">
        <f>4*F453/3</f>
        <v>0.56001000000000001</v>
      </c>
      <c r="F453" s="12">
        <f>Systems!L36</f>
        <v>0.42000749999999998</v>
      </c>
      <c r="G453" s="1" t="s">
        <v>23</v>
      </c>
      <c r="H453" s="1" t="s">
        <v>44</v>
      </c>
    </row>
    <row r="454" spans="1:8">
      <c r="A454" s="1" t="s">
        <v>819</v>
      </c>
      <c r="B454" s="1" t="s">
        <v>26</v>
      </c>
      <c r="C454" s="1" t="s">
        <v>17</v>
      </c>
      <c r="D454" s="1" t="s">
        <v>20</v>
      </c>
      <c r="E454" s="12">
        <f>F454/1.7857</f>
        <v>0.56000448003584025</v>
      </c>
      <c r="F454" s="12">
        <f>SI!E2</f>
        <v>1</v>
      </c>
      <c r="G454" s="1" t="s">
        <v>23</v>
      </c>
      <c r="H454" s="1" t="s">
        <v>44</v>
      </c>
    </row>
    <row r="455" spans="1:8">
      <c r="A455" s="1" t="s">
        <v>2352</v>
      </c>
      <c r="B455" s="1" t="s">
        <v>26</v>
      </c>
      <c r="C455" s="1" t="s">
        <v>17</v>
      </c>
      <c r="D455" s="1" t="s">
        <v>20</v>
      </c>
      <c r="E455" s="12">
        <f>F455/128</f>
        <v>4.3750781250000001E-3</v>
      </c>
      <c r="F455" s="12">
        <f>Systems!L35</f>
        <v>0.56001000000000001</v>
      </c>
      <c r="G455" s="1" t="s">
        <v>23</v>
      </c>
      <c r="H455" s="1" t="s">
        <v>44</v>
      </c>
    </row>
    <row r="456" spans="1:8">
      <c r="A456" s="1" t="s">
        <v>2438</v>
      </c>
      <c r="B456" s="1" t="s">
        <v>26</v>
      </c>
      <c r="C456" s="1" t="s">
        <v>17</v>
      </c>
      <c r="D456" s="1" t="s">
        <v>20</v>
      </c>
      <c r="E456" s="12">
        <f>275*F456</f>
        <v>154.00274999999999</v>
      </c>
      <c r="F456" s="12">
        <f>Systems!L35</f>
        <v>0.56001000000000001</v>
      </c>
      <c r="G456" s="1" t="s">
        <v>23</v>
      </c>
      <c r="H456" s="1" t="s">
        <v>44</v>
      </c>
    </row>
    <row r="457" spans="1:8">
      <c r="A457" s="1" t="s">
        <v>4416</v>
      </c>
      <c r="B457" s="1" t="s">
        <v>26</v>
      </c>
      <c r="C457" s="1" t="s">
        <v>17</v>
      </c>
      <c r="D457" s="1" t="s">
        <v>20</v>
      </c>
      <c r="E457" s="12">
        <f>F457/288</f>
        <v>1.458359375E-3</v>
      </c>
      <c r="F457" s="12">
        <f>Systems!L36</f>
        <v>0.42000749999999998</v>
      </c>
      <c r="G457" s="1" t="s">
        <v>23</v>
      </c>
      <c r="H457" s="1" t="s">
        <v>44</v>
      </c>
    </row>
    <row r="458" spans="1:8">
      <c r="A458" s="1" t="s">
        <v>2570</v>
      </c>
      <c r="B458" s="1" t="s">
        <v>26</v>
      </c>
      <c r="C458" s="1" t="s">
        <v>17</v>
      </c>
      <c r="D458" s="1" t="s">
        <v>20</v>
      </c>
      <c r="E458" s="12">
        <f>20*F458</f>
        <v>11.200200000000001</v>
      </c>
      <c r="F458" s="12">
        <f>Systems!L35</f>
        <v>0.56001000000000001</v>
      </c>
      <c r="G458" s="1" t="s">
        <v>23</v>
      </c>
      <c r="H458" s="1" t="s">
        <v>44</v>
      </c>
    </row>
    <row r="459" spans="1:8">
      <c r="A459" s="1" t="s">
        <v>2744</v>
      </c>
      <c r="B459" s="1" t="s">
        <v>26</v>
      </c>
      <c r="C459" s="1" t="s">
        <v>17</v>
      </c>
      <c r="D459" s="1" t="s">
        <v>20</v>
      </c>
      <c r="E459" s="12">
        <f>F459/16</f>
        <v>3.5000625E-2</v>
      </c>
      <c r="F459" s="12">
        <f>Systems!L35</f>
        <v>0.56001000000000001</v>
      </c>
      <c r="G459" s="1" t="s">
        <v>23</v>
      </c>
      <c r="H459" s="1" t="s">
        <v>44</v>
      </c>
    </row>
    <row r="460" spans="1:8">
      <c r="A460" s="1" t="s">
        <v>4417</v>
      </c>
      <c r="B460" s="1" t="s">
        <v>26</v>
      </c>
      <c r="C460" s="1" t="s">
        <v>17</v>
      </c>
      <c r="D460" s="1" t="s">
        <v>20</v>
      </c>
      <c r="E460" s="12">
        <f>F460/12</f>
        <v>3.5000625E-2</v>
      </c>
      <c r="F460" s="12">
        <f>Systems!L36</f>
        <v>0.42000749999999998</v>
      </c>
      <c r="G460" s="1" t="s">
        <v>23</v>
      </c>
      <c r="H460" s="1" t="s">
        <v>44</v>
      </c>
    </row>
    <row r="461" spans="1:8">
      <c r="A461" s="1" t="s">
        <v>2772</v>
      </c>
      <c r="B461" s="1" t="s">
        <v>26</v>
      </c>
      <c r="C461" s="1" t="s">
        <v>17</v>
      </c>
      <c r="D461" s="1" t="s">
        <v>20</v>
      </c>
      <c r="E461" s="12">
        <f>F461/4</f>
        <v>0.1400025</v>
      </c>
      <c r="F461" s="12">
        <f>Systems!L35</f>
        <v>0.56001000000000001</v>
      </c>
      <c r="G461" s="1" t="s">
        <v>23</v>
      </c>
      <c r="H461" s="1" t="s">
        <v>44</v>
      </c>
    </row>
    <row r="462" spans="1:8">
      <c r="A462" s="1" t="s">
        <v>2819</v>
      </c>
      <c r="B462" s="1" t="s">
        <v>26</v>
      </c>
      <c r="C462" s="1" t="s">
        <v>17</v>
      </c>
      <c r="D462" s="1" t="s">
        <v>20</v>
      </c>
      <c r="E462" s="12">
        <f>100*F462</f>
        <v>56.000999999999998</v>
      </c>
      <c r="F462" s="12">
        <f>Systems!L35</f>
        <v>0.56001000000000001</v>
      </c>
      <c r="G462" s="1" t="s">
        <v>23</v>
      </c>
      <c r="H462" s="1" t="s">
        <v>44</v>
      </c>
    </row>
    <row r="463" spans="1:8">
      <c r="A463" s="1" t="s">
        <v>979</v>
      </c>
      <c r="B463" s="1" t="s">
        <v>26</v>
      </c>
      <c r="C463" s="1" t="s">
        <v>17</v>
      </c>
      <c r="D463" s="1" t="s">
        <v>20</v>
      </c>
      <c r="E463" s="12">
        <f>F463/1.7857</f>
        <v>0.56000448003584025</v>
      </c>
      <c r="F463" s="12">
        <f>SI!E2</f>
        <v>1</v>
      </c>
      <c r="G463" s="1" t="s">
        <v>23</v>
      </c>
      <c r="H463" s="1" t="s">
        <v>44</v>
      </c>
    </row>
    <row r="464" spans="1:8">
      <c r="A464" s="248"/>
      <c r="B464" s="248"/>
      <c r="C464" s="248"/>
      <c r="D464" s="248"/>
      <c r="E464" s="250"/>
      <c r="F464" s="250"/>
      <c r="G464" s="248"/>
      <c r="H464" s="248"/>
    </row>
    <row r="465" spans="1:8">
      <c r="A465" s="1" t="s">
        <v>827</v>
      </c>
      <c r="B465" s="1" t="s">
        <v>26</v>
      </c>
      <c r="C465" s="1" t="s">
        <v>3033</v>
      </c>
      <c r="D465" s="1" t="s">
        <v>19</v>
      </c>
      <c r="E465" s="12">
        <f>F465</f>
        <v>1.5640000000000001</v>
      </c>
      <c r="F465" s="12">
        <f>Systems!D37</f>
        <v>1.5640000000000001</v>
      </c>
      <c r="G465" s="1" t="s">
        <v>14</v>
      </c>
      <c r="H465" s="1" t="s">
        <v>444</v>
      </c>
    </row>
    <row r="466" spans="1:8">
      <c r="A466" s="1" t="s">
        <v>2216</v>
      </c>
      <c r="B466" s="1" t="s">
        <v>26</v>
      </c>
      <c r="C466" s="1" t="s">
        <v>3033</v>
      </c>
      <c r="D466" s="1" t="s">
        <v>19</v>
      </c>
      <c r="E466" s="12">
        <f>F466/8</f>
        <v>0.19550000000000001</v>
      </c>
      <c r="F466" s="12">
        <f>Systems!D37</f>
        <v>1.5640000000000001</v>
      </c>
      <c r="G466" s="1" t="s">
        <v>14</v>
      </c>
      <c r="H466" s="1" t="s">
        <v>444</v>
      </c>
    </row>
    <row r="467" spans="1:8" ht="16.5">
      <c r="A467" s="1" t="s">
        <v>4418</v>
      </c>
      <c r="B467" s="1" t="s">
        <v>26</v>
      </c>
      <c r="C467" s="1" t="s">
        <v>3034</v>
      </c>
      <c r="D467" s="1" t="s">
        <v>38</v>
      </c>
      <c r="E467" s="12">
        <f>F467</f>
        <v>2.4460960000000003</v>
      </c>
      <c r="F467" s="12">
        <f>Systems!H37</f>
        <v>2.4460960000000003</v>
      </c>
      <c r="G467" s="1" t="s">
        <v>39</v>
      </c>
      <c r="H467" s="1" t="s">
        <v>444</v>
      </c>
    </row>
    <row r="468" spans="1:8" ht="16.5">
      <c r="A468" s="1" t="s">
        <v>825</v>
      </c>
      <c r="B468" s="1" t="s">
        <v>26</v>
      </c>
      <c r="C468" s="1" t="s">
        <v>2936</v>
      </c>
      <c r="D468" s="1" t="s">
        <v>32</v>
      </c>
      <c r="E468" s="12">
        <f>F468/26</f>
        <v>1.0438461538461539E-3</v>
      </c>
      <c r="F468" s="12">
        <f>Systems!T37</f>
        <v>2.7140000000000001E-2</v>
      </c>
      <c r="G468" s="1" t="s">
        <v>33</v>
      </c>
      <c r="H468" s="1" t="s">
        <v>444</v>
      </c>
    </row>
    <row r="469" spans="1:8" ht="16.5">
      <c r="A469" s="1" t="s">
        <v>2338</v>
      </c>
      <c r="B469" s="1" t="s">
        <v>26</v>
      </c>
      <c r="C469" s="1" t="s">
        <v>2936</v>
      </c>
      <c r="D469" s="1" t="s">
        <v>32</v>
      </c>
      <c r="E469" s="12">
        <f>2*F469/13</f>
        <v>4.1753846153846155E-3</v>
      </c>
      <c r="F469" s="12">
        <f>Systems!T37</f>
        <v>2.7140000000000001E-2</v>
      </c>
      <c r="G469" s="1" t="s">
        <v>33</v>
      </c>
      <c r="H469" s="1" t="s">
        <v>444</v>
      </c>
    </row>
    <row r="470" spans="1:8" ht="16.5">
      <c r="A470" s="1" t="s">
        <v>832</v>
      </c>
      <c r="B470" s="1" t="s">
        <v>26</v>
      </c>
      <c r="C470" s="1" t="s">
        <v>2936</v>
      </c>
      <c r="D470" s="1" t="s">
        <v>32</v>
      </c>
      <c r="E470" s="12">
        <f>F470</f>
        <v>2.7140000000000001E-2</v>
      </c>
      <c r="F470" s="12">
        <f>Systems!T37</f>
        <v>2.7140000000000001E-2</v>
      </c>
      <c r="G470" s="1" t="s">
        <v>33</v>
      </c>
      <c r="H470" s="1" t="s">
        <v>444</v>
      </c>
    </row>
    <row r="471" spans="1:8" ht="16.5">
      <c r="A471" s="1" t="s">
        <v>825</v>
      </c>
      <c r="B471" s="1" t="s">
        <v>26</v>
      </c>
      <c r="C471" s="1" t="s">
        <v>2935</v>
      </c>
      <c r="D471" s="1" t="s">
        <v>32</v>
      </c>
      <c r="E471" s="12">
        <f>F471/36</f>
        <v>1.9991666666666669E-3</v>
      </c>
      <c r="F471" s="12">
        <f>Systems!P37</f>
        <v>7.1970000000000006E-2</v>
      </c>
      <c r="G471" s="1" t="s">
        <v>33</v>
      </c>
      <c r="H471" s="1" t="s">
        <v>444</v>
      </c>
    </row>
    <row r="472" spans="1:8" ht="16.5">
      <c r="A472" s="1" t="s">
        <v>1256</v>
      </c>
      <c r="B472" s="1" t="s">
        <v>26</v>
      </c>
      <c r="C472" s="1" t="s">
        <v>2935</v>
      </c>
      <c r="D472" s="1" t="s">
        <v>32</v>
      </c>
      <c r="E472" s="12">
        <f>F472/6</f>
        <v>1.1995E-2</v>
      </c>
      <c r="F472" s="12">
        <f>Systems!P37</f>
        <v>7.1970000000000006E-2</v>
      </c>
      <c r="G472" s="1" t="s">
        <v>33</v>
      </c>
      <c r="H472" s="1" t="s">
        <v>444</v>
      </c>
    </row>
    <row r="473" spans="1:8" ht="16.5">
      <c r="A473" s="1" t="s">
        <v>833</v>
      </c>
      <c r="B473" s="1" t="s">
        <v>26</v>
      </c>
      <c r="C473" s="1" t="s">
        <v>2935</v>
      </c>
      <c r="D473" s="1" t="s">
        <v>32</v>
      </c>
      <c r="E473" s="12">
        <f>F473</f>
        <v>7.1970000000000006E-2</v>
      </c>
      <c r="F473" s="12">
        <f>Systems!P37</f>
        <v>7.1970000000000006E-2</v>
      </c>
      <c r="G473" s="1" t="s">
        <v>33</v>
      </c>
      <c r="H473" s="1" t="s">
        <v>444</v>
      </c>
    </row>
    <row r="474" spans="1:8">
      <c r="A474" s="1" t="s">
        <v>1018</v>
      </c>
      <c r="B474" s="1" t="s">
        <v>26</v>
      </c>
      <c r="C474" s="1" t="s">
        <v>17</v>
      </c>
      <c r="D474" s="1" t="s">
        <v>20</v>
      </c>
      <c r="E474" s="12">
        <f>26*F474</f>
        <v>10.607999999999999</v>
      </c>
      <c r="F474" s="12">
        <f>Systems!L37</f>
        <v>0.40799999999999997</v>
      </c>
      <c r="G474" s="1" t="s">
        <v>23</v>
      </c>
      <c r="H474" s="1" t="s">
        <v>444</v>
      </c>
    </row>
    <row r="475" spans="1:8">
      <c r="A475" s="1" t="s">
        <v>1353</v>
      </c>
      <c r="B475" s="1" t="s">
        <v>26</v>
      </c>
      <c r="C475" s="1" t="s">
        <v>17</v>
      </c>
      <c r="D475" s="1" t="s">
        <v>20</v>
      </c>
      <c r="E475" s="12">
        <f>104*F475</f>
        <v>42.431999999999995</v>
      </c>
      <c r="F475" s="12">
        <f>Systems!L37</f>
        <v>0.40799999999999997</v>
      </c>
      <c r="G475" s="1" t="s">
        <v>23</v>
      </c>
      <c r="H475" s="1" t="s">
        <v>444</v>
      </c>
    </row>
    <row r="476" spans="1:8">
      <c r="A476" s="1" t="s">
        <v>4419</v>
      </c>
      <c r="B476" s="1" t="s">
        <v>26</v>
      </c>
      <c r="C476" s="1" t="s">
        <v>17</v>
      </c>
      <c r="D476" s="1" t="s">
        <v>20</v>
      </c>
      <c r="E476" s="12">
        <f>100*F476</f>
        <v>40.799999999999997</v>
      </c>
      <c r="F476" s="12">
        <f>Systems!L37</f>
        <v>0.40799999999999997</v>
      </c>
      <c r="G476" s="1" t="s">
        <v>23</v>
      </c>
      <c r="H476" s="1" t="s">
        <v>444</v>
      </c>
    </row>
    <row r="477" spans="1:8">
      <c r="A477" s="1" t="s">
        <v>1359</v>
      </c>
      <c r="B477" s="1" t="s">
        <v>26</v>
      </c>
      <c r="C477" s="1" t="s">
        <v>17</v>
      </c>
      <c r="D477" s="1" t="s">
        <v>20</v>
      </c>
      <c r="E477" s="12">
        <f>312*F477</f>
        <v>127.29599999999999</v>
      </c>
      <c r="F477" s="12">
        <f>Systems!L37</f>
        <v>0.40799999999999997</v>
      </c>
      <c r="G477" s="1" t="s">
        <v>23</v>
      </c>
      <c r="H477" s="1" t="s">
        <v>444</v>
      </c>
    </row>
    <row r="478" spans="1:8">
      <c r="A478" s="1" t="s">
        <v>1437</v>
      </c>
      <c r="B478" s="1" t="s">
        <v>26</v>
      </c>
      <c r="C478" s="1" t="s">
        <v>17</v>
      </c>
      <c r="D478" s="1" t="s">
        <v>20</v>
      </c>
      <c r="E478" s="12">
        <f>9*F478</f>
        <v>3.6719999999999997</v>
      </c>
      <c r="F478" s="12">
        <f>Systems!L37</f>
        <v>0.40799999999999997</v>
      </c>
      <c r="G478" s="1" t="s">
        <v>23</v>
      </c>
      <c r="H478" s="1" t="s">
        <v>444</v>
      </c>
    </row>
    <row r="479" spans="1:8">
      <c r="A479" s="1" t="s">
        <v>4420</v>
      </c>
      <c r="B479" s="1" t="s">
        <v>26</v>
      </c>
      <c r="C479" s="1" t="s">
        <v>17</v>
      </c>
      <c r="D479" s="1" t="s">
        <v>20</v>
      </c>
      <c r="E479" s="12">
        <f>3*F479</f>
        <v>1.224</v>
      </c>
      <c r="F479" s="12">
        <f>Systems!L37</f>
        <v>0.40799999999999997</v>
      </c>
      <c r="G479" s="1" t="s">
        <v>23</v>
      </c>
      <c r="H479" s="1" t="s">
        <v>444</v>
      </c>
    </row>
    <row r="480" spans="1:8">
      <c r="A480" s="1" t="s">
        <v>2088</v>
      </c>
      <c r="B480" s="1" t="s">
        <v>26</v>
      </c>
      <c r="C480" s="1" t="s">
        <v>17</v>
      </c>
      <c r="D480" s="1" t="s">
        <v>20</v>
      </c>
      <c r="E480" s="12">
        <f>36*F480</f>
        <v>14.687999999999999</v>
      </c>
      <c r="F480" s="12">
        <f>Systems!L37</f>
        <v>0.40799999999999997</v>
      </c>
      <c r="G480" s="1" t="s">
        <v>23</v>
      </c>
      <c r="H480" s="1" t="s">
        <v>444</v>
      </c>
    </row>
    <row r="481" spans="1:8">
      <c r="A481" s="1" t="s">
        <v>2336</v>
      </c>
      <c r="B481" s="1" t="s">
        <v>26</v>
      </c>
      <c r="C481" s="1" t="s">
        <v>17</v>
      </c>
      <c r="D481" s="1" t="s">
        <v>20</v>
      </c>
      <c r="E481" s="12">
        <f>9*F481</f>
        <v>3.6719999999999997</v>
      </c>
      <c r="F481" s="12">
        <f>Systems!L37</f>
        <v>0.40799999999999997</v>
      </c>
      <c r="G481" s="1" t="s">
        <v>23</v>
      </c>
      <c r="H481" s="1" t="s">
        <v>444</v>
      </c>
    </row>
    <row r="482" spans="1:8">
      <c r="A482" s="1" t="s">
        <v>828</v>
      </c>
      <c r="B482" s="1" t="s">
        <v>26</v>
      </c>
      <c r="C482" s="1" t="s">
        <v>17</v>
      </c>
      <c r="D482" s="1" t="s">
        <v>20</v>
      </c>
      <c r="E482" s="12">
        <f>F482</f>
        <v>0.40799999999999997</v>
      </c>
      <c r="F482" s="12">
        <f>Systems!L37</f>
        <v>0.40799999999999997</v>
      </c>
      <c r="G482" s="1" t="s">
        <v>23</v>
      </c>
      <c r="H482" s="1" t="s">
        <v>444</v>
      </c>
    </row>
    <row r="483" spans="1:8">
      <c r="A483" s="248"/>
      <c r="B483" s="248"/>
      <c r="C483" s="248"/>
      <c r="D483" s="248"/>
      <c r="E483" s="250"/>
      <c r="F483" s="250"/>
      <c r="G483" s="248"/>
      <c r="H483" s="248"/>
    </row>
    <row r="484" spans="1:8">
      <c r="A484" s="1" t="s">
        <v>838</v>
      </c>
      <c r="B484" s="1" t="s">
        <v>26</v>
      </c>
      <c r="C484" s="1" t="s">
        <v>3033</v>
      </c>
      <c r="D484" s="1" t="s">
        <v>19</v>
      </c>
      <c r="E484" s="12">
        <f>27*F484</f>
        <v>0.68580000000000008</v>
      </c>
      <c r="F484" s="12">
        <f>Systems!D6/12</f>
        <v>2.5400000000000002E-2</v>
      </c>
      <c r="G484" s="1" t="s">
        <v>14</v>
      </c>
      <c r="H484" s="1" t="s">
        <v>452</v>
      </c>
    </row>
    <row r="485" spans="1:8">
      <c r="A485" s="1" t="s">
        <v>816</v>
      </c>
      <c r="B485" s="1" t="s">
        <v>26</v>
      </c>
      <c r="C485" s="1" t="s">
        <v>3033</v>
      </c>
      <c r="D485" s="1" t="s">
        <v>19</v>
      </c>
      <c r="E485" s="12">
        <f>F485</f>
        <v>6.4969999999999999</v>
      </c>
      <c r="F485" s="12">
        <f>Systems!D38</f>
        <v>6.4969999999999999</v>
      </c>
      <c r="G485" s="1" t="s">
        <v>14</v>
      </c>
      <c r="H485" s="1" t="s">
        <v>452</v>
      </c>
    </row>
    <row r="486" spans="1:8">
      <c r="A486" s="1" t="s">
        <v>331</v>
      </c>
      <c r="B486" s="1" t="s">
        <v>26</v>
      </c>
      <c r="C486" s="1" t="s">
        <v>3033</v>
      </c>
      <c r="D486" s="1" t="s">
        <v>19</v>
      </c>
      <c r="E486" s="12">
        <f>F486/2</f>
        <v>3.2484999999999999</v>
      </c>
      <c r="F486" s="12">
        <f>Systems!D38</f>
        <v>6.4969999999999999</v>
      </c>
      <c r="G486" s="1" t="s">
        <v>14</v>
      </c>
      <c r="H486" s="1" t="s">
        <v>452</v>
      </c>
    </row>
    <row r="487" spans="1:8" ht="16.5">
      <c r="A487" s="1" t="s">
        <v>1017</v>
      </c>
      <c r="B487" s="1" t="s">
        <v>26</v>
      </c>
      <c r="C487" s="1" t="s">
        <v>3034</v>
      </c>
      <c r="D487" s="1" t="s">
        <v>38</v>
      </c>
      <c r="E487" s="12">
        <f>100*F487</f>
        <v>4221.1008999999995</v>
      </c>
      <c r="F487" s="12">
        <f>Systems!H38</f>
        <v>42.211008999999997</v>
      </c>
      <c r="G487" s="1" t="s">
        <v>39</v>
      </c>
      <c r="H487" s="1" t="s">
        <v>452</v>
      </c>
    </row>
    <row r="488" spans="1:8" ht="16.5">
      <c r="A488" s="1" t="s">
        <v>579</v>
      </c>
      <c r="B488" s="1" t="s">
        <v>26</v>
      </c>
      <c r="C488" s="1" t="s">
        <v>2936</v>
      </c>
      <c r="D488" s="1" t="s">
        <v>32</v>
      </c>
      <c r="E488" s="12">
        <f>F488</f>
        <v>1.5E-3</v>
      </c>
      <c r="F488" s="12">
        <f>Systems!T38</f>
        <v>1.5E-3</v>
      </c>
      <c r="G488" s="1" t="s">
        <v>33</v>
      </c>
      <c r="H488" s="1" t="s">
        <v>452</v>
      </c>
    </row>
    <row r="489" spans="1:8" ht="16.5">
      <c r="A489" s="1" t="s">
        <v>579</v>
      </c>
      <c r="B489" s="1" t="s">
        <v>26</v>
      </c>
      <c r="C489" s="1" t="s">
        <v>2935</v>
      </c>
      <c r="D489" s="1" t="s">
        <v>32</v>
      </c>
      <c r="E489" s="12">
        <f>F489</f>
        <v>5.0000000000000001E-4</v>
      </c>
      <c r="F489" s="12">
        <f>Systems!P38</f>
        <v>5.0000000000000001E-4</v>
      </c>
      <c r="G489" s="1" t="s">
        <v>33</v>
      </c>
      <c r="H489" s="1" t="s">
        <v>452</v>
      </c>
    </row>
    <row r="490" spans="1:8">
      <c r="A490" s="15" t="s">
        <v>1252</v>
      </c>
      <c r="B490" s="1" t="s">
        <v>26</v>
      </c>
      <c r="C490" s="1" t="s">
        <v>17</v>
      </c>
      <c r="D490" s="1" t="s">
        <v>20</v>
      </c>
      <c r="E490" s="12">
        <f>200*F490</f>
        <v>97.899999999999991</v>
      </c>
      <c r="F490" s="12">
        <f>Systems!L38</f>
        <v>0.48949999999999999</v>
      </c>
      <c r="G490" s="1" t="s">
        <v>23</v>
      </c>
      <c r="H490" s="1" t="s">
        <v>452</v>
      </c>
    </row>
    <row r="491" spans="1:8">
      <c r="A491" s="1" t="s">
        <v>1172</v>
      </c>
      <c r="B491" s="1" t="s">
        <v>26</v>
      </c>
      <c r="C491" s="1" t="s">
        <v>17</v>
      </c>
      <c r="D491" s="1" t="s">
        <v>20</v>
      </c>
      <c r="E491" s="12">
        <f>400*F491</f>
        <v>195.79999999999998</v>
      </c>
      <c r="F491" s="12">
        <f>Systems!L38</f>
        <v>0.48949999999999999</v>
      </c>
      <c r="G491" s="1" t="s">
        <v>23</v>
      </c>
      <c r="H491" s="1" t="s">
        <v>452</v>
      </c>
    </row>
    <row r="492" spans="1:8">
      <c r="A492" s="1" t="s">
        <v>1389</v>
      </c>
      <c r="B492" s="1" t="s">
        <v>26</v>
      </c>
      <c r="C492" s="1" t="s">
        <v>17</v>
      </c>
      <c r="D492" s="1" t="s">
        <v>20</v>
      </c>
      <c r="E492" s="12">
        <f>165*F492</f>
        <v>80.767499999999998</v>
      </c>
      <c r="F492" s="12">
        <f>Systems!L38</f>
        <v>0.48949999999999999</v>
      </c>
      <c r="G492" s="1" t="s">
        <v>23</v>
      </c>
      <c r="H492" s="1" t="s">
        <v>452</v>
      </c>
    </row>
    <row r="493" spans="1:8">
      <c r="A493" s="1" t="s">
        <v>815</v>
      </c>
      <c r="B493" s="1" t="s">
        <v>26</v>
      </c>
      <c r="C493" s="1" t="s">
        <v>17</v>
      </c>
      <c r="D493" s="1" t="s">
        <v>20</v>
      </c>
      <c r="E493" s="12">
        <f>F493</f>
        <v>0.48949999999999999</v>
      </c>
      <c r="F493" s="12">
        <f>Systems!L38</f>
        <v>0.48949999999999999</v>
      </c>
      <c r="G493" s="1" t="s">
        <v>23</v>
      </c>
      <c r="H493" s="1" t="s">
        <v>452</v>
      </c>
    </row>
    <row r="494" spans="1:8">
      <c r="A494" s="1" t="s">
        <v>1988</v>
      </c>
      <c r="B494" s="1" t="s">
        <v>26</v>
      </c>
      <c r="C494" s="1" t="s">
        <v>17</v>
      </c>
      <c r="D494" s="1" t="s">
        <v>20</v>
      </c>
      <c r="E494" s="12">
        <f>F494/32</f>
        <v>1.5296875E-2</v>
      </c>
      <c r="F494" s="12">
        <f>Systems!L38</f>
        <v>0.48949999999999999</v>
      </c>
      <c r="G494" s="1" t="s">
        <v>23</v>
      </c>
      <c r="H494" s="1" t="s">
        <v>452</v>
      </c>
    </row>
    <row r="495" spans="1:8">
      <c r="A495" s="1" t="s">
        <v>2015</v>
      </c>
      <c r="B495" s="1" t="s">
        <v>26</v>
      </c>
      <c r="C495" s="1" t="s">
        <v>17</v>
      </c>
      <c r="D495" s="1" t="s">
        <v>20</v>
      </c>
      <c r="E495" s="12">
        <f>F495/2</f>
        <v>0.24475</v>
      </c>
      <c r="F495" s="12">
        <f>Systems!L38</f>
        <v>0.48949999999999999</v>
      </c>
      <c r="G495" s="1" t="s">
        <v>23</v>
      </c>
      <c r="H495" s="1" t="s">
        <v>452</v>
      </c>
    </row>
    <row r="496" spans="1:8">
      <c r="A496" s="1" t="s">
        <v>2170</v>
      </c>
      <c r="B496" s="1" t="s">
        <v>26</v>
      </c>
      <c r="C496" s="1" t="s">
        <v>17</v>
      </c>
      <c r="D496" s="1" t="s">
        <v>20</v>
      </c>
      <c r="E496" s="12">
        <f>F496/16</f>
        <v>3.0593749999999999E-2</v>
      </c>
      <c r="F496" s="12">
        <f>Systems!L38</f>
        <v>0.48949999999999999</v>
      </c>
      <c r="G496" s="1" t="s">
        <v>23</v>
      </c>
      <c r="H496" s="1" t="s">
        <v>452</v>
      </c>
    </row>
    <row r="497" spans="1:8">
      <c r="A497" s="1" t="s">
        <v>2357</v>
      </c>
      <c r="B497" s="1" t="s">
        <v>26</v>
      </c>
      <c r="C497" s="1" t="s">
        <v>17</v>
      </c>
      <c r="D497" s="1" t="s">
        <v>20</v>
      </c>
      <c r="E497" s="12">
        <f>100*F497</f>
        <v>48.949999999999996</v>
      </c>
      <c r="F497" s="12">
        <f>Systems!L38</f>
        <v>0.48949999999999999</v>
      </c>
      <c r="G497" s="1" t="s">
        <v>23</v>
      </c>
      <c r="H497" s="1" t="s">
        <v>452</v>
      </c>
    </row>
    <row r="498" spans="1:8">
      <c r="A498" s="1" t="s">
        <v>2445</v>
      </c>
      <c r="B498" s="1" t="s">
        <v>26</v>
      </c>
      <c r="C498" s="1" t="s">
        <v>17</v>
      </c>
      <c r="D498" s="1" t="s">
        <v>20</v>
      </c>
      <c r="E498" s="12">
        <f>300*F498</f>
        <v>146.85</v>
      </c>
      <c r="F498" s="12">
        <f>Systems!L38</f>
        <v>0.48949999999999999</v>
      </c>
      <c r="G498" s="1" t="s">
        <v>23</v>
      </c>
      <c r="H498" s="1" t="s">
        <v>452</v>
      </c>
    </row>
    <row r="499" spans="1:8">
      <c r="A499" s="1" t="s">
        <v>2570</v>
      </c>
      <c r="B499" s="1" t="s">
        <v>26</v>
      </c>
      <c r="C499" s="1" t="s">
        <v>17</v>
      </c>
      <c r="D499" s="1" t="s">
        <v>20</v>
      </c>
      <c r="E499" s="12">
        <f>8*F499</f>
        <v>3.9159999999999999</v>
      </c>
      <c r="F499" s="12">
        <f>Systems!L38</f>
        <v>0.48949999999999999</v>
      </c>
      <c r="G499" s="1" t="s">
        <v>23</v>
      </c>
      <c r="H499" s="1" t="s">
        <v>452</v>
      </c>
    </row>
    <row r="500" spans="1:8">
      <c r="A500" s="248"/>
      <c r="B500" s="248"/>
      <c r="C500" s="248"/>
      <c r="D500" s="248"/>
      <c r="E500" s="250"/>
      <c r="F500" s="250"/>
      <c r="G500" s="248"/>
      <c r="H500" s="248"/>
    </row>
    <row r="501" spans="1:8">
      <c r="A501" s="1" t="s">
        <v>1311</v>
      </c>
      <c r="B501" s="1" t="s">
        <v>26</v>
      </c>
      <c r="C501" s="1" t="s">
        <v>3033</v>
      </c>
      <c r="D501" s="1" t="s">
        <v>19</v>
      </c>
      <c r="E501" s="12">
        <f>20*F501/3</f>
        <v>2.2222222222222219</v>
      </c>
      <c r="F501" s="12">
        <f>Systems!D39</f>
        <v>0.33333333333333331</v>
      </c>
      <c r="G501" s="1" t="s">
        <v>14</v>
      </c>
      <c r="H501" s="1" t="s">
        <v>446</v>
      </c>
    </row>
    <row r="502" spans="1:8">
      <c r="A502" s="1" t="s">
        <v>1944</v>
      </c>
      <c r="B502" s="1" t="s">
        <v>26</v>
      </c>
      <c r="C502" s="1" t="s">
        <v>3033</v>
      </c>
      <c r="D502" s="1" t="s">
        <v>19</v>
      </c>
      <c r="E502" s="12">
        <f>20000*F502</f>
        <v>6666.6666666666661</v>
      </c>
      <c r="F502" s="12">
        <f>Systems!D39</f>
        <v>0.33333333333333331</v>
      </c>
      <c r="G502" s="1" t="s">
        <v>14</v>
      </c>
      <c r="H502" s="1" t="s">
        <v>446</v>
      </c>
    </row>
    <row r="503" spans="1:8">
      <c r="A503" s="1" t="s">
        <v>1945</v>
      </c>
      <c r="B503" s="1" t="s">
        <v>26</v>
      </c>
      <c r="C503" s="1" t="s">
        <v>3033</v>
      </c>
      <c r="D503" s="1" t="s">
        <v>19</v>
      </c>
      <c r="E503" s="12">
        <f>20000*F503</f>
        <v>6666.6666666666661</v>
      </c>
      <c r="F503" s="12">
        <f>Systems!D39</f>
        <v>0.33333333333333331</v>
      </c>
      <c r="G503" s="1" t="s">
        <v>14</v>
      </c>
      <c r="H503" s="1" t="s">
        <v>446</v>
      </c>
    </row>
    <row r="504" spans="1:8">
      <c r="A504" s="1" t="s">
        <v>2215</v>
      </c>
      <c r="B504" s="1" t="s">
        <v>26</v>
      </c>
      <c r="C504" s="1" t="s">
        <v>3033</v>
      </c>
      <c r="D504" s="1" t="s">
        <v>19</v>
      </c>
      <c r="E504" s="12">
        <f>2*F504/3</f>
        <v>0.22222222222222221</v>
      </c>
      <c r="F504" s="12">
        <f>Systems!D39</f>
        <v>0.33333333333333331</v>
      </c>
      <c r="G504" s="1" t="s">
        <v>14</v>
      </c>
      <c r="H504" s="1" t="s">
        <v>446</v>
      </c>
    </row>
    <row r="505" spans="1:8">
      <c r="A505" s="1" t="s">
        <v>4421</v>
      </c>
      <c r="B505" s="1" t="s">
        <v>26</v>
      </c>
      <c r="C505" s="1" t="s">
        <v>3033</v>
      </c>
      <c r="D505" s="1" t="s">
        <v>19</v>
      </c>
      <c r="E505" s="12">
        <f>5*F505</f>
        <v>1.6666666666666665</v>
      </c>
      <c r="F505" s="12">
        <f>Systems!D39</f>
        <v>0.33333333333333331</v>
      </c>
      <c r="G505" s="1" t="s">
        <v>14</v>
      </c>
      <c r="H505" s="1" t="s">
        <v>446</v>
      </c>
    </row>
    <row r="506" spans="1:8">
      <c r="A506" s="1" t="s">
        <v>824</v>
      </c>
      <c r="B506" s="1" t="s">
        <v>26</v>
      </c>
      <c r="C506" s="1" t="s">
        <v>3033</v>
      </c>
      <c r="D506" s="1" t="s">
        <v>19</v>
      </c>
      <c r="E506" s="12">
        <f>F506</f>
        <v>0.33333333333333331</v>
      </c>
      <c r="F506" s="12">
        <f>Systems!D39</f>
        <v>0.33333333333333331</v>
      </c>
      <c r="G506" s="1" t="s">
        <v>14</v>
      </c>
      <c r="H506" s="1" t="s">
        <v>446</v>
      </c>
    </row>
    <row r="507" spans="1:8">
      <c r="A507" s="1" t="s">
        <v>2286</v>
      </c>
      <c r="B507" s="1" t="s">
        <v>26</v>
      </c>
      <c r="C507" s="1" t="s">
        <v>3033</v>
      </c>
      <c r="D507" s="1" t="s">
        <v>19</v>
      </c>
      <c r="E507" s="12">
        <f>F507/12</f>
        <v>2.7777777777777776E-2</v>
      </c>
      <c r="F507" s="12">
        <f>Systems!D39</f>
        <v>0.33333333333333331</v>
      </c>
      <c r="G507" s="1" t="s">
        <v>14</v>
      </c>
      <c r="H507" s="1" t="s">
        <v>446</v>
      </c>
    </row>
    <row r="508" spans="1:8">
      <c r="A508" s="1" t="s">
        <v>2307</v>
      </c>
      <c r="B508" s="1" t="s">
        <v>26</v>
      </c>
      <c r="C508" s="1" t="s">
        <v>3033</v>
      </c>
      <c r="D508" s="1" t="s">
        <v>19</v>
      </c>
      <c r="E508" s="12">
        <f>F508/12</f>
        <v>2.7777777777777776E-2</v>
      </c>
      <c r="F508" s="12">
        <f>Systems!D39</f>
        <v>0.33333333333333331</v>
      </c>
      <c r="G508" s="1" t="s">
        <v>14</v>
      </c>
      <c r="H508" s="1" t="s">
        <v>446</v>
      </c>
    </row>
    <row r="509" spans="1:8">
      <c r="A509" s="1" t="s">
        <v>821</v>
      </c>
      <c r="B509" s="1" t="s">
        <v>26</v>
      </c>
      <c r="C509" s="1" t="s">
        <v>3033</v>
      </c>
      <c r="D509" s="1" t="s">
        <v>19</v>
      </c>
      <c r="E509" s="12">
        <f>10*F509/3</f>
        <v>1.1111111111111109</v>
      </c>
      <c r="F509" s="12">
        <f>Systems!D39</f>
        <v>0.33333333333333331</v>
      </c>
      <c r="G509" s="1" t="s">
        <v>14</v>
      </c>
      <c r="H509" s="1" t="s">
        <v>446</v>
      </c>
    </row>
    <row r="510" spans="1:8" ht="16.5">
      <c r="A510" s="1" t="s">
        <v>1188</v>
      </c>
      <c r="B510" s="1" t="s">
        <v>26</v>
      </c>
      <c r="C510" s="1" t="s">
        <v>3034</v>
      </c>
      <c r="D510" s="1" t="s">
        <v>38</v>
      </c>
      <c r="E510" s="12">
        <f>8*F510</f>
        <v>36300</v>
      </c>
      <c r="F510" s="12">
        <f>Systems!H39</f>
        <v>4537.5</v>
      </c>
      <c r="G510" s="1" t="s">
        <v>39</v>
      </c>
      <c r="H510" s="1" t="s">
        <v>446</v>
      </c>
    </row>
    <row r="511" spans="1:8" ht="16.5">
      <c r="A511" s="1" t="s">
        <v>2420</v>
      </c>
      <c r="B511" s="1" t="s">
        <v>26</v>
      </c>
      <c r="C511" s="1" t="s">
        <v>3034</v>
      </c>
      <c r="D511" s="1" t="s">
        <v>38</v>
      </c>
      <c r="E511" s="12">
        <f>F511</f>
        <v>4537.5</v>
      </c>
      <c r="F511" s="12">
        <f>Systems!H39</f>
        <v>4537.5</v>
      </c>
      <c r="G511" s="1" t="s">
        <v>39</v>
      </c>
      <c r="H511" s="1" t="s">
        <v>446</v>
      </c>
    </row>
    <row r="512" spans="1:8" ht="16.5">
      <c r="A512" s="1" t="s">
        <v>2614</v>
      </c>
      <c r="B512" s="1" t="s">
        <v>26</v>
      </c>
      <c r="C512" s="1" t="s">
        <v>3034</v>
      </c>
      <c r="D512" s="1" t="s">
        <v>38</v>
      </c>
      <c r="E512" s="12">
        <f>F512</f>
        <v>3500</v>
      </c>
      <c r="F512" s="12">
        <f>Systems!H42</f>
        <v>3500</v>
      </c>
      <c r="G512" s="1" t="s">
        <v>39</v>
      </c>
      <c r="H512" s="1" t="s">
        <v>446</v>
      </c>
    </row>
    <row r="513" spans="1:8" ht="16.5">
      <c r="A513" s="1" t="s">
        <v>4422</v>
      </c>
      <c r="B513" s="1" t="s">
        <v>26</v>
      </c>
      <c r="C513" s="1" t="s">
        <v>2936</v>
      </c>
      <c r="D513" s="1" t="s">
        <v>32</v>
      </c>
      <c r="E513" s="12">
        <f>6*F513</f>
        <v>2.4455999999999999E-2</v>
      </c>
      <c r="F513" s="12">
        <f>Systems!T40</f>
        <v>4.0759999999999998E-3</v>
      </c>
      <c r="G513" s="1" t="s">
        <v>33</v>
      </c>
      <c r="H513" s="1" t="s">
        <v>446</v>
      </c>
    </row>
    <row r="514" spans="1:8" ht="16.5">
      <c r="A514" s="1" t="s">
        <v>4423</v>
      </c>
      <c r="B514" s="1" t="s">
        <v>26</v>
      </c>
      <c r="C514" s="1" t="s">
        <v>2936</v>
      </c>
      <c r="D514" s="1" t="s">
        <v>32</v>
      </c>
      <c r="E514" s="12">
        <f>F514</f>
        <v>4.0759999999999998E-3</v>
      </c>
      <c r="F514" s="12">
        <f>Systems!T40</f>
        <v>4.0759999999999998E-3</v>
      </c>
      <c r="G514" s="1" t="s">
        <v>33</v>
      </c>
      <c r="H514" s="1" t="s">
        <v>446</v>
      </c>
    </row>
    <row r="515" spans="1:8" ht="16.5">
      <c r="A515" s="1" t="s">
        <v>4424</v>
      </c>
      <c r="B515" s="1" t="s">
        <v>26</v>
      </c>
      <c r="C515" s="1" t="s">
        <v>2936</v>
      </c>
      <c r="D515" s="1" t="s">
        <v>32</v>
      </c>
      <c r="E515" s="12">
        <f>F515/2</f>
        <v>2.0379999999999999E-3</v>
      </c>
      <c r="F515" s="12">
        <f>Systems!T40</f>
        <v>4.0759999999999998E-3</v>
      </c>
      <c r="G515" s="1" t="s">
        <v>33</v>
      </c>
      <c r="H515" s="1" t="s">
        <v>446</v>
      </c>
    </row>
    <row r="516" spans="1:8" ht="16.5">
      <c r="A516" s="1" t="s">
        <v>4426</v>
      </c>
      <c r="B516" s="1" t="s">
        <v>26</v>
      </c>
      <c r="C516" s="1" t="s">
        <v>2936</v>
      </c>
      <c r="D516" s="1" t="s">
        <v>32</v>
      </c>
      <c r="E516" s="12">
        <f>F516</f>
        <v>3.7037037037037035E-2</v>
      </c>
      <c r="F516" s="12">
        <f>Systems!T39</f>
        <v>3.7037037037037035E-2</v>
      </c>
      <c r="G516" s="1" t="s">
        <v>33</v>
      </c>
      <c r="H516" s="1" t="s">
        <v>446</v>
      </c>
    </row>
    <row r="517" spans="1:8" ht="16.5">
      <c r="A517" s="1" t="s">
        <v>4425</v>
      </c>
      <c r="B517" s="1" t="s">
        <v>26</v>
      </c>
      <c r="C517" s="1" t="s">
        <v>2936</v>
      </c>
      <c r="D517" s="1" t="s">
        <v>32</v>
      </c>
      <c r="E517" s="12">
        <f>60*F517</f>
        <v>0.24456</v>
      </c>
      <c r="F517" s="12">
        <f>Systems!T40</f>
        <v>4.0759999999999998E-3</v>
      </c>
      <c r="G517" s="1" t="s">
        <v>33</v>
      </c>
      <c r="H517" s="1" t="s">
        <v>446</v>
      </c>
    </row>
    <row r="518" spans="1:8" ht="16.5">
      <c r="A518" s="1" t="s">
        <v>4427</v>
      </c>
      <c r="B518" s="1" t="s">
        <v>26</v>
      </c>
      <c r="C518" s="1" t="s">
        <v>2936</v>
      </c>
      <c r="D518" s="1" t="s">
        <v>32</v>
      </c>
      <c r="E518" s="12">
        <f>90*F518</f>
        <v>0.36684</v>
      </c>
      <c r="F518" s="12">
        <f>Systems!T40</f>
        <v>4.0759999999999998E-3</v>
      </c>
      <c r="G518" s="1" t="s">
        <v>33</v>
      </c>
      <c r="H518" s="1" t="s">
        <v>446</v>
      </c>
    </row>
    <row r="519" spans="1:8" ht="16.5">
      <c r="A519" s="1" t="s">
        <v>4428</v>
      </c>
      <c r="B519" s="1" t="s">
        <v>26</v>
      </c>
      <c r="C519" s="1" t="s">
        <v>2936</v>
      </c>
      <c r="D519" s="1" t="s">
        <v>32</v>
      </c>
      <c r="E519" s="12">
        <f>180*F519</f>
        <v>0.73368</v>
      </c>
      <c r="F519" s="12">
        <f>Systems!T40</f>
        <v>4.0759999999999998E-3</v>
      </c>
      <c r="G519" s="1" t="s">
        <v>33</v>
      </c>
      <c r="H519" s="1" t="s">
        <v>446</v>
      </c>
    </row>
    <row r="520" spans="1:8" ht="16.5">
      <c r="A520" s="1" t="s">
        <v>825</v>
      </c>
      <c r="B520" s="1" t="s">
        <v>26</v>
      </c>
      <c r="C520" s="1" t="s">
        <v>2935</v>
      </c>
      <c r="D520" s="1" t="s">
        <v>32</v>
      </c>
      <c r="E520" s="12">
        <f>6*F520</f>
        <v>3.1944E-2</v>
      </c>
      <c r="F520" s="12">
        <f>Systems!P39</f>
        <v>5.3239999999999997E-3</v>
      </c>
      <c r="G520" s="1" t="s">
        <v>33</v>
      </c>
      <c r="H520" s="1" t="s">
        <v>446</v>
      </c>
    </row>
    <row r="521" spans="1:8" ht="16.5">
      <c r="A521" s="1" t="s">
        <v>4429</v>
      </c>
      <c r="B521" s="1" t="s">
        <v>26</v>
      </c>
      <c r="C521" s="1" t="s">
        <v>2935</v>
      </c>
      <c r="D521" s="1" t="s">
        <v>32</v>
      </c>
      <c r="E521" s="12">
        <f>6*F521</f>
        <v>2.1144E-2</v>
      </c>
      <c r="F521" s="12">
        <f>Systems!P40</f>
        <v>3.5239999999999998E-3</v>
      </c>
      <c r="G521" s="1" t="s">
        <v>33</v>
      </c>
      <c r="H521" s="1" t="s">
        <v>446</v>
      </c>
    </row>
    <row r="522" spans="1:8" ht="16.5">
      <c r="A522" s="1" t="s">
        <v>4430</v>
      </c>
      <c r="B522" s="1" t="s">
        <v>26</v>
      </c>
      <c r="C522" s="1" t="s">
        <v>2935</v>
      </c>
      <c r="D522" s="1" t="s">
        <v>32</v>
      </c>
      <c r="E522" s="12">
        <f>6*F522</f>
        <v>2.1755999999999998E-2</v>
      </c>
      <c r="F522" s="12">
        <f>Systems!P41</f>
        <v>3.6259999999999999E-3</v>
      </c>
      <c r="G522" s="1" t="s">
        <v>33</v>
      </c>
      <c r="H522" s="1" t="s">
        <v>446</v>
      </c>
    </row>
    <row r="523" spans="1:8" ht="16.5">
      <c r="A523" s="1" t="s">
        <v>1189</v>
      </c>
      <c r="B523" s="1" t="s">
        <v>26</v>
      </c>
      <c r="C523" s="1" t="s">
        <v>2935</v>
      </c>
      <c r="D523" s="1" t="s">
        <v>32</v>
      </c>
      <c r="E523" s="12">
        <f>F523</f>
        <v>5.3239999999999997E-3</v>
      </c>
      <c r="F523" s="12">
        <f>Systems!P39</f>
        <v>5.3239999999999997E-3</v>
      </c>
      <c r="G523" s="1" t="s">
        <v>33</v>
      </c>
      <c r="H523" s="1" t="s">
        <v>446</v>
      </c>
    </row>
    <row r="524" spans="1:8" ht="16.5">
      <c r="A524" s="1" t="s">
        <v>4431</v>
      </c>
      <c r="B524" s="1" t="s">
        <v>26</v>
      </c>
      <c r="C524" s="1" t="s">
        <v>2935</v>
      </c>
      <c r="D524" s="1" t="s">
        <v>32</v>
      </c>
      <c r="E524" s="12">
        <f>F524</f>
        <v>3.5239999999999998E-3</v>
      </c>
      <c r="F524" s="12">
        <f>Systems!P40</f>
        <v>3.5239999999999998E-3</v>
      </c>
      <c r="G524" s="1" t="s">
        <v>33</v>
      </c>
      <c r="H524" s="1" t="s">
        <v>446</v>
      </c>
    </row>
    <row r="525" spans="1:8" ht="16.5">
      <c r="A525" s="1" t="s">
        <v>4432</v>
      </c>
      <c r="B525" s="1" t="s">
        <v>26</v>
      </c>
      <c r="C525" s="1" t="s">
        <v>2935</v>
      </c>
      <c r="D525" s="1" t="s">
        <v>32</v>
      </c>
      <c r="E525" s="12">
        <f>F525</f>
        <v>3.6259999999999999E-3</v>
      </c>
      <c r="F525" s="12">
        <f>Systems!P41</f>
        <v>3.6259999999999999E-3</v>
      </c>
      <c r="G525" s="1" t="s">
        <v>33</v>
      </c>
      <c r="H525" s="1" t="s">
        <v>446</v>
      </c>
    </row>
    <row r="526" spans="1:8" ht="16.5">
      <c r="A526" s="1" t="s">
        <v>1347</v>
      </c>
      <c r="B526" s="1" t="s">
        <v>26</v>
      </c>
      <c r="C526" s="1" t="s">
        <v>2935</v>
      </c>
      <c r="D526" s="1" t="s">
        <v>32</v>
      </c>
      <c r="E526" s="12">
        <f>F526/2</f>
        <v>2.6619999999999999E-3</v>
      </c>
      <c r="F526" s="12">
        <f>Systems!P39</f>
        <v>5.3239999999999997E-3</v>
      </c>
      <c r="G526" s="1" t="s">
        <v>33</v>
      </c>
      <c r="H526" s="1" t="s">
        <v>446</v>
      </c>
    </row>
    <row r="527" spans="1:8" ht="16.5">
      <c r="A527" s="1" t="s">
        <v>4433</v>
      </c>
      <c r="B527" s="1" t="s">
        <v>26</v>
      </c>
      <c r="C527" s="1" t="s">
        <v>2935</v>
      </c>
      <c r="D527" s="1" t="s">
        <v>32</v>
      </c>
      <c r="E527" s="12">
        <f>F527/2</f>
        <v>1.7619999999999999E-3</v>
      </c>
      <c r="F527" s="12">
        <f>Systems!P40</f>
        <v>3.5239999999999998E-3</v>
      </c>
      <c r="G527" s="1" t="s">
        <v>33</v>
      </c>
      <c r="H527" s="1" t="s">
        <v>446</v>
      </c>
    </row>
    <row r="528" spans="1:8" ht="16.5">
      <c r="A528" s="1" t="s">
        <v>4434</v>
      </c>
      <c r="B528" s="1" t="s">
        <v>26</v>
      </c>
      <c r="C528" s="1" t="s">
        <v>2935</v>
      </c>
      <c r="D528" s="1" t="s">
        <v>32</v>
      </c>
      <c r="E528" s="12">
        <f>F528/2</f>
        <v>1.8129999999999999E-3</v>
      </c>
      <c r="F528" s="12">
        <f>Systems!P41</f>
        <v>3.6259999999999999E-3</v>
      </c>
      <c r="G528" s="1" t="s">
        <v>33</v>
      </c>
      <c r="H528" s="1" t="s">
        <v>446</v>
      </c>
    </row>
    <row r="529" spans="1:8" ht="16.5">
      <c r="A529" s="1" t="s">
        <v>1360</v>
      </c>
      <c r="B529" s="1" t="s">
        <v>26</v>
      </c>
      <c r="C529" s="1" t="s">
        <v>2935</v>
      </c>
      <c r="D529" s="1" t="s">
        <v>32</v>
      </c>
      <c r="E529" s="12">
        <f>80*F529</f>
        <v>0.08</v>
      </c>
      <c r="F529" s="12">
        <f>'Physical Definitions'!E9</f>
        <v>1E-3</v>
      </c>
      <c r="G529" s="1" t="s">
        <v>33</v>
      </c>
      <c r="H529" s="1" t="s">
        <v>446</v>
      </c>
    </row>
    <row r="530" spans="1:8" ht="16.5">
      <c r="A530" s="1" t="s">
        <v>2099</v>
      </c>
      <c r="B530" s="1" t="s">
        <v>26</v>
      </c>
      <c r="C530" s="1" t="s">
        <v>2935</v>
      </c>
      <c r="D530" s="1" t="s">
        <v>32</v>
      </c>
      <c r="E530" s="12">
        <f>60*F530</f>
        <v>0.31944</v>
      </c>
      <c r="F530" s="12">
        <f>Systems!P39</f>
        <v>5.3239999999999997E-3</v>
      </c>
      <c r="G530" s="1" t="s">
        <v>33</v>
      </c>
      <c r="H530" s="1" t="s">
        <v>446</v>
      </c>
    </row>
    <row r="531" spans="1:8" ht="16.5">
      <c r="A531" s="1" t="s">
        <v>4435</v>
      </c>
      <c r="B531" s="1" t="s">
        <v>26</v>
      </c>
      <c r="C531" s="1" t="s">
        <v>2935</v>
      </c>
      <c r="D531" s="1" t="s">
        <v>32</v>
      </c>
      <c r="E531" s="12">
        <f>60*F531</f>
        <v>0.21143999999999999</v>
      </c>
      <c r="F531" s="12">
        <f>Systems!P40</f>
        <v>3.5239999999999998E-3</v>
      </c>
      <c r="G531" s="1" t="s">
        <v>33</v>
      </c>
      <c r="H531" s="1" t="s">
        <v>446</v>
      </c>
    </row>
    <row r="532" spans="1:8" ht="16.5">
      <c r="A532" s="1" t="s">
        <v>4436</v>
      </c>
      <c r="B532" s="1" t="s">
        <v>26</v>
      </c>
      <c r="C532" s="1" t="s">
        <v>2935</v>
      </c>
      <c r="D532" s="1" t="s">
        <v>32</v>
      </c>
      <c r="E532" s="12">
        <f>60*F532</f>
        <v>0.21756</v>
      </c>
      <c r="F532" s="12">
        <f>Systems!P41</f>
        <v>3.6259999999999999E-3</v>
      </c>
      <c r="G532" s="1" t="s">
        <v>33</v>
      </c>
      <c r="H532" s="1" t="s">
        <v>446</v>
      </c>
    </row>
    <row r="533" spans="1:8" ht="16.5">
      <c r="A533" s="1" t="s">
        <v>2277</v>
      </c>
      <c r="B533" s="1" t="s">
        <v>26</v>
      </c>
      <c r="C533" s="1" t="s">
        <v>2935</v>
      </c>
      <c r="D533" s="1" t="s">
        <v>32</v>
      </c>
      <c r="E533" s="12">
        <f>90*F533</f>
        <v>0.47915999999999997</v>
      </c>
      <c r="F533" s="12">
        <f>Systems!P39</f>
        <v>5.3239999999999997E-3</v>
      </c>
      <c r="G533" s="1" t="s">
        <v>33</v>
      </c>
      <c r="H533" s="1" t="s">
        <v>446</v>
      </c>
    </row>
    <row r="534" spans="1:8" ht="16.5">
      <c r="A534" s="1" t="s">
        <v>4437</v>
      </c>
      <c r="B534" s="1" t="s">
        <v>26</v>
      </c>
      <c r="C534" s="1" t="s">
        <v>2935</v>
      </c>
      <c r="D534" s="1" t="s">
        <v>32</v>
      </c>
      <c r="E534" s="12">
        <f>90*F534</f>
        <v>0.31716</v>
      </c>
      <c r="F534" s="12">
        <f>Systems!P40</f>
        <v>3.5239999999999998E-3</v>
      </c>
      <c r="G534" s="1" t="s">
        <v>33</v>
      </c>
      <c r="H534" s="1" t="s">
        <v>446</v>
      </c>
    </row>
    <row r="535" spans="1:8" ht="16.5">
      <c r="A535" s="1" t="s">
        <v>4438</v>
      </c>
      <c r="B535" s="1" t="s">
        <v>26</v>
      </c>
      <c r="C535" s="1" t="s">
        <v>2935</v>
      </c>
      <c r="D535" s="1" t="s">
        <v>32</v>
      </c>
      <c r="E535" s="12">
        <f>90*F535</f>
        <v>0.32633999999999996</v>
      </c>
      <c r="F535" s="12">
        <f>Systems!P41</f>
        <v>3.6259999999999999E-3</v>
      </c>
      <c r="G535" s="1" t="s">
        <v>33</v>
      </c>
      <c r="H535" s="1" t="s">
        <v>446</v>
      </c>
    </row>
    <row r="536" spans="1:8" ht="16.5">
      <c r="A536" s="1" t="s">
        <v>2681</v>
      </c>
      <c r="B536" s="1" t="s">
        <v>26</v>
      </c>
      <c r="C536" s="1" t="s">
        <v>2935</v>
      </c>
      <c r="D536" s="1" t="s">
        <v>32</v>
      </c>
      <c r="E536" s="12">
        <f>180*F536</f>
        <v>0.95831999999999995</v>
      </c>
      <c r="F536" s="12">
        <f>Systems!P39</f>
        <v>5.3239999999999997E-3</v>
      </c>
      <c r="G536" s="1" t="s">
        <v>33</v>
      </c>
      <c r="H536" s="1" t="s">
        <v>446</v>
      </c>
    </row>
    <row r="537" spans="1:8" ht="16.5">
      <c r="A537" s="1" t="s">
        <v>4439</v>
      </c>
      <c r="B537" s="1" t="s">
        <v>26</v>
      </c>
      <c r="C537" s="1" t="s">
        <v>2935</v>
      </c>
      <c r="D537" s="1" t="s">
        <v>32</v>
      </c>
      <c r="E537" s="12">
        <f>180*F537</f>
        <v>0.63431999999999999</v>
      </c>
      <c r="F537" s="12">
        <f>Systems!P40</f>
        <v>3.5239999999999998E-3</v>
      </c>
      <c r="G537" s="1" t="s">
        <v>33</v>
      </c>
      <c r="H537" s="1" t="s">
        <v>446</v>
      </c>
    </row>
    <row r="538" spans="1:8" ht="16.5">
      <c r="A538" s="1" t="s">
        <v>4440</v>
      </c>
      <c r="B538" s="1" t="s">
        <v>26</v>
      </c>
      <c r="C538" s="1" t="s">
        <v>2935</v>
      </c>
      <c r="D538" s="1" t="s">
        <v>32</v>
      </c>
      <c r="E538" s="12">
        <f>180*F538</f>
        <v>0.65267999999999993</v>
      </c>
      <c r="F538" s="12">
        <f>Systems!P41</f>
        <v>3.6259999999999999E-3</v>
      </c>
      <c r="G538" s="1" t="s">
        <v>33</v>
      </c>
      <c r="H538" s="1" t="s">
        <v>446</v>
      </c>
    </row>
    <row r="539" spans="1:8">
      <c r="A539" s="1" t="s">
        <v>1018</v>
      </c>
      <c r="B539" s="1" t="s">
        <v>26</v>
      </c>
      <c r="C539" s="1" t="s">
        <v>17</v>
      </c>
      <c r="D539" s="1" t="s">
        <v>20</v>
      </c>
      <c r="E539" s="12">
        <f>32*F539</f>
        <v>14.6896</v>
      </c>
      <c r="F539" s="12">
        <f>Systems!L39</f>
        <v>0.45905000000000001</v>
      </c>
      <c r="G539" s="1" t="s">
        <v>23</v>
      </c>
      <c r="H539" s="1" t="s">
        <v>446</v>
      </c>
    </row>
    <row r="540" spans="1:8">
      <c r="A540" s="1" t="s">
        <v>1250</v>
      </c>
      <c r="B540" s="1" t="s">
        <v>26</v>
      </c>
      <c r="C540" s="1" t="s">
        <v>17</v>
      </c>
      <c r="D540" s="1" t="s">
        <v>20</v>
      </c>
      <c r="E540" s="12">
        <f>250*F540</f>
        <v>113.3980925</v>
      </c>
      <c r="F540" s="12">
        <f>Systems!L6</f>
        <v>0.45359237000000002</v>
      </c>
      <c r="G540" s="1" t="s">
        <v>23</v>
      </c>
      <c r="H540" s="1" t="s">
        <v>446</v>
      </c>
    </row>
    <row r="541" spans="1:8">
      <c r="A541" s="1" t="s">
        <v>822</v>
      </c>
      <c r="B541" s="1" t="s">
        <v>26</v>
      </c>
      <c r="C541" s="1" t="s">
        <v>17</v>
      </c>
      <c r="D541" s="1" t="s">
        <v>20</v>
      </c>
      <c r="E541" s="12">
        <f>F541</f>
        <v>0.45905000000000001</v>
      </c>
      <c r="F541" s="12">
        <f>Systems!L39</f>
        <v>0.45905000000000001</v>
      </c>
      <c r="G541" s="1" t="s">
        <v>23</v>
      </c>
      <c r="H541" s="1" t="s">
        <v>446</v>
      </c>
    </row>
    <row r="542" spans="1:8">
      <c r="A542" s="1" t="s">
        <v>2016</v>
      </c>
      <c r="B542" s="1" t="s">
        <v>26</v>
      </c>
      <c r="C542" s="1" t="s">
        <v>17</v>
      </c>
      <c r="D542" s="1" t="s">
        <v>20</v>
      </c>
      <c r="E542" s="12">
        <f>F542/2</f>
        <v>0.22952500000000001</v>
      </c>
      <c r="F542" s="12">
        <f>Systems!L39</f>
        <v>0.45905000000000001</v>
      </c>
      <c r="G542" s="1" t="s">
        <v>23</v>
      </c>
      <c r="H542" s="1" t="s">
        <v>446</v>
      </c>
    </row>
    <row r="543" spans="1:8">
      <c r="A543" s="1" t="s">
        <v>2169</v>
      </c>
      <c r="B543" s="1" t="s">
        <v>26</v>
      </c>
      <c r="C543" s="1" t="s">
        <v>17</v>
      </c>
      <c r="D543" s="1" t="s">
        <v>20</v>
      </c>
      <c r="E543" s="12">
        <f>F543/16</f>
        <v>2.8690625000000001E-2</v>
      </c>
      <c r="F543" s="12">
        <f>Systems!L39</f>
        <v>0.45905000000000001</v>
      </c>
      <c r="G543" s="1" t="s">
        <v>23</v>
      </c>
      <c r="H543" s="1" t="s">
        <v>446</v>
      </c>
    </row>
    <row r="544" spans="1:8">
      <c r="A544" s="1" t="s">
        <v>2174</v>
      </c>
      <c r="B544" s="1" t="s">
        <v>26</v>
      </c>
      <c r="C544" s="1" t="s">
        <v>17</v>
      </c>
      <c r="D544" s="1" t="s">
        <v>20</v>
      </c>
      <c r="E544" s="12">
        <f>F544/16</f>
        <v>2.8690625000000001E-2</v>
      </c>
      <c r="F544" s="12">
        <f>Systems!L39</f>
        <v>0.45905000000000001</v>
      </c>
      <c r="G544" s="1" t="s">
        <v>23</v>
      </c>
      <c r="H544" s="1" t="s">
        <v>446</v>
      </c>
    </row>
    <row r="545" spans="1:8">
      <c r="A545" s="1" t="s">
        <v>2357</v>
      </c>
      <c r="B545" s="1" t="s">
        <v>26</v>
      </c>
      <c r="C545" s="1" t="s">
        <v>17</v>
      </c>
      <c r="D545" s="1" t="s">
        <v>20</v>
      </c>
      <c r="E545" s="12">
        <f>128*F545</f>
        <v>58.758400000000002</v>
      </c>
      <c r="F545" s="12">
        <f>Systems!L39</f>
        <v>0.45905000000000001</v>
      </c>
      <c r="G545" s="1" t="s">
        <v>23</v>
      </c>
      <c r="H545" s="1" t="s">
        <v>446</v>
      </c>
    </row>
    <row r="546" spans="1:8">
      <c r="A546" s="1" t="s">
        <v>2682</v>
      </c>
      <c r="B546" s="1" t="s">
        <v>26</v>
      </c>
      <c r="C546" s="1" t="s">
        <v>17</v>
      </c>
      <c r="D546" s="1" t="s">
        <v>20</v>
      </c>
      <c r="E546" s="12">
        <f>1728*F546</f>
        <v>793.23840000000007</v>
      </c>
      <c r="F546" s="12">
        <f>Systems!L39</f>
        <v>0.45905000000000001</v>
      </c>
      <c r="G546" s="1" t="s">
        <v>23</v>
      </c>
      <c r="H546" s="1" t="s">
        <v>446</v>
      </c>
    </row>
    <row r="547" spans="1:8">
      <c r="A547" s="248"/>
      <c r="B547" s="248"/>
      <c r="C547" s="248"/>
      <c r="D547" s="248"/>
      <c r="E547" s="250"/>
      <c r="F547" s="250"/>
      <c r="G547" s="248"/>
      <c r="H547" s="248"/>
    </row>
    <row r="548" spans="1:8">
      <c r="A548" s="1" t="s">
        <v>1231</v>
      </c>
      <c r="B548" s="1" t="s">
        <v>26</v>
      </c>
      <c r="C548" s="1" t="s">
        <v>3033</v>
      </c>
      <c r="D548" s="1" t="s">
        <v>19</v>
      </c>
      <c r="E548" s="12">
        <f>F548</f>
        <v>0.71120000000000005</v>
      </c>
      <c r="F548" s="12">
        <f>Systems!D188</f>
        <v>0.71120000000000005</v>
      </c>
      <c r="G548" s="1" t="s">
        <v>14</v>
      </c>
      <c r="H548" s="1" t="s">
        <v>547</v>
      </c>
    </row>
    <row r="549" spans="1:8" ht="16.5">
      <c r="A549" s="1" t="s">
        <v>4441</v>
      </c>
      <c r="B549" s="1" t="s">
        <v>26</v>
      </c>
      <c r="C549" s="1" t="s">
        <v>3034</v>
      </c>
      <c r="D549" s="1" t="s">
        <v>38</v>
      </c>
      <c r="E549" s="12">
        <f>F549</f>
        <v>0.50580544000000005</v>
      </c>
      <c r="F549" s="12">
        <f>Systems!H188</f>
        <v>0.50580544000000005</v>
      </c>
      <c r="G549" s="1" t="s">
        <v>39</v>
      </c>
      <c r="H549" s="1" t="s">
        <v>547</v>
      </c>
    </row>
    <row r="550" spans="1:8" ht="16.5">
      <c r="A550" s="1" t="s">
        <v>1885</v>
      </c>
      <c r="B550" s="1" t="s">
        <v>26</v>
      </c>
      <c r="C550" s="1" t="s">
        <v>2935</v>
      </c>
      <c r="D550" s="1" t="s">
        <v>32</v>
      </c>
      <c r="E550" s="12">
        <f>F550</f>
        <v>0.02</v>
      </c>
      <c r="F550" s="12">
        <f>Systems!P188</f>
        <v>0.02</v>
      </c>
      <c r="G550" s="1" t="s">
        <v>33</v>
      </c>
      <c r="H550" s="1" t="s">
        <v>547</v>
      </c>
    </row>
    <row r="551" spans="1:8" ht="16.5">
      <c r="A551" s="1" t="s">
        <v>4442</v>
      </c>
      <c r="B551" s="1" t="s">
        <v>26</v>
      </c>
      <c r="C551" s="1" t="s">
        <v>2936</v>
      </c>
      <c r="D551" s="1" t="s">
        <v>32</v>
      </c>
      <c r="E551" s="12">
        <f>F551</f>
        <v>0.35972882892800007</v>
      </c>
      <c r="F551" s="12">
        <f>Systems!T188</f>
        <v>0.35972882892800007</v>
      </c>
      <c r="G551" s="1" t="s">
        <v>33</v>
      </c>
      <c r="H551" s="1" t="s">
        <v>547</v>
      </c>
    </row>
    <row r="552" spans="1:8">
      <c r="A552" s="1" t="s">
        <v>834</v>
      </c>
      <c r="B552" s="8" t="s">
        <v>26</v>
      </c>
      <c r="C552" s="1" t="s">
        <v>17</v>
      </c>
      <c r="D552" s="1" t="s">
        <v>20</v>
      </c>
      <c r="E552" s="12">
        <f>F552</f>
        <v>1.2700586359999999</v>
      </c>
      <c r="F552" s="12">
        <f>Systems!L188</f>
        <v>1.2700586359999999</v>
      </c>
      <c r="G552" s="1" t="s">
        <v>23</v>
      </c>
      <c r="H552" s="1" t="s">
        <v>547</v>
      </c>
    </row>
    <row r="553" spans="1:8">
      <c r="A553" s="1" t="s">
        <v>2693</v>
      </c>
      <c r="B553" s="1" t="s">
        <v>26</v>
      </c>
      <c r="C553" s="1" t="s">
        <v>17</v>
      </c>
      <c r="D553" s="1" t="s">
        <v>20</v>
      </c>
      <c r="E553" s="12">
        <f>100*F553</f>
        <v>127.0058636</v>
      </c>
      <c r="F553" s="12">
        <f>Systems!L188</f>
        <v>1.2700586359999999</v>
      </c>
      <c r="G553" s="1" t="s">
        <v>23</v>
      </c>
      <c r="H553" s="1" t="s">
        <v>547</v>
      </c>
    </row>
    <row r="554" spans="1:8">
      <c r="A554" s="248"/>
      <c r="B554" s="248"/>
      <c r="C554" s="248"/>
      <c r="D554" s="248"/>
      <c r="E554" s="250"/>
      <c r="F554" s="250"/>
      <c r="G554" s="248"/>
      <c r="H554" s="248"/>
    </row>
    <row r="555" spans="1:8">
      <c r="A555" s="18" t="s">
        <v>1254</v>
      </c>
      <c r="B555" s="1" t="s">
        <v>26</v>
      </c>
      <c r="C555" s="1" t="s">
        <v>3033</v>
      </c>
      <c r="D555" s="1" t="s">
        <v>19</v>
      </c>
      <c r="E555" s="12">
        <f>7*F555</f>
        <v>3.9116</v>
      </c>
      <c r="F555" s="12">
        <f>Systems!D45</f>
        <v>0.55879999999999996</v>
      </c>
      <c r="G555" s="1" t="s">
        <v>14</v>
      </c>
      <c r="H555" s="1" t="s">
        <v>460</v>
      </c>
    </row>
    <row r="556" spans="1:8">
      <c r="A556" s="1" t="s">
        <v>1474</v>
      </c>
      <c r="B556" s="1" t="s">
        <v>26</v>
      </c>
      <c r="C556" s="1" t="s">
        <v>3033</v>
      </c>
      <c r="D556" s="1" t="s">
        <v>19</v>
      </c>
      <c r="E556" s="12">
        <f>7000*F556</f>
        <v>3911.6</v>
      </c>
      <c r="F556" s="12">
        <f>Systems!D45</f>
        <v>0.55879999999999996</v>
      </c>
      <c r="G556" s="1" t="s">
        <v>14</v>
      </c>
      <c r="H556" s="1" t="s">
        <v>460</v>
      </c>
    </row>
    <row r="557" spans="1:8">
      <c r="A557" s="1" t="s">
        <v>1514</v>
      </c>
      <c r="B557" s="1" t="s">
        <v>26</v>
      </c>
      <c r="C557" s="1" t="s">
        <v>3033</v>
      </c>
      <c r="D557" s="1" t="s">
        <v>19</v>
      </c>
      <c r="E557" s="12">
        <f>7*F557</f>
        <v>3.9116</v>
      </c>
      <c r="F557" s="12">
        <f>Systems!D45</f>
        <v>0.55879999999999996</v>
      </c>
      <c r="G557" s="1" t="s">
        <v>14</v>
      </c>
      <c r="H557" s="1" t="s">
        <v>460</v>
      </c>
    </row>
    <row r="558" spans="1:8">
      <c r="A558" s="1" t="s">
        <v>1926</v>
      </c>
      <c r="B558" s="1" t="s">
        <v>26</v>
      </c>
      <c r="C558" s="1" t="s">
        <v>3033</v>
      </c>
      <c r="D558" s="1" t="s">
        <v>19</v>
      </c>
      <c r="E558" s="12">
        <f>4*F558</f>
        <v>2.2351999999999999</v>
      </c>
      <c r="F558" s="12">
        <f>Systems!D45</f>
        <v>0.55879999999999996</v>
      </c>
      <c r="G558" s="1" t="s">
        <v>14</v>
      </c>
      <c r="H558" s="1" t="s">
        <v>460</v>
      </c>
    </row>
    <row r="559" spans="1:8">
      <c r="A559" s="1" t="s">
        <v>4443</v>
      </c>
      <c r="B559" s="8" t="s">
        <v>26</v>
      </c>
      <c r="C559" s="1" t="s">
        <v>3033</v>
      </c>
      <c r="D559" s="1" t="s">
        <v>19</v>
      </c>
      <c r="E559" s="12">
        <f>140*F559</f>
        <v>78.231999999999999</v>
      </c>
      <c r="F559" s="12">
        <f>Systems!D45</f>
        <v>0.55879999999999996</v>
      </c>
      <c r="G559" s="1" t="s">
        <v>14</v>
      </c>
      <c r="H559" s="1" t="s">
        <v>460</v>
      </c>
    </row>
    <row r="560" spans="1:8">
      <c r="A560" s="1" t="s">
        <v>2210</v>
      </c>
      <c r="B560" s="1" t="s">
        <v>26</v>
      </c>
      <c r="C560" s="1" t="s">
        <v>3033</v>
      </c>
      <c r="D560" s="1" t="s">
        <v>19</v>
      </c>
      <c r="E560" s="12">
        <f>2*F560/11</f>
        <v>0.1016</v>
      </c>
      <c r="F560" s="12">
        <f>Systems!D45</f>
        <v>0.55879999999999996</v>
      </c>
      <c r="G560" s="1" t="s">
        <v>14</v>
      </c>
      <c r="H560" s="1" t="s">
        <v>460</v>
      </c>
    </row>
    <row r="561" spans="1:8">
      <c r="A561" s="1" t="s">
        <v>911</v>
      </c>
      <c r="B561" s="1" t="s">
        <v>26</v>
      </c>
      <c r="C561" s="1" t="s">
        <v>3033</v>
      </c>
      <c r="D561" s="1" t="s">
        <v>19</v>
      </c>
      <c r="E561" s="12">
        <f>F561</f>
        <v>0.55879999999999996</v>
      </c>
      <c r="F561" s="12">
        <f>Systems!D45</f>
        <v>0.55879999999999996</v>
      </c>
      <c r="G561" s="1" t="s">
        <v>14</v>
      </c>
      <c r="H561" s="1" t="s">
        <v>460</v>
      </c>
    </row>
    <row r="562" spans="1:8">
      <c r="A562" s="1" t="s">
        <v>2598</v>
      </c>
      <c r="B562" s="1" t="s">
        <v>26</v>
      </c>
      <c r="C562" s="1" t="s">
        <v>3033</v>
      </c>
      <c r="D562" s="1" t="s">
        <v>19</v>
      </c>
      <c r="E562" s="12">
        <f>9*F562/11</f>
        <v>0.45719999999999994</v>
      </c>
      <c r="F562" s="12">
        <f>Systems!D45</f>
        <v>0.55879999999999996</v>
      </c>
      <c r="G562" s="1" t="s">
        <v>14</v>
      </c>
      <c r="H562" s="1" t="s">
        <v>460</v>
      </c>
    </row>
    <row r="563" spans="1:8" ht="16.5">
      <c r="A563" s="1" t="s">
        <v>4444</v>
      </c>
      <c r="B563" s="1" t="s">
        <v>26</v>
      </c>
      <c r="C563" s="1" t="s">
        <v>3034</v>
      </c>
      <c r="D563" s="1" t="s">
        <v>38</v>
      </c>
      <c r="E563" s="12">
        <f>F563</f>
        <v>0.31225743999999994</v>
      </c>
      <c r="F563" s="12">
        <f>Systems!H45</f>
        <v>0.31225743999999994</v>
      </c>
      <c r="G563" s="1" t="s">
        <v>39</v>
      </c>
      <c r="H563" s="1" t="s">
        <v>460</v>
      </c>
    </row>
    <row r="564" spans="1:8" ht="16.5">
      <c r="A564" s="1" t="s">
        <v>4445</v>
      </c>
      <c r="B564" s="1" t="s">
        <v>26</v>
      </c>
      <c r="C564" s="1" t="s">
        <v>2936</v>
      </c>
      <c r="D564" s="1" t="s">
        <v>32</v>
      </c>
      <c r="E564" s="12">
        <f>F564</f>
        <v>0.17448945747199995</v>
      </c>
      <c r="F564" s="12">
        <f>Systems!T45</f>
        <v>0.17448945747199995</v>
      </c>
      <c r="G564" s="1" t="s">
        <v>33</v>
      </c>
      <c r="H564" s="1" t="s">
        <v>460</v>
      </c>
    </row>
    <row r="565" spans="1:8" ht="16.5">
      <c r="A565" s="1" t="s">
        <v>913</v>
      </c>
      <c r="B565" s="1" t="s">
        <v>26</v>
      </c>
      <c r="C565" s="1" t="s">
        <v>2935</v>
      </c>
      <c r="D565" s="1" t="s">
        <v>32</v>
      </c>
      <c r="E565" s="12">
        <f>F565</f>
        <v>5.0500000000000002E-4</v>
      </c>
      <c r="F565" s="12">
        <f>Systems!P45</f>
        <v>5.0500000000000002E-4</v>
      </c>
      <c r="G565" s="1" t="s">
        <v>33</v>
      </c>
      <c r="H565" s="1" t="s">
        <v>460</v>
      </c>
    </row>
    <row r="566" spans="1:8" ht="16.5">
      <c r="A566" s="1" t="s">
        <v>1906</v>
      </c>
      <c r="B566" s="1" t="s">
        <v>26</v>
      </c>
      <c r="C566" s="1" t="s">
        <v>2935</v>
      </c>
      <c r="D566" s="1" t="s">
        <v>32</v>
      </c>
      <c r="E566" s="12">
        <f>8*F566</f>
        <v>4.0400000000000002E-3</v>
      </c>
      <c r="F566" s="12">
        <f>Systems!P45</f>
        <v>5.0500000000000002E-4</v>
      </c>
      <c r="G566" s="1" t="s">
        <v>33</v>
      </c>
      <c r="H566" s="1" t="s">
        <v>460</v>
      </c>
    </row>
    <row r="567" spans="1:8" ht="16.5">
      <c r="A567" s="1" t="s">
        <v>1925</v>
      </c>
      <c r="B567" s="1" t="s">
        <v>26</v>
      </c>
      <c r="C567" s="1" t="s">
        <v>2935</v>
      </c>
      <c r="D567" s="1" t="s">
        <v>32</v>
      </c>
      <c r="E567" s="12">
        <f>F567/8</f>
        <v>6.3125000000000003E-5</v>
      </c>
      <c r="F567" s="12">
        <f>Systems!P45</f>
        <v>5.0500000000000002E-4</v>
      </c>
      <c r="G567" s="1" t="s">
        <v>33</v>
      </c>
      <c r="H567" s="1" t="s">
        <v>460</v>
      </c>
    </row>
    <row r="568" spans="1:8" ht="16.5">
      <c r="A568" s="1" t="s">
        <v>2469</v>
      </c>
      <c r="B568" s="1" t="s">
        <v>26</v>
      </c>
      <c r="C568" s="1" t="s">
        <v>2935</v>
      </c>
      <c r="D568" s="1" t="s">
        <v>32</v>
      </c>
      <c r="E568" s="12">
        <f>4*F568</f>
        <v>2.0200000000000001E-3</v>
      </c>
      <c r="F568" s="12">
        <f>Systems!P45</f>
        <v>5.0500000000000002E-4</v>
      </c>
      <c r="G568" s="1" t="s">
        <v>33</v>
      </c>
      <c r="H568" s="1" t="s">
        <v>460</v>
      </c>
    </row>
    <row r="569" spans="1:8" ht="16.5">
      <c r="A569" s="1" t="s">
        <v>2816</v>
      </c>
      <c r="B569" s="1" t="s">
        <v>26</v>
      </c>
      <c r="C569" s="1" t="s">
        <v>2935</v>
      </c>
      <c r="D569" s="1" t="s">
        <v>32</v>
      </c>
      <c r="E569" s="12">
        <f>F569/4</f>
        <v>1.2625000000000001E-4</v>
      </c>
      <c r="F569" s="12">
        <f>Systems!P45</f>
        <v>5.0500000000000002E-4</v>
      </c>
      <c r="G569" s="1" t="s">
        <v>33</v>
      </c>
      <c r="H569" s="1" t="s">
        <v>460</v>
      </c>
    </row>
    <row r="570" spans="1:8" ht="16.5">
      <c r="A570" s="1" t="s">
        <v>2818</v>
      </c>
      <c r="B570" s="1" t="s">
        <v>26</v>
      </c>
      <c r="C570" s="1" t="s">
        <v>2935</v>
      </c>
      <c r="D570" s="1" t="s">
        <v>32</v>
      </c>
      <c r="E570" s="12">
        <f>2*F570</f>
        <v>1.01E-3</v>
      </c>
      <c r="F570" s="12">
        <f>Systems!P45</f>
        <v>5.0500000000000002E-4</v>
      </c>
      <c r="G570" s="1" t="s">
        <v>33</v>
      </c>
      <c r="H570" s="1" t="s">
        <v>460</v>
      </c>
    </row>
    <row r="571" spans="1:8">
      <c r="A571" s="1" t="s">
        <v>1350</v>
      </c>
      <c r="B571" s="1" t="s">
        <v>26</v>
      </c>
      <c r="C571" s="1" t="s">
        <v>17</v>
      </c>
      <c r="D571" s="1" t="s">
        <v>20</v>
      </c>
      <c r="E571" s="12">
        <f>450*F571</f>
        <v>244.8</v>
      </c>
      <c r="F571" s="12">
        <f>Systems!L45</f>
        <v>0.54400000000000004</v>
      </c>
      <c r="G571" s="1" t="s">
        <v>23</v>
      </c>
      <c r="H571" s="1" t="s">
        <v>460</v>
      </c>
    </row>
    <row r="572" spans="1:8">
      <c r="A572" s="1" t="s">
        <v>912</v>
      </c>
      <c r="B572" s="1" t="s">
        <v>26</v>
      </c>
      <c r="C572" s="1" t="s">
        <v>17</v>
      </c>
      <c r="D572" s="1" t="s">
        <v>20</v>
      </c>
      <c r="E572" s="12">
        <f>F572</f>
        <v>0.54400000000000004</v>
      </c>
      <c r="F572" s="12">
        <f>Systems!L45</f>
        <v>0.54400000000000004</v>
      </c>
      <c r="G572" s="1" t="s">
        <v>23</v>
      </c>
      <c r="H572" s="1" t="s">
        <v>460</v>
      </c>
    </row>
    <row r="573" spans="1:8">
      <c r="A573" s="1" t="s">
        <v>2030</v>
      </c>
      <c r="B573" s="1" t="s">
        <v>26</v>
      </c>
      <c r="C573" s="1" t="s">
        <v>17</v>
      </c>
      <c r="D573" s="1" t="s">
        <v>20</v>
      </c>
      <c r="E573" s="12">
        <f>3*F573/400</f>
        <v>4.0800000000000003E-3</v>
      </c>
      <c r="F573" s="12">
        <f>Systems!L45</f>
        <v>0.54400000000000004</v>
      </c>
      <c r="G573" s="1" t="s">
        <v>23</v>
      </c>
      <c r="H573" s="1" t="s">
        <v>460</v>
      </c>
    </row>
    <row r="574" spans="1:8">
      <c r="A574" s="1" t="s">
        <v>2100</v>
      </c>
      <c r="B574" s="1" t="s">
        <v>26</v>
      </c>
      <c r="C574" s="1" t="s">
        <v>17</v>
      </c>
      <c r="D574" s="1" t="s">
        <v>20</v>
      </c>
      <c r="E574" s="12">
        <f>3*F574/800</f>
        <v>2.0400000000000001E-3</v>
      </c>
      <c r="F574" s="12">
        <f>Systems!L45</f>
        <v>0.54400000000000004</v>
      </c>
      <c r="G574" s="1" t="s">
        <v>23</v>
      </c>
      <c r="H574" s="1" t="s">
        <v>460</v>
      </c>
    </row>
    <row r="575" spans="1:8">
      <c r="A575" s="1" t="s">
        <v>2203</v>
      </c>
      <c r="B575" s="1" t="s">
        <v>26</v>
      </c>
      <c r="C575" s="1" t="s">
        <v>17</v>
      </c>
      <c r="D575" s="1" t="s">
        <v>20</v>
      </c>
      <c r="E575" s="12">
        <f>3*F575/1600</f>
        <v>1.0200000000000001E-3</v>
      </c>
      <c r="F575" s="12">
        <f>Systems!L45</f>
        <v>0.54400000000000004</v>
      </c>
      <c r="G575" s="1" t="s">
        <v>23</v>
      </c>
      <c r="H575" s="1" t="s">
        <v>460</v>
      </c>
    </row>
    <row r="576" spans="1:8">
      <c r="A576" s="1" t="s">
        <v>2397</v>
      </c>
      <c r="B576" s="1" t="s">
        <v>26</v>
      </c>
      <c r="C576" s="1" t="s">
        <v>17</v>
      </c>
      <c r="D576" s="1" t="s">
        <v>20</v>
      </c>
      <c r="E576" s="12">
        <f>3*F576/6400</f>
        <v>2.5500000000000002E-4</v>
      </c>
      <c r="F576" s="12">
        <f>Systems!L45</f>
        <v>0.54400000000000004</v>
      </c>
      <c r="G576" s="1" t="s">
        <v>23</v>
      </c>
      <c r="H576" s="1" t="s">
        <v>460</v>
      </c>
    </row>
    <row r="577" spans="1:8">
      <c r="A577" s="1" t="s">
        <v>2656</v>
      </c>
      <c r="B577" s="1" t="s">
        <v>26</v>
      </c>
      <c r="C577" s="1" t="s">
        <v>17</v>
      </c>
      <c r="D577" s="1" t="s">
        <v>20</v>
      </c>
      <c r="E577" s="12">
        <f>3*F577/100</f>
        <v>1.6320000000000001E-2</v>
      </c>
      <c r="F577" s="12">
        <f>Systems!L45</f>
        <v>0.54400000000000004</v>
      </c>
      <c r="G577" s="1" t="s">
        <v>23</v>
      </c>
      <c r="H577" s="1" t="s">
        <v>460</v>
      </c>
    </row>
    <row r="578" spans="1:8">
      <c r="A578" s="1" t="s">
        <v>2778</v>
      </c>
      <c r="B578" s="1" t="s">
        <v>26</v>
      </c>
      <c r="C578" s="1" t="s">
        <v>17</v>
      </c>
      <c r="D578" s="1" t="s">
        <v>20</v>
      </c>
      <c r="E578" s="12">
        <f>3*F578</f>
        <v>1.6320000000000001</v>
      </c>
      <c r="F578" s="12">
        <f>Systems!L45</f>
        <v>0.54400000000000004</v>
      </c>
      <c r="G578" s="1" t="s">
        <v>23</v>
      </c>
      <c r="H578" s="1" t="s">
        <v>460</v>
      </c>
    </row>
    <row r="579" spans="1:8">
      <c r="A579" s="248"/>
      <c r="B579" s="248"/>
      <c r="C579" s="248"/>
      <c r="D579" s="248"/>
      <c r="E579" s="250"/>
      <c r="F579" s="250"/>
      <c r="G579" s="248"/>
      <c r="H579" s="248"/>
    </row>
    <row r="580" spans="1:8">
      <c r="A580" t="s">
        <v>1476</v>
      </c>
      <c r="B580" s="1" t="s">
        <v>26</v>
      </c>
      <c r="C580" s="1" t="s">
        <v>3033</v>
      </c>
      <c r="D580" s="1" t="s">
        <v>19</v>
      </c>
      <c r="E580" s="12">
        <f>F580/16</f>
        <v>1.928125E-2</v>
      </c>
      <c r="F580" s="12">
        <f>Systems!D206</f>
        <v>0.3085</v>
      </c>
      <c r="G580" s="1" t="s">
        <v>14</v>
      </c>
      <c r="H580" s="1" t="s">
        <v>7302</v>
      </c>
    </row>
    <row r="581" spans="1:8">
      <c r="A581" t="s">
        <v>2206</v>
      </c>
      <c r="B581" s="1" t="s">
        <v>26</v>
      </c>
      <c r="C581" s="1" t="s">
        <v>3033</v>
      </c>
      <c r="D581" s="1" t="s">
        <v>19</v>
      </c>
      <c r="E581" s="12">
        <f>F581/4</f>
        <v>7.7124999999999999E-2</v>
      </c>
      <c r="F581" s="12">
        <f>Systems!D206</f>
        <v>0.3085</v>
      </c>
      <c r="G581" s="1" t="s">
        <v>14</v>
      </c>
      <c r="H581" s="1" t="s">
        <v>7302</v>
      </c>
    </row>
    <row r="582" spans="1:8">
      <c r="A582" t="s">
        <v>7324</v>
      </c>
      <c r="B582" s="1" t="s">
        <v>26</v>
      </c>
      <c r="C582" s="1" t="s">
        <v>3033</v>
      </c>
      <c r="D582" s="1" t="s">
        <v>19</v>
      </c>
      <c r="E582" s="12">
        <f>F582/4</f>
        <v>7.7124999999999999E-2</v>
      </c>
      <c r="F582" s="12">
        <f>Systems!D206</f>
        <v>0.3085</v>
      </c>
      <c r="G582" s="1" t="s">
        <v>14</v>
      </c>
      <c r="H582" s="1" t="s">
        <v>7302</v>
      </c>
    </row>
    <row r="583" spans="1:8">
      <c r="A583" t="s">
        <v>1737</v>
      </c>
      <c r="B583" s="1" t="s">
        <v>26</v>
      </c>
      <c r="C583" s="1" t="s">
        <v>3033</v>
      </c>
      <c r="D583" s="1" t="s">
        <v>19</v>
      </c>
      <c r="E583" s="12">
        <f>F583/2</f>
        <v>0.15425</v>
      </c>
      <c r="F583" s="12">
        <f>Systems!D206</f>
        <v>0.3085</v>
      </c>
      <c r="G583" s="1" t="s">
        <v>14</v>
      </c>
      <c r="H583" s="1" t="s">
        <v>7302</v>
      </c>
    </row>
    <row r="584" spans="1:8">
      <c r="A584" t="s">
        <v>2547</v>
      </c>
      <c r="B584" s="1" t="s">
        <v>26</v>
      </c>
      <c r="C584" s="1" t="s">
        <v>3033</v>
      </c>
      <c r="D584" s="1" t="s">
        <v>19</v>
      </c>
      <c r="E584" s="12">
        <f>F584</f>
        <v>0.3085</v>
      </c>
      <c r="F584" s="12">
        <f>Systems!D206</f>
        <v>0.3085</v>
      </c>
      <c r="G584" s="1" t="s">
        <v>14</v>
      </c>
      <c r="H584" s="1" t="s">
        <v>7302</v>
      </c>
    </row>
    <row r="585" spans="1:8">
      <c r="A585" t="s">
        <v>805</v>
      </c>
      <c r="B585" s="1" t="s">
        <v>26</v>
      </c>
      <c r="C585" s="1" t="s">
        <v>3033</v>
      </c>
      <c r="D585" s="1" t="s">
        <v>19</v>
      </c>
      <c r="E585" s="12">
        <f>F585</f>
        <v>0.3085</v>
      </c>
      <c r="F585" s="12">
        <f>Systems!D206</f>
        <v>0.3085</v>
      </c>
      <c r="G585" s="1" t="s">
        <v>14</v>
      </c>
      <c r="H585" s="1" t="s">
        <v>7302</v>
      </c>
    </row>
    <row r="586" spans="1:8">
      <c r="A586" t="s">
        <v>7328</v>
      </c>
      <c r="B586" s="1" t="s">
        <v>26</v>
      </c>
      <c r="C586" s="1" t="s">
        <v>3033</v>
      </c>
      <c r="D586" s="1" t="s">
        <v>19</v>
      </c>
      <c r="E586" s="12">
        <f>2*F586</f>
        <v>0.61699999999999999</v>
      </c>
      <c r="F586" s="12">
        <f>Systems!D206</f>
        <v>0.3085</v>
      </c>
      <c r="G586" s="1" t="s">
        <v>14</v>
      </c>
      <c r="H586" s="1" t="s">
        <v>7302</v>
      </c>
    </row>
    <row r="587" spans="1:8">
      <c r="A587" t="s">
        <v>7329</v>
      </c>
      <c r="B587" s="1" t="s">
        <v>26</v>
      </c>
      <c r="C587" s="1" t="s">
        <v>3033</v>
      </c>
      <c r="D587" s="1" t="s">
        <v>19</v>
      </c>
      <c r="E587" s="12">
        <f>2*F587</f>
        <v>0.61699999999999999</v>
      </c>
      <c r="F587" s="12">
        <f>Systems!D206</f>
        <v>0.3085</v>
      </c>
      <c r="G587" s="1" t="s">
        <v>14</v>
      </c>
      <c r="H587" s="1" t="s">
        <v>7302</v>
      </c>
    </row>
    <row r="588" spans="1:8">
      <c r="A588" t="s">
        <v>7330</v>
      </c>
      <c r="B588" s="1" t="s">
        <v>26</v>
      </c>
      <c r="C588" s="1" t="s">
        <v>3033</v>
      </c>
      <c r="D588" s="1" t="s">
        <v>19</v>
      </c>
      <c r="E588" s="12">
        <f>2*F588</f>
        <v>0.61699999999999999</v>
      </c>
      <c r="F588" s="12">
        <f>Systems!D206</f>
        <v>0.3085</v>
      </c>
      <c r="G588" s="1" t="s">
        <v>14</v>
      </c>
      <c r="H588" s="1" t="s">
        <v>7302</v>
      </c>
    </row>
    <row r="589" spans="1:8">
      <c r="A589" t="s">
        <v>7331</v>
      </c>
      <c r="B589" s="1" t="s">
        <v>26</v>
      </c>
      <c r="C589" s="1" t="s">
        <v>3033</v>
      </c>
      <c r="D589" s="1" t="s">
        <v>19</v>
      </c>
      <c r="E589" s="12">
        <f>3*F589</f>
        <v>0.92549999999999999</v>
      </c>
      <c r="F589" s="12">
        <f>Systems!D206</f>
        <v>0.3085</v>
      </c>
      <c r="G589" s="1" t="s">
        <v>14</v>
      </c>
      <c r="H589" s="1" t="s">
        <v>7302</v>
      </c>
    </row>
    <row r="590" spans="1:8">
      <c r="A590" t="s">
        <v>7332</v>
      </c>
      <c r="B590" s="1" t="s">
        <v>26</v>
      </c>
      <c r="C590" s="1" t="s">
        <v>3033</v>
      </c>
      <c r="D590" s="1" t="s">
        <v>19</v>
      </c>
      <c r="E590" s="12">
        <f>5*F590</f>
        <v>1.5425</v>
      </c>
      <c r="F590" s="12">
        <f>Systems!D206</f>
        <v>0.3085</v>
      </c>
      <c r="G590" s="1" t="s">
        <v>14</v>
      </c>
      <c r="H590" s="1" t="s">
        <v>7302</v>
      </c>
    </row>
    <row r="591" spans="1:8">
      <c r="A591" t="s">
        <v>7333</v>
      </c>
      <c r="B591" s="1" t="s">
        <v>26</v>
      </c>
      <c r="C591" s="1" t="s">
        <v>3033</v>
      </c>
      <c r="D591" s="1" t="s">
        <v>19</v>
      </c>
      <c r="E591" s="12">
        <f>6*F591</f>
        <v>1.851</v>
      </c>
      <c r="F591" s="12">
        <f>Systems!D206</f>
        <v>0.3085</v>
      </c>
      <c r="G591" s="1" t="s">
        <v>14</v>
      </c>
      <c r="H591" s="1" t="s">
        <v>7302</v>
      </c>
    </row>
    <row r="592" spans="1:8">
      <c r="A592" t="s">
        <v>7334</v>
      </c>
      <c r="B592" s="1" t="s">
        <v>26</v>
      </c>
      <c r="C592" s="1" t="s">
        <v>3033</v>
      </c>
      <c r="D592" s="1" t="s">
        <v>19</v>
      </c>
      <c r="E592" s="12">
        <f>7*F592</f>
        <v>2.1595</v>
      </c>
      <c r="F592" s="12">
        <f>Systems!D206</f>
        <v>0.3085</v>
      </c>
      <c r="G592" s="1" t="s">
        <v>14</v>
      </c>
      <c r="H592" s="1" t="s">
        <v>7302</v>
      </c>
    </row>
    <row r="593" spans="1:8">
      <c r="A593" t="s">
        <v>7335</v>
      </c>
      <c r="B593" s="1" t="s">
        <v>26</v>
      </c>
      <c r="C593" s="1" t="s">
        <v>3033</v>
      </c>
      <c r="D593" s="1" t="s">
        <v>19</v>
      </c>
      <c r="E593" s="12">
        <f>7*F593</f>
        <v>2.1595</v>
      </c>
      <c r="F593" s="12">
        <f>Systems!D206</f>
        <v>0.3085</v>
      </c>
      <c r="G593" s="1" t="s">
        <v>14</v>
      </c>
      <c r="H593" s="1" t="s">
        <v>7302</v>
      </c>
    </row>
    <row r="594" spans="1:8">
      <c r="A594" t="s">
        <v>7325</v>
      </c>
      <c r="B594" s="1" t="s">
        <v>26</v>
      </c>
      <c r="C594" s="1" t="s">
        <v>3033</v>
      </c>
      <c r="D594" s="1" t="s">
        <v>19</v>
      </c>
      <c r="E594" s="12">
        <f>10*F594</f>
        <v>3.085</v>
      </c>
      <c r="F594" s="12">
        <f>Systems!D206</f>
        <v>0.3085</v>
      </c>
      <c r="G594" s="1" t="s">
        <v>14</v>
      </c>
      <c r="H594" s="1" t="s">
        <v>7302</v>
      </c>
    </row>
    <row r="595" spans="1:8">
      <c r="A595" t="s">
        <v>7326</v>
      </c>
      <c r="B595" s="1" t="s">
        <v>26</v>
      </c>
      <c r="C595" s="1" t="s">
        <v>3033</v>
      </c>
      <c r="D595" s="1" t="s">
        <v>19</v>
      </c>
      <c r="E595" s="12">
        <f>60*F595</f>
        <v>18.509999999999998</v>
      </c>
      <c r="F595" s="12">
        <f>Systems!D206</f>
        <v>0.3085</v>
      </c>
      <c r="G595" s="1" t="s">
        <v>14</v>
      </c>
      <c r="H595" s="1" t="s">
        <v>7302</v>
      </c>
    </row>
    <row r="596" spans="1:8">
      <c r="A596" t="s">
        <v>2280</v>
      </c>
      <c r="B596" s="1" t="s">
        <v>26</v>
      </c>
      <c r="C596" s="1" t="s">
        <v>3033</v>
      </c>
      <c r="D596" s="1" t="s">
        <v>19</v>
      </c>
      <c r="E596" s="12">
        <f>100*F596</f>
        <v>30.85</v>
      </c>
      <c r="F596" s="12">
        <f>Systems!D206</f>
        <v>0.3085</v>
      </c>
      <c r="G596" s="1" t="s">
        <v>14</v>
      </c>
      <c r="H596" s="1" t="s">
        <v>7302</v>
      </c>
    </row>
    <row r="597" spans="1:8">
      <c r="A597" t="s">
        <v>1673</v>
      </c>
      <c r="B597" s="1" t="s">
        <v>26</v>
      </c>
      <c r="C597" s="1" t="s">
        <v>3033</v>
      </c>
      <c r="D597" s="1" t="s">
        <v>19</v>
      </c>
      <c r="E597" s="12">
        <f>600*F597</f>
        <v>185.1</v>
      </c>
      <c r="F597" s="12">
        <f>Systems!D206</f>
        <v>0.3085</v>
      </c>
      <c r="G597" s="1" t="s">
        <v>14</v>
      </c>
      <c r="H597" s="1" t="s">
        <v>7302</v>
      </c>
    </row>
    <row r="598" spans="1:8">
      <c r="A598" t="s">
        <v>7336</v>
      </c>
      <c r="B598" s="1" t="s">
        <v>26</v>
      </c>
      <c r="C598" s="1" t="s">
        <v>3033</v>
      </c>
      <c r="D598" s="1" t="s">
        <v>19</v>
      </c>
      <c r="E598" s="12">
        <f>1000*F598</f>
        <v>308.5</v>
      </c>
      <c r="F598" s="12">
        <f>Systems!D206</f>
        <v>0.3085</v>
      </c>
      <c r="G598" s="1" t="s">
        <v>14</v>
      </c>
      <c r="H598" s="1" t="s">
        <v>7302</v>
      </c>
    </row>
    <row r="599" spans="1:8">
      <c r="A599" t="s">
        <v>2070</v>
      </c>
      <c r="B599" s="1" t="s">
        <v>26</v>
      </c>
      <c r="C599" s="1" t="s">
        <v>3033</v>
      </c>
      <c r="D599" s="1" t="s">
        <v>19</v>
      </c>
      <c r="E599" s="12">
        <f>5000*F599</f>
        <v>1542.5</v>
      </c>
      <c r="F599" s="12">
        <f>Systems!D206</f>
        <v>0.3085</v>
      </c>
      <c r="G599" s="1" t="s">
        <v>14</v>
      </c>
      <c r="H599" s="1" t="s">
        <v>7302</v>
      </c>
    </row>
    <row r="600" spans="1:8">
      <c r="A600" t="s">
        <v>7327</v>
      </c>
      <c r="B600" s="1" t="s">
        <v>26</v>
      </c>
      <c r="C600" s="1" t="s">
        <v>3033</v>
      </c>
      <c r="D600" s="1" t="s">
        <v>19</v>
      </c>
      <c r="E600" s="12">
        <f>20000*F600</f>
        <v>6170</v>
      </c>
      <c r="F600" s="12">
        <f>Systems!D206</f>
        <v>0.3085</v>
      </c>
      <c r="G600" s="1" t="s">
        <v>14</v>
      </c>
      <c r="H600" s="1" t="s">
        <v>7302</v>
      </c>
    </row>
    <row r="601" spans="1:8">
      <c r="A601" t="s">
        <v>7337</v>
      </c>
      <c r="B601" s="1" t="s">
        <v>26</v>
      </c>
      <c r="C601" s="1" t="s">
        <v>3033</v>
      </c>
      <c r="D601" s="1" t="s">
        <v>19</v>
      </c>
      <c r="E601" s="12">
        <f>150000*F601</f>
        <v>46275</v>
      </c>
      <c r="F601" s="12">
        <f>Systems!D206</f>
        <v>0.3085</v>
      </c>
      <c r="G601" s="1" t="s">
        <v>14</v>
      </c>
      <c r="H601" s="1" t="s">
        <v>7302</v>
      </c>
    </row>
    <row r="602" spans="1:8">
      <c r="A602" t="s">
        <v>7338</v>
      </c>
      <c r="B602" s="1" t="s">
        <v>26</v>
      </c>
      <c r="C602" s="1" t="s">
        <v>3033</v>
      </c>
      <c r="D602" s="1" t="s">
        <v>19</v>
      </c>
      <c r="E602" s="12">
        <f>1050000*F602</f>
        <v>323925</v>
      </c>
      <c r="F602" s="12">
        <f>Systems!D206</f>
        <v>0.3085</v>
      </c>
      <c r="G602" s="1" t="s">
        <v>14</v>
      </c>
      <c r="H602" s="1" t="s">
        <v>7302</v>
      </c>
    </row>
    <row r="603" spans="1:8" ht="16.5">
      <c r="A603" t="s">
        <v>805</v>
      </c>
      <c r="B603" s="1" t="s">
        <v>26</v>
      </c>
      <c r="C603" s="1" t="s">
        <v>3034</v>
      </c>
      <c r="D603" s="1" t="s">
        <v>38</v>
      </c>
      <c r="E603" s="12">
        <f>F603</f>
        <v>9.517225E-2</v>
      </c>
      <c r="F603" s="12">
        <f>Systems!H206</f>
        <v>9.517225E-2</v>
      </c>
      <c r="G603" s="1" t="s">
        <v>39</v>
      </c>
      <c r="H603" s="1" t="s">
        <v>7302</v>
      </c>
    </row>
    <row r="604" spans="1:8" ht="16.5">
      <c r="A604" t="s">
        <v>977</v>
      </c>
      <c r="B604" s="1" t="s">
        <v>26</v>
      </c>
      <c r="C604" s="1" t="s">
        <v>3034</v>
      </c>
      <c r="D604" s="1" t="s">
        <v>38</v>
      </c>
      <c r="E604" s="12">
        <f>10000*F604</f>
        <v>951.72249999999997</v>
      </c>
      <c r="F604" s="12">
        <f>Systems!H206</f>
        <v>9.517225E-2</v>
      </c>
      <c r="G604" s="1" t="s">
        <v>39</v>
      </c>
      <c r="H604" s="1" t="s">
        <v>7302</v>
      </c>
    </row>
    <row r="605" spans="1:8" ht="16.5">
      <c r="A605" t="s">
        <v>7339</v>
      </c>
      <c r="B605" s="1" t="s">
        <v>26</v>
      </c>
      <c r="C605" s="1" t="s">
        <v>3034</v>
      </c>
      <c r="D605" s="1" t="s">
        <v>38</v>
      </c>
      <c r="E605" s="12">
        <f>30000*F605</f>
        <v>2855.1675</v>
      </c>
      <c r="F605" s="12">
        <f>Systems!H206</f>
        <v>9.517225E-2</v>
      </c>
      <c r="G605" s="1" t="s">
        <v>39</v>
      </c>
      <c r="H605" s="1" t="s">
        <v>7302</v>
      </c>
    </row>
    <row r="606" spans="1:8" ht="16.5">
      <c r="A606" s="1" t="s">
        <v>7304</v>
      </c>
      <c r="B606" s="1" t="s">
        <v>26</v>
      </c>
      <c r="C606" s="1" t="s">
        <v>2936</v>
      </c>
      <c r="D606" s="1" t="s">
        <v>32</v>
      </c>
      <c r="E606" s="12">
        <f>F606</f>
        <v>2.9360639125000001E-2</v>
      </c>
      <c r="F606" s="12">
        <f>Systems!T206</f>
        <v>2.9360639125000001E-2</v>
      </c>
      <c r="G606" s="1" t="s">
        <v>33</v>
      </c>
      <c r="H606" s="1" t="s">
        <v>7302</v>
      </c>
    </row>
    <row r="607" spans="1:8" ht="16.5">
      <c r="A607" t="s">
        <v>7340</v>
      </c>
      <c r="B607" s="1" t="s">
        <v>26</v>
      </c>
      <c r="C607" s="1" t="s">
        <v>2935</v>
      </c>
      <c r="D607" s="1" t="s">
        <v>32</v>
      </c>
      <c r="E607" s="12">
        <f>F607/3</f>
        <v>1.8309333333333332E-4</v>
      </c>
      <c r="F607" s="12">
        <f>Systems!P206</f>
        <v>5.4927999999999997E-4</v>
      </c>
      <c r="G607" s="1" t="s">
        <v>33</v>
      </c>
      <c r="H607" s="1" t="s">
        <v>7302</v>
      </c>
    </row>
    <row r="608" spans="1:8" ht="16.5">
      <c r="A608" t="s">
        <v>7303</v>
      </c>
      <c r="B608" s="1" t="s">
        <v>26</v>
      </c>
      <c r="C608" s="1" t="s">
        <v>2935</v>
      </c>
      <c r="D608" s="1" t="s">
        <v>32</v>
      </c>
      <c r="E608" s="12">
        <f>F608/3</f>
        <v>1.8309333333333332E-4</v>
      </c>
      <c r="F608" s="12">
        <f>Systems!P206</f>
        <v>5.4927999999999997E-4</v>
      </c>
      <c r="G608" s="1" t="s">
        <v>33</v>
      </c>
      <c r="H608" s="1" t="s">
        <v>7302</v>
      </c>
    </row>
    <row r="609" spans="1:8" ht="16.5">
      <c r="A609" t="s">
        <v>7341</v>
      </c>
      <c r="B609" s="1" t="s">
        <v>26</v>
      </c>
      <c r="C609" s="1" t="s">
        <v>2935</v>
      </c>
      <c r="D609" s="1" t="s">
        <v>32</v>
      </c>
      <c r="E609" s="12">
        <f>F609/3</f>
        <v>1.8309333333333332E-4</v>
      </c>
      <c r="F609" s="12">
        <f>Systems!P206</f>
        <v>5.4927999999999997E-4</v>
      </c>
      <c r="G609" s="1" t="s">
        <v>33</v>
      </c>
      <c r="H609" s="1" t="s">
        <v>7302</v>
      </c>
    </row>
    <row r="610" spans="1:8" ht="16.5">
      <c r="A610" t="s">
        <v>1881</v>
      </c>
      <c r="B610" s="1" t="s">
        <v>26</v>
      </c>
      <c r="C610" s="1" t="s">
        <v>2935</v>
      </c>
      <c r="D610" s="1" t="s">
        <v>32</v>
      </c>
      <c r="E610" s="12">
        <f>F610/2</f>
        <v>2.7463999999999999E-4</v>
      </c>
      <c r="F610" s="12">
        <f>Systems!P206</f>
        <v>5.4927999999999997E-4</v>
      </c>
      <c r="G610" s="1" t="s">
        <v>33</v>
      </c>
      <c r="H610" s="1" t="s">
        <v>7302</v>
      </c>
    </row>
    <row r="611" spans="1:8" ht="16.5">
      <c r="A611" t="s">
        <v>7342</v>
      </c>
      <c r="B611" s="1" t="s">
        <v>26</v>
      </c>
      <c r="C611" s="1" t="s">
        <v>2935</v>
      </c>
      <c r="D611" s="1" t="s">
        <v>32</v>
      </c>
      <c r="E611" s="12">
        <f>F611/2</f>
        <v>2.7463999999999999E-4</v>
      </c>
      <c r="F611" s="12">
        <f>Systems!P206</f>
        <v>5.4927999999999997E-4</v>
      </c>
      <c r="G611" s="1" t="s">
        <v>33</v>
      </c>
      <c r="H611" s="1" t="s">
        <v>7302</v>
      </c>
    </row>
    <row r="612" spans="1:8" ht="16.5">
      <c r="A612" t="s">
        <v>2797</v>
      </c>
      <c r="B612" s="1" t="s">
        <v>26</v>
      </c>
      <c r="C612" s="1" t="s">
        <v>2935</v>
      </c>
      <c r="D612" s="1" t="s">
        <v>32</v>
      </c>
      <c r="E612" s="12">
        <f>F612</f>
        <v>5.4927999999999997E-4</v>
      </c>
      <c r="F612" s="12">
        <f>Systems!P206</f>
        <v>5.4927999999999997E-4</v>
      </c>
      <c r="G612" s="1" t="s">
        <v>33</v>
      </c>
      <c r="H612" s="1" t="s">
        <v>7302</v>
      </c>
    </row>
    <row r="613" spans="1:8" ht="16.5">
      <c r="A613" t="s">
        <v>1014</v>
      </c>
      <c r="B613" s="1" t="s">
        <v>26</v>
      </c>
      <c r="C613" s="1" t="s">
        <v>2935</v>
      </c>
      <c r="D613" s="1" t="s">
        <v>32</v>
      </c>
      <c r="E613" s="12">
        <f>4*F613</f>
        <v>2.1971199999999999E-3</v>
      </c>
      <c r="F613" s="12">
        <f>Systems!P206</f>
        <v>5.4927999999999997E-4</v>
      </c>
      <c r="G613" s="1" t="s">
        <v>33</v>
      </c>
      <c r="H613" s="1" t="s">
        <v>7302</v>
      </c>
    </row>
    <row r="614" spans="1:8" ht="16.5">
      <c r="A614" t="s">
        <v>7343</v>
      </c>
      <c r="B614" s="1" t="s">
        <v>26</v>
      </c>
      <c r="C614" s="1" t="s">
        <v>2935</v>
      </c>
      <c r="D614" s="1" t="s">
        <v>32</v>
      </c>
      <c r="E614" s="12">
        <f>37*F614/6</f>
        <v>3.3872266666666664E-3</v>
      </c>
      <c r="F614" s="12">
        <f>Systems!P206</f>
        <v>5.4927999999999997E-4</v>
      </c>
      <c r="G614" s="1" t="s">
        <v>33</v>
      </c>
      <c r="H614" s="1" t="s">
        <v>7302</v>
      </c>
    </row>
    <row r="615" spans="1:8" ht="16.5">
      <c r="A615" t="s">
        <v>7344</v>
      </c>
      <c r="B615" s="1" t="s">
        <v>26</v>
      </c>
      <c r="C615" s="1" t="s">
        <v>2935</v>
      </c>
      <c r="D615" s="1" t="s">
        <v>32</v>
      </c>
      <c r="E615" s="12">
        <f>160*F615</f>
        <v>8.7884799999999999E-2</v>
      </c>
      <c r="F615" s="12">
        <f>Systems!P206</f>
        <v>5.4927999999999997E-4</v>
      </c>
      <c r="G615" s="1" t="s">
        <v>33</v>
      </c>
      <c r="H615" s="1" t="s">
        <v>7302</v>
      </c>
    </row>
    <row r="616" spans="1:8">
      <c r="A616" t="s">
        <v>7345</v>
      </c>
      <c r="B616" s="1" t="s">
        <v>26</v>
      </c>
      <c r="C616" s="1" t="s">
        <v>17</v>
      </c>
      <c r="D616" s="1" t="s">
        <v>20</v>
      </c>
      <c r="E616" s="12">
        <f>F616/24</f>
        <v>1.1354166666666667E-3</v>
      </c>
      <c r="F616" s="12">
        <f>Systems!L206</f>
        <v>2.725E-2</v>
      </c>
      <c r="G616" s="1" t="s">
        <v>23</v>
      </c>
      <c r="H616" s="1" t="s">
        <v>7302</v>
      </c>
    </row>
    <row r="617" spans="1:8">
      <c r="A617" t="s">
        <v>7346</v>
      </c>
      <c r="B617" s="1" t="s">
        <v>26</v>
      </c>
      <c r="C617" s="1" t="s">
        <v>17</v>
      </c>
      <c r="D617" s="1" t="s">
        <v>20</v>
      </c>
      <c r="E617" s="12">
        <f>F617/24</f>
        <v>1.1354166666666667E-3</v>
      </c>
      <c r="F617" s="12">
        <f>Systems!L206</f>
        <v>2.725E-2</v>
      </c>
      <c r="G617" s="1" t="s">
        <v>23</v>
      </c>
      <c r="H617" s="1" t="s">
        <v>7302</v>
      </c>
    </row>
    <row r="618" spans="1:8">
      <c r="A618" t="s">
        <v>7347</v>
      </c>
      <c r="B618" s="1" t="s">
        <v>26</v>
      </c>
      <c r="C618" s="1" t="s">
        <v>17</v>
      </c>
      <c r="D618" s="1" t="s">
        <v>20</v>
      </c>
      <c r="E618" s="12">
        <f>F618/12</f>
        <v>2.2708333333333335E-3</v>
      </c>
      <c r="F618" s="12">
        <f>Systems!L206</f>
        <v>2.725E-2</v>
      </c>
      <c r="G618" s="1" t="s">
        <v>23</v>
      </c>
      <c r="H618" s="1" t="s">
        <v>7302</v>
      </c>
    </row>
    <row r="619" spans="1:8">
      <c r="A619" t="s">
        <v>7348</v>
      </c>
      <c r="B619" s="1" t="s">
        <v>26</v>
      </c>
      <c r="C619" s="1" t="s">
        <v>17</v>
      </c>
      <c r="D619" s="1" t="s">
        <v>20</v>
      </c>
      <c r="E619" s="12">
        <f>F619/6</f>
        <v>4.5416666666666669E-3</v>
      </c>
      <c r="F619" s="12">
        <f>Systems!L206</f>
        <v>2.725E-2</v>
      </c>
      <c r="G619" s="1" t="s">
        <v>23</v>
      </c>
      <c r="H619" s="1" t="s">
        <v>7302</v>
      </c>
    </row>
    <row r="620" spans="1:8">
      <c r="A620" t="s">
        <v>7340</v>
      </c>
      <c r="B620" s="1" t="s">
        <v>26</v>
      </c>
      <c r="C620" s="1" t="s">
        <v>17</v>
      </c>
      <c r="D620" s="1" t="s">
        <v>20</v>
      </c>
      <c r="E620" s="12">
        <f>F620</f>
        <v>2.725E-2</v>
      </c>
      <c r="F620" s="12">
        <f>Systems!L206</f>
        <v>2.725E-2</v>
      </c>
      <c r="G620" s="1" t="s">
        <v>23</v>
      </c>
      <c r="H620" s="1" t="s">
        <v>7302</v>
      </c>
    </row>
    <row r="621" spans="1:8">
      <c r="A621" t="s">
        <v>7303</v>
      </c>
      <c r="B621" s="1" t="s">
        <v>26</v>
      </c>
      <c r="C621" s="1" t="s">
        <v>17</v>
      </c>
      <c r="D621" s="1" t="s">
        <v>20</v>
      </c>
      <c r="E621" s="12">
        <f>F621</f>
        <v>2.725E-2</v>
      </c>
      <c r="F621" s="12">
        <f>Systems!L206</f>
        <v>2.725E-2</v>
      </c>
      <c r="G621" s="1" t="s">
        <v>23</v>
      </c>
      <c r="H621" s="1" t="s">
        <v>7302</v>
      </c>
    </row>
    <row r="622" spans="1:8">
      <c r="A622" t="s">
        <v>7341</v>
      </c>
      <c r="B622" s="1" t="s">
        <v>26</v>
      </c>
      <c r="C622" s="1" t="s">
        <v>17</v>
      </c>
      <c r="D622" s="1" t="s">
        <v>20</v>
      </c>
      <c r="E622" s="12">
        <f>F622</f>
        <v>2.725E-2</v>
      </c>
      <c r="F622" s="12">
        <f>Systems!L206</f>
        <v>2.725E-2</v>
      </c>
      <c r="G622" s="1" t="s">
        <v>23</v>
      </c>
      <c r="H622" s="1" t="s">
        <v>7302</v>
      </c>
    </row>
    <row r="623" spans="1:8">
      <c r="A623" t="s">
        <v>1014</v>
      </c>
      <c r="B623" s="1" t="s">
        <v>26</v>
      </c>
      <c r="C623" s="1" t="s">
        <v>17</v>
      </c>
      <c r="D623" s="1" t="s">
        <v>20</v>
      </c>
      <c r="E623" s="12">
        <f>12*F623</f>
        <v>0.32700000000000001</v>
      </c>
      <c r="F623" s="12">
        <f>Systems!L206</f>
        <v>2.725E-2</v>
      </c>
      <c r="G623" s="1" t="s">
        <v>23</v>
      </c>
      <c r="H623" s="1" t="s">
        <v>7302</v>
      </c>
    </row>
    <row r="624" spans="1:8">
      <c r="A624" s="248"/>
      <c r="B624" s="248"/>
      <c r="C624" s="248"/>
      <c r="D624" s="248"/>
      <c r="E624" s="250"/>
      <c r="F624" s="250"/>
      <c r="G624" s="248"/>
      <c r="H624" s="248"/>
    </row>
    <row r="625" spans="1:8">
      <c r="A625" s="1" t="s">
        <v>4446</v>
      </c>
      <c r="B625" s="1" t="s">
        <v>26</v>
      </c>
      <c r="C625" s="1" t="s">
        <v>3033</v>
      </c>
      <c r="D625" s="1" t="s">
        <v>19</v>
      </c>
      <c r="E625" s="12">
        <f>25*F625/100</f>
        <v>0.25</v>
      </c>
      <c r="F625" s="12">
        <f>Systems!D46</f>
        <v>1</v>
      </c>
      <c r="G625" s="1" t="s">
        <v>14</v>
      </c>
      <c r="H625" s="1" t="s">
        <v>501</v>
      </c>
    </row>
    <row r="626" spans="1:8">
      <c r="A626" s="1" t="s">
        <v>916</v>
      </c>
      <c r="B626" s="1" t="s">
        <v>26</v>
      </c>
      <c r="C626" s="1" t="s">
        <v>3033</v>
      </c>
      <c r="D626" s="1" t="s">
        <v>19</v>
      </c>
      <c r="E626" s="12">
        <f>F626</f>
        <v>1</v>
      </c>
      <c r="F626" s="12">
        <f>Systems!D46</f>
        <v>1</v>
      </c>
      <c r="G626" s="1" t="s">
        <v>14</v>
      </c>
      <c r="H626" s="1" t="s">
        <v>501</v>
      </c>
    </row>
    <row r="627" spans="1:8">
      <c r="A627" s="1" t="s">
        <v>4447</v>
      </c>
      <c r="B627" s="1" t="s">
        <v>26</v>
      </c>
      <c r="C627" s="1" t="s">
        <v>3033</v>
      </c>
      <c r="D627" s="1" t="s">
        <v>19</v>
      </c>
      <c r="E627" s="12">
        <f>F627</f>
        <v>1</v>
      </c>
      <c r="F627" s="12">
        <f>Systems!D46</f>
        <v>1</v>
      </c>
      <c r="G627" s="1" t="s">
        <v>14</v>
      </c>
      <c r="H627" s="1" t="s">
        <v>501</v>
      </c>
    </row>
    <row r="628" spans="1:8">
      <c r="A628" s="1" t="s">
        <v>2260</v>
      </c>
      <c r="B628" s="1" t="s">
        <v>26</v>
      </c>
      <c r="C628" s="1" t="s">
        <v>3033</v>
      </c>
      <c r="D628" s="1" t="s">
        <v>19</v>
      </c>
      <c r="E628" s="12">
        <f>5*F628</f>
        <v>5</v>
      </c>
      <c r="F628" s="12">
        <f>Systems!D46</f>
        <v>1</v>
      </c>
      <c r="G628" s="1" t="s">
        <v>14</v>
      </c>
      <c r="H628" s="1" t="s">
        <v>501</v>
      </c>
    </row>
    <row r="629" spans="1:8">
      <c r="A629" s="1" t="s">
        <v>2476</v>
      </c>
      <c r="B629" s="1" t="s">
        <v>26</v>
      </c>
      <c r="C629" s="1" t="s">
        <v>3033</v>
      </c>
      <c r="D629" s="1" t="s">
        <v>19</v>
      </c>
      <c r="E629" s="12">
        <f>40*F629</f>
        <v>40</v>
      </c>
      <c r="F629" s="12">
        <f>Systems!D46</f>
        <v>1</v>
      </c>
      <c r="G629" s="1" t="s">
        <v>14</v>
      </c>
      <c r="H629" s="1" t="s">
        <v>501</v>
      </c>
    </row>
    <row r="630" spans="1:8">
      <c r="A630" s="1" t="s">
        <v>2649</v>
      </c>
      <c r="B630" s="1" t="s">
        <v>26</v>
      </c>
      <c r="C630" s="1" t="s">
        <v>3033</v>
      </c>
      <c r="D630" s="1" t="s">
        <v>19</v>
      </c>
      <c r="E630" s="12">
        <f>25*F630/1200</f>
        <v>2.0833333333333332E-2</v>
      </c>
      <c r="F630" s="12">
        <f>Systems!D46</f>
        <v>1</v>
      </c>
      <c r="G630" s="1" t="s">
        <v>14</v>
      </c>
      <c r="H630" s="1" t="s">
        <v>501</v>
      </c>
    </row>
    <row r="631" spans="1:8">
      <c r="A631" s="1" t="s">
        <v>2809</v>
      </c>
      <c r="B631" s="1" t="s">
        <v>26</v>
      </c>
      <c r="C631" s="1" t="s">
        <v>3033</v>
      </c>
      <c r="D631" s="1" t="s">
        <v>19</v>
      </c>
      <c r="E631" s="12">
        <f>16000*F631</f>
        <v>16000</v>
      </c>
      <c r="F631" s="12">
        <f>Systems!D46</f>
        <v>1</v>
      </c>
      <c r="G631" s="1" t="s">
        <v>14</v>
      </c>
      <c r="H631" s="1" t="s">
        <v>501</v>
      </c>
    </row>
    <row r="632" spans="1:8" ht="16.5">
      <c r="A632" s="1" t="s">
        <v>4448</v>
      </c>
      <c r="B632" s="1" t="s">
        <v>26</v>
      </c>
      <c r="C632" s="1" t="s">
        <v>3034</v>
      </c>
      <c r="D632" s="1" t="s">
        <v>38</v>
      </c>
      <c r="E632" s="12">
        <f>F632</f>
        <v>1</v>
      </c>
      <c r="F632" s="12">
        <f>Systems!H46</f>
        <v>1</v>
      </c>
      <c r="G632" s="1" t="s">
        <v>39</v>
      </c>
      <c r="H632" s="1" t="s">
        <v>501</v>
      </c>
    </row>
    <row r="633" spans="1:8" ht="16.5">
      <c r="A633" s="1" t="s">
        <v>4449</v>
      </c>
      <c r="B633" s="1" t="s">
        <v>26</v>
      </c>
      <c r="C633" s="1" t="s">
        <v>2936</v>
      </c>
      <c r="D633" s="1" t="s">
        <v>32</v>
      </c>
      <c r="E633" s="12">
        <f>F633</f>
        <v>1</v>
      </c>
      <c r="F633" s="12">
        <f>Systems!T46</f>
        <v>1</v>
      </c>
      <c r="G633" s="1" t="s">
        <v>33</v>
      </c>
      <c r="H633" s="1" t="s">
        <v>501</v>
      </c>
    </row>
    <row r="634" spans="1:8" ht="16.5">
      <c r="A634" s="1" t="s">
        <v>1804</v>
      </c>
      <c r="B634" s="1" t="s">
        <v>26</v>
      </c>
      <c r="C634" s="1" t="s">
        <v>2935</v>
      </c>
      <c r="D634" s="1" t="s">
        <v>32</v>
      </c>
      <c r="E634" s="12">
        <f>3*F634/16</f>
        <v>7.4999999999999997E-3</v>
      </c>
      <c r="F634" s="12">
        <f>Systems!P46</f>
        <v>0.04</v>
      </c>
      <c r="G634" s="1" t="s">
        <v>33</v>
      </c>
      <c r="H634" s="1" t="s">
        <v>501</v>
      </c>
    </row>
    <row r="635" spans="1:8" ht="16.5">
      <c r="A635" s="1" t="s">
        <v>916</v>
      </c>
      <c r="B635" s="1" t="s">
        <v>26</v>
      </c>
      <c r="C635" s="1" t="s">
        <v>2935</v>
      </c>
      <c r="D635" s="1" t="s">
        <v>32</v>
      </c>
      <c r="E635" s="12">
        <f>F635/40</f>
        <v>1E-3</v>
      </c>
      <c r="F635" s="12">
        <f>Systems!P46</f>
        <v>0.04</v>
      </c>
      <c r="G635" s="1" t="s">
        <v>33</v>
      </c>
      <c r="H635" s="1" t="s">
        <v>501</v>
      </c>
    </row>
    <row r="636" spans="1:8" ht="16.5">
      <c r="A636" s="1" t="s">
        <v>918</v>
      </c>
      <c r="B636" s="1" t="s">
        <v>26</v>
      </c>
      <c r="C636" s="1" t="s">
        <v>2935</v>
      </c>
      <c r="D636" s="1" t="s">
        <v>32</v>
      </c>
      <c r="E636" s="12">
        <f>F636</f>
        <v>0.04</v>
      </c>
      <c r="F636" s="12">
        <f>Systems!P46</f>
        <v>0.04</v>
      </c>
      <c r="G636" s="1" t="s">
        <v>33</v>
      </c>
      <c r="H636" s="1" t="s">
        <v>501</v>
      </c>
    </row>
    <row r="637" spans="1:8" ht="16.5">
      <c r="A637" s="1" t="s">
        <v>2613</v>
      </c>
      <c r="B637" s="1" t="s">
        <v>26</v>
      </c>
      <c r="C637" s="1" t="s">
        <v>2935</v>
      </c>
      <c r="D637" s="1" t="s">
        <v>32</v>
      </c>
      <c r="E637" s="12">
        <f>3*F637/8</f>
        <v>1.4999999999999999E-2</v>
      </c>
      <c r="F637" s="12">
        <f>Systems!P46</f>
        <v>0.04</v>
      </c>
      <c r="G637" s="1" t="s">
        <v>33</v>
      </c>
      <c r="H637" s="1" t="s">
        <v>501</v>
      </c>
    </row>
    <row r="638" spans="1:8" ht="16.5">
      <c r="A638" s="1" t="s">
        <v>2645</v>
      </c>
      <c r="B638" s="1" t="s">
        <v>26</v>
      </c>
      <c r="C638" s="1" t="s">
        <v>2935</v>
      </c>
      <c r="D638" s="1" t="s">
        <v>32</v>
      </c>
      <c r="E638" s="12">
        <f>3*F638/4</f>
        <v>0.03</v>
      </c>
      <c r="F638" s="12">
        <f>Systems!P46</f>
        <v>0.04</v>
      </c>
      <c r="G638" s="1" t="s">
        <v>33</v>
      </c>
      <c r="H638" s="1" t="s">
        <v>501</v>
      </c>
    </row>
    <row r="639" spans="1:8">
      <c r="A639" s="1" t="s">
        <v>3035</v>
      </c>
      <c r="B639" s="1" t="s">
        <v>26</v>
      </c>
      <c r="C639" s="1" t="s">
        <v>17</v>
      </c>
      <c r="D639" s="1" t="s">
        <v>20</v>
      </c>
      <c r="E639" s="12">
        <f>F639/160</f>
        <v>3.7499999999999999E-3</v>
      </c>
      <c r="F639" s="12">
        <f>Systems!L46</f>
        <v>0.6</v>
      </c>
      <c r="G639" s="1" t="s">
        <v>23</v>
      </c>
      <c r="H639" s="1" t="s">
        <v>501</v>
      </c>
    </row>
    <row r="640" spans="1:8">
      <c r="A640" s="1" t="s">
        <v>1410</v>
      </c>
      <c r="B640" s="1" t="s">
        <v>26</v>
      </c>
      <c r="C640" s="1" t="s">
        <v>17</v>
      </c>
      <c r="D640" s="1" t="s">
        <v>20</v>
      </c>
      <c r="E640" s="12">
        <f>50*F640</f>
        <v>30</v>
      </c>
      <c r="F640" s="12">
        <f>Systems!L46</f>
        <v>0.6</v>
      </c>
      <c r="G640" s="1" t="s">
        <v>23</v>
      </c>
      <c r="H640" s="1" t="s">
        <v>501</v>
      </c>
    </row>
    <row r="641" spans="1:8">
      <c r="A641" s="1" t="s">
        <v>1718</v>
      </c>
      <c r="B641" s="1" t="s">
        <v>26</v>
      </c>
      <c r="C641" s="1" t="s">
        <v>17</v>
      </c>
      <c r="D641" s="1" t="s">
        <v>20</v>
      </c>
      <c r="E641" s="12">
        <f>100*F641</f>
        <v>60</v>
      </c>
      <c r="F641" s="12">
        <f>Systems!L46</f>
        <v>0.6</v>
      </c>
      <c r="G641" s="1" t="s">
        <v>23</v>
      </c>
      <c r="H641" s="1" t="s">
        <v>501</v>
      </c>
    </row>
    <row r="642" spans="1:8">
      <c r="A642" s="1" t="s">
        <v>1759</v>
      </c>
      <c r="B642" s="1" t="s">
        <v>26</v>
      </c>
      <c r="C642" s="1" t="s">
        <v>17</v>
      </c>
      <c r="D642" s="1" t="s">
        <v>20</v>
      </c>
      <c r="E642" s="12">
        <f>F642/1600</f>
        <v>3.7500000000000001E-4</v>
      </c>
      <c r="F642" s="12">
        <f>Systems!L46</f>
        <v>0.6</v>
      </c>
      <c r="G642" s="1" t="s">
        <v>23</v>
      </c>
      <c r="H642" s="1" t="s">
        <v>501</v>
      </c>
    </row>
    <row r="643" spans="1:8">
      <c r="A643" s="1" t="s">
        <v>1962</v>
      </c>
      <c r="B643" s="1" t="s">
        <v>26</v>
      </c>
      <c r="C643" s="1" t="s">
        <v>17</v>
      </c>
      <c r="D643" s="1" t="s">
        <v>20</v>
      </c>
      <c r="E643" s="12">
        <f>F643/16000</f>
        <v>3.7499999999999997E-5</v>
      </c>
      <c r="F643" s="12">
        <f>Systems!L46</f>
        <v>0.6</v>
      </c>
      <c r="G643" s="1" t="s">
        <v>23</v>
      </c>
      <c r="H643" s="1" t="s">
        <v>501</v>
      </c>
    </row>
    <row r="644" spans="1:8">
      <c r="A644" s="1" t="s">
        <v>916</v>
      </c>
      <c r="B644" s="1" t="s">
        <v>26</v>
      </c>
      <c r="C644" s="1" t="s">
        <v>17</v>
      </c>
      <c r="D644" s="1" t="s">
        <v>20</v>
      </c>
      <c r="E644" s="12">
        <f>F644/600</f>
        <v>1E-3</v>
      </c>
      <c r="F644" s="12">
        <f>Systems!L46</f>
        <v>0.6</v>
      </c>
      <c r="G644" s="1" t="s">
        <v>23</v>
      </c>
      <c r="H644" s="1" t="s">
        <v>501</v>
      </c>
    </row>
    <row r="645" spans="1:8">
      <c r="A645" s="1" t="s">
        <v>917</v>
      </c>
      <c r="B645" s="1" t="s">
        <v>26</v>
      </c>
      <c r="C645" s="1" t="s">
        <v>17</v>
      </c>
      <c r="D645" s="1" t="s">
        <v>20</v>
      </c>
      <c r="E645" s="12">
        <f>F645</f>
        <v>0.6</v>
      </c>
      <c r="F645" s="12">
        <f>Systems!L46</f>
        <v>0.6</v>
      </c>
      <c r="G645" s="1" t="s">
        <v>23</v>
      </c>
      <c r="H645" s="1" t="s">
        <v>501</v>
      </c>
    </row>
    <row r="646" spans="1:8">
      <c r="A646" s="1" t="s">
        <v>923</v>
      </c>
      <c r="B646" s="1" t="s">
        <v>26</v>
      </c>
      <c r="C646" s="1" t="s">
        <v>17</v>
      </c>
      <c r="D646" s="1" t="s">
        <v>20</v>
      </c>
      <c r="E646" s="12">
        <f>100*F646</f>
        <v>60</v>
      </c>
      <c r="F646" s="12">
        <f>Systems!L46</f>
        <v>0.6</v>
      </c>
      <c r="G646" s="1" t="s">
        <v>23</v>
      </c>
      <c r="H646" s="1" t="s">
        <v>501</v>
      </c>
    </row>
    <row r="647" spans="1:8">
      <c r="A647" s="1" t="s">
        <v>4450</v>
      </c>
      <c r="B647" s="1" t="s">
        <v>26</v>
      </c>
      <c r="C647" s="1" t="s">
        <v>17</v>
      </c>
      <c r="D647" s="1" t="s">
        <v>20</v>
      </c>
      <c r="E647" s="12">
        <f>F647</f>
        <v>1</v>
      </c>
      <c r="F647" s="12">
        <f>SI!E2</f>
        <v>1</v>
      </c>
      <c r="G647" s="1" t="s">
        <v>23</v>
      </c>
      <c r="H647" s="1" t="s">
        <v>501</v>
      </c>
    </row>
    <row r="648" spans="1:8">
      <c r="A648" s="1" t="s">
        <v>978</v>
      </c>
      <c r="B648" s="1" t="s">
        <v>26</v>
      </c>
      <c r="C648" s="1" t="s">
        <v>17</v>
      </c>
      <c r="D648" s="1" t="s">
        <v>20</v>
      </c>
      <c r="E648" s="12">
        <f>F648/16</f>
        <v>3.7499999999999999E-2</v>
      </c>
      <c r="F648" s="12">
        <f>Systems!L46</f>
        <v>0.6</v>
      </c>
      <c r="G648" s="1" t="s">
        <v>23</v>
      </c>
      <c r="H648" s="1" t="s">
        <v>501</v>
      </c>
    </row>
    <row r="649" spans="1:8">
      <c r="A649" s="248"/>
      <c r="B649" s="248"/>
      <c r="C649" s="248"/>
      <c r="D649" s="248"/>
      <c r="E649" s="250"/>
      <c r="F649" s="250"/>
      <c r="G649" s="248"/>
      <c r="H649" s="248"/>
    </row>
    <row r="650" spans="1:8">
      <c r="A650" s="1" t="s">
        <v>4451</v>
      </c>
      <c r="B650" s="1" t="s">
        <v>26</v>
      </c>
      <c r="C650" s="1" t="s">
        <v>3033</v>
      </c>
      <c r="D650" s="1" t="s">
        <v>19</v>
      </c>
      <c r="E650" s="12">
        <f>180*F650</f>
        <v>58.471095005999999</v>
      </c>
      <c r="F650" s="12">
        <f>Systems!D82</f>
        <v>0.32483941669999999</v>
      </c>
      <c r="G650" s="1" t="s">
        <v>14</v>
      </c>
      <c r="H650" s="1" t="s">
        <v>214</v>
      </c>
    </row>
    <row r="651" spans="1:8">
      <c r="A651" s="1" t="s">
        <v>200</v>
      </c>
      <c r="B651" s="1" t="s">
        <v>6949</v>
      </c>
      <c r="C651" s="1" t="s">
        <v>3033</v>
      </c>
      <c r="D651" s="1" t="s">
        <v>19</v>
      </c>
      <c r="E651" s="12">
        <f>F651</f>
        <v>0.30480000000000002</v>
      </c>
      <c r="F651" s="12">
        <f>Systems!D12</f>
        <v>0.30480000000000002</v>
      </c>
      <c r="G651" s="1" t="s">
        <v>14</v>
      </c>
      <c r="H651" s="1" t="s">
        <v>214</v>
      </c>
    </row>
    <row r="652" spans="1:8">
      <c r="A652" s="1" t="s">
        <v>1938</v>
      </c>
      <c r="B652" s="1" t="s">
        <v>26</v>
      </c>
      <c r="C652" s="1" t="s">
        <v>3033</v>
      </c>
      <c r="D652" s="1" t="s">
        <v>19</v>
      </c>
      <c r="E652" s="12">
        <f>15840*F652</f>
        <v>4828.0320000000002</v>
      </c>
      <c r="F652" s="12">
        <f>Systems!D6</f>
        <v>0.30480000000000002</v>
      </c>
      <c r="G652" s="1" t="s">
        <v>14</v>
      </c>
      <c r="H652" s="1" t="s">
        <v>214</v>
      </c>
    </row>
    <row r="653" spans="1:8">
      <c r="A653" s="1" t="s">
        <v>816</v>
      </c>
      <c r="B653" s="1" t="s">
        <v>26</v>
      </c>
      <c r="C653" s="1" t="s">
        <v>3033</v>
      </c>
      <c r="D653" s="1" t="s">
        <v>19</v>
      </c>
      <c r="E653" s="12">
        <f>18*F653</f>
        <v>5.8471095006000002</v>
      </c>
      <c r="F653" s="12">
        <f>Systems!D82</f>
        <v>0.32483941669999999</v>
      </c>
      <c r="G653" s="1" t="s">
        <v>14</v>
      </c>
      <c r="H653" s="1" t="s">
        <v>214</v>
      </c>
    </row>
    <row r="654" spans="1:8" ht="16.5">
      <c r="A654" s="1" t="s">
        <v>45</v>
      </c>
      <c r="B654" s="1" t="s">
        <v>6976</v>
      </c>
      <c r="C654" s="1" t="s">
        <v>3034</v>
      </c>
      <c r="D654" s="1" t="s">
        <v>38</v>
      </c>
      <c r="E654" s="12">
        <f>4840*F654</f>
        <v>4046.8564224000011</v>
      </c>
      <c r="F654" s="12">
        <f>POWER(3*Systems!D6,2)</f>
        <v>0.83612736000000021</v>
      </c>
      <c r="G654" s="1" t="s">
        <v>39</v>
      </c>
      <c r="H654" s="1" t="s">
        <v>214</v>
      </c>
    </row>
    <row r="655" spans="1:8" ht="16.5">
      <c r="A655" s="1" t="s">
        <v>1017</v>
      </c>
      <c r="B655" s="1" t="s">
        <v>62</v>
      </c>
      <c r="C655" s="1" t="s">
        <v>3034</v>
      </c>
      <c r="D655" s="1" t="s">
        <v>38</v>
      </c>
      <c r="E655" s="12">
        <f>32400*F655</f>
        <v>3418.8689512006777</v>
      </c>
      <c r="F655" s="12">
        <f>POWER(Systems!D82,2)</f>
        <v>0.10552064664199623</v>
      </c>
      <c r="G655" s="1" t="s">
        <v>39</v>
      </c>
      <c r="H655" s="1" t="s">
        <v>214</v>
      </c>
    </row>
    <row r="656" spans="1:8" ht="16.5">
      <c r="A656" s="1" t="s">
        <v>4452</v>
      </c>
      <c r="B656" s="1" t="s">
        <v>6980</v>
      </c>
      <c r="C656" s="1" t="s">
        <v>3034</v>
      </c>
      <c r="D656" s="1" t="s">
        <v>38</v>
      </c>
      <c r="E656" s="12">
        <f>9*F656</f>
        <v>23309892.993023999</v>
      </c>
      <c r="F656" s="12">
        <f>POWER(5280*Systems!D6,2)</f>
        <v>2589988.1103360001</v>
      </c>
      <c r="G656" s="1" t="s">
        <v>39</v>
      </c>
      <c r="H656" s="1" t="s">
        <v>214</v>
      </c>
    </row>
    <row r="657" spans="1:8" ht="16.5">
      <c r="A657" s="1" t="s">
        <v>4453</v>
      </c>
      <c r="B657" s="1" t="s">
        <v>6950</v>
      </c>
      <c r="C657" s="1" t="s">
        <v>3034</v>
      </c>
      <c r="D657" s="1" t="s">
        <v>38</v>
      </c>
      <c r="E657" s="12">
        <f>F657</f>
        <v>9.2903040000000006E-2</v>
      </c>
      <c r="F657" s="12">
        <f>Systems!H12</f>
        <v>9.2903040000000006E-2</v>
      </c>
      <c r="G657" s="1" t="s">
        <v>39</v>
      </c>
      <c r="H657" s="1" t="s">
        <v>214</v>
      </c>
    </row>
    <row r="658" spans="1:8" ht="16.5">
      <c r="A658" s="1" t="s">
        <v>6920</v>
      </c>
      <c r="B658" s="1" t="s">
        <v>26</v>
      </c>
      <c r="C658" s="1" t="s">
        <v>3034</v>
      </c>
      <c r="D658" s="1" t="s">
        <v>38</v>
      </c>
      <c r="E658" s="12">
        <f>250000*F658</f>
        <v>250000</v>
      </c>
      <c r="F658" s="12">
        <f>SI!E3</f>
        <v>1</v>
      </c>
      <c r="G658" s="1" t="s">
        <v>39</v>
      </c>
      <c r="H658" s="1" t="s">
        <v>214</v>
      </c>
    </row>
    <row r="659" spans="1:8" ht="16.5">
      <c r="A659" s="1" t="s">
        <v>4454</v>
      </c>
      <c r="B659" s="1" t="s">
        <v>461</v>
      </c>
      <c r="C659" s="1" t="s">
        <v>2936</v>
      </c>
      <c r="D659" s="1" t="s">
        <v>32</v>
      </c>
      <c r="E659" s="12">
        <f>F659</f>
        <v>1</v>
      </c>
      <c r="F659" s="12">
        <f>POWER(SI!E3,3)</f>
        <v>1</v>
      </c>
      <c r="G659" s="1" t="s">
        <v>33</v>
      </c>
      <c r="H659" s="1" t="s">
        <v>214</v>
      </c>
    </row>
    <row r="660" spans="1:8" ht="16.5">
      <c r="A660" s="1" t="s">
        <v>4455</v>
      </c>
      <c r="B660" s="1" t="s">
        <v>332</v>
      </c>
      <c r="C660" s="1" t="s">
        <v>2936</v>
      </c>
      <c r="D660" s="1" t="s">
        <v>32</v>
      </c>
      <c r="E660" s="12">
        <f>F660/12</f>
        <v>2.3597372160000002E-3</v>
      </c>
      <c r="F660" s="12">
        <f>POWER(Systems!D6,3)</f>
        <v>2.8316846592000004E-2</v>
      </c>
      <c r="G660" s="1" t="s">
        <v>33</v>
      </c>
      <c r="H660" s="1" t="s">
        <v>214</v>
      </c>
    </row>
    <row r="661" spans="1:8" ht="16.5">
      <c r="A661" s="1" t="s">
        <v>818</v>
      </c>
      <c r="B661" s="1" t="s">
        <v>6963</v>
      </c>
      <c r="C661" s="1" t="s">
        <v>2935</v>
      </c>
      <c r="D661" s="1" t="s">
        <v>32</v>
      </c>
      <c r="E661" s="12">
        <f>F661</f>
        <v>4.5460919999999998E-3</v>
      </c>
      <c r="F661" s="12">
        <f>Systems!P6</f>
        <v>4.5460919999999998E-3</v>
      </c>
      <c r="G661" s="1" t="s">
        <v>33</v>
      </c>
      <c r="H661" s="1" t="s">
        <v>214</v>
      </c>
    </row>
    <row r="662" spans="1:8" ht="16.5">
      <c r="A662" s="1" t="s">
        <v>4456</v>
      </c>
      <c r="B662" s="1" t="s">
        <v>2830</v>
      </c>
      <c r="C662" s="1" t="s">
        <v>2935</v>
      </c>
      <c r="D662" s="1" t="s">
        <v>32</v>
      </c>
      <c r="E662" s="26">
        <f>F662</f>
        <v>1E-3</v>
      </c>
      <c r="F662" s="26">
        <f>'Physical Definitions'!E9</f>
        <v>1E-3</v>
      </c>
      <c r="G662" s="1" t="s">
        <v>33</v>
      </c>
      <c r="H662" s="9" t="s">
        <v>214</v>
      </c>
    </row>
    <row r="663" spans="1:8">
      <c r="A663" s="1" t="s">
        <v>1761</v>
      </c>
      <c r="B663" s="1" t="s">
        <v>1760</v>
      </c>
      <c r="C663" s="1" t="s">
        <v>17</v>
      </c>
      <c r="D663" s="1" t="s">
        <v>20</v>
      </c>
      <c r="E663" s="12">
        <f>112*F663</f>
        <v>50.802345440000003</v>
      </c>
      <c r="F663" s="12">
        <f>Systems!L6</f>
        <v>0.45359237000000002</v>
      </c>
      <c r="G663" s="1" t="s">
        <v>23</v>
      </c>
      <c r="H663" s="1" t="s">
        <v>214</v>
      </c>
    </row>
    <row r="664" spans="1:8">
      <c r="A664" s="1" t="s">
        <v>4457</v>
      </c>
      <c r="B664" s="1" t="s">
        <v>4459</v>
      </c>
      <c r="C664" s="1" t="s">
        <v>17</v>
      </c>
      <c r="D664" s="1" t="s">
        <v>20</v>
      </c>
      <c r="E664" s="12">
        <f>112*F664</f>
        <v>50.802345440000003</v>
      </c>
      <c r="F664" s="12">
        <f>Systems!L6</f>
        <v>0.45359237000000002</v>
      </c>
      <c r="G664" s="1" t="s">
        <v>23</v>
      </c>
      <c r="H664" s="1" t="s">
        <v>214</v>
      </c>
    </row>
    <row r="665" spans="1:8" ht="28.8">
      <c r="A665" s="1" t="s">
        <v>4458</v>
      </c>
      <c r="B665" s="1" t="s">
        <v>4460</v>
      </c>
      <c r="C665" s="1" t="s">
        <v>17</v>
      </c>
      <c r="D665" s="1" t="s">
        <v>20</v>
      </c>
      <c r="E665" s="12">
        <f>112*F665</f>
        <v>50.802345440000003</v>
      </c>
      <c r="F665" s="12">
        <f>Systems!L6</f>
        <v>0.45359237000000002</v>
      </c>
      <c r="G665" s="1" t="s">
        <v>23</v>
      </c>
      <c r="H665" s="1" t="s">
        <v>214</v>
      </c>
    </row>
    <row r="666" spans="1:8">
      <c r="A666" s="1" t="s">
        <v>4461</v>
      </c>
      <c r="B666" s="1" t="s">
        <v>4462</v>
      </c>
      <c r="C666" s="1" t="s">
        <v>17</v>
      </c>
      <c r="D666" s="1" t="s">
        <v>20</v>
      </c>
      <c r="E666" s="12">
        <f>100*F666</f>
        <v>45.359237</v>
      </c>
      <c r="F666" s="12">
        <f>Systems!L6</f>
        <v>0.45359237000000002</v>
      </c>
      <c r="G666" s="1" t="s">
        <v>23</v>
      </c>
      <c r="H666" s="1" t="s">
        <v>214</v>
      </c>
    </row>
    <row r="667" spans="1:8">
      <c r="A667" s="1" t="s">
        <v>4464</v>
      </c>
      <c r="B667" s="1" t="s">
        <v>4463</v>
      </c>
      <c r="C667" s="1" t="s">
        <v>17</v>
      </c>
      <c r="D667" s="1" t="s">
        <v>20</v>
      </c>
      <c r="E667" s="12">
        <f>100*F667</f>
        <v>45.359237</v>
      </c>
      <c r="F667" s="12">
        <f>Systems!L6</f>
        <v>0.45359237000000002</v>
      </c>
      <c r="G667" s="1" t="s">
        <v>23</v>
      </c>
      <c r="H667" s="1" t="s">
        <v>214</v>
      </c>
    </row>
    <row r="668" spans="1:8">
      <c r="A668" s="1" t="s">
        <v>819</v>
      </c>
      <c r="B668" s="1" t="s">
        <v>6981</v>
      </c>
      <c r="C668" s="1" t="s">
        <v>17</v>
      </c>
      <c r="D668" s="1" t="s">
        <v>20</v>
      </c>
      <c r="E668" s="12">
        <f>F668</f>
        <v>0.45359233799999998</v>
      </c>
      <c r="F668" s="12">
        <f>Systems!L12</f>
        <v>0.45359233799999998</v>
      </c>
      <c r="G668" s="1" t="s">
        <v>23</v>
      </c>
      <c r="H668" s="1" t="s">
        <v>214</v>
      </c>
    </row>
    <row r="669" spans="1:8">
      <c r="A669" s="248"/>
      <c r="B669" s="248"/>
      <c r="C669" s="248"/>
      <c r="D669" s="248"/>
      <c r="E669" s="250"/>
      <c r="F669" s="250"/>
      <c r="G669" s="248"/>
      <c r="H669" s="248"/>
    </row>
    <row r="670" spans="1:8">
      <c r="A670" s="1" t="s">
        <v>4465</v>
      </c>
      <c r="B670" s="1" t="s">
        <v>26</v>
      </c>
      <c r="C670" s="1" t="s">
        <v>3033</v>
      </c>
      <c r="D670" s="1" t="s">
        <v>19</v>
      </c>
      <c r="E670" s="12">
        <f>F670</f>
        <v>0.46400000000000002</v>
      </c>
      <c r="F670" s="12">
        <f>Systems!D47</f>
        <v>0.46400000000000002</v>
      </c>
      <c r="G670" s="1" t="s">
        <v>14</v>
      </c>
      <c r="H670" s="1" t="s">
        <v>491</v>
      </c>
    </row>
    <row r="671" spans="1:8">
      <c r="A671" s="1" t="s">
        <v>4466</v>
      </c>
      <c r="B671" s="1" t="s">
        <v>26</v>
      </c>
      <c r="C671" s="1" t="s">
        <v>3033</v>
      </c>
      <c r="D671" s="1" t="s">
        <v>19</v>
      </c>
      <c r="E671" s="12">
        <f>F671</f>
        <v>0.47199999999999998</v>
      </c>
      <c r="F671" s="12">
        <f>Systems!D48</f>
        <v>0.47199999999999998</v>
      </c>
      <c r="G671" s="1" t="s">
        <v>14</v>
      </c>
      <c r="H671" s="1" t="s">
        <v>491</v>
      </c>
    </row>
    <row r="672" spans="1:8" ht="16.5">
      <c r="A672" s="1" t="s">
        <v>4467</v>
      </c>
      <c r="B672" s="1" t="s">
        <v>26</v>
      </c>
      <c r="C672" s="1" t="s">
        <v>3034</v>
      </c>
      <c r="D672" s="1" t="s">
        <v>38</v>
      </c>
      <c r="E672" s="12">
        <f>F672</f>
        <v>0.21529600000000002</v>
      </c>
      <c r="F672" s="12">
        <f>Systems!H47</f>
        <v>0.21529600000000002</v>
      </c>
      <c r="G672" s="1" t="s">
        <v>39</v>
      </c>
      <c r="H672" s="1" t="s">
        <v>491</v>
      </c>
    </row>
    <row r="673" spans="1:8" ht="16.5">
      <c r="A673" s="1" t="s">
        <v>4468</v>
      </c>
      <c r="B673" s="1" t="s">
        <v>26</v>
      </c>
      <c r="C673" s="1" t="s">
        <v>3034</v>
      </c>
      <c r="D673" s="1" t="s">
        <v>38</v>
      </c>
      <c r="E673" s="12">
        <f>F673</f>
        <v>0.22278399999999998</v>
      </c>
      <c r="F673" s="12">
        <f>Systems!H48</f>
        <v>0.22278399999999998</v>
      </c>
      <c r="G673" s="1" t="s">
        <v>39</v>
      </c>
      <c r="H673" s="1" t="s">
        <v>491</v>
      </c>
    </row>
    <row r="674" spans="1:8">
      <c r="A674" s="1" t="s">
        <v>4469</v>
      </c>
      <c r="B674" s="1" t="s">
        <v>26</v>
      </c>
      <c r="C674" s="1" t="s">
        <v>17</v>
      </c>
      <c r="D674" s="1" t="s">
        <v>20</v>
      </c>
      <c r="E674" s="12">
        <f>800*F674</f>
        <v>226.79599999999999</v>
      </c>
      <c r="F674" s="12">
        <f>Systems!L47</f>
        <v>0.283495</v>
      </c>
      <c r="G674" s="1" t="s">
        <v>23</v>
      </c>
      <c r="H674" s="1" t="s">
        <v>491</v>
      </c>
    </row>
    <row r="675" spans="1:8">
      <c r="A675" s="1" t="s">
        <v>4470</v>
      </c>
      <c r="B675" s="1" t="s">
        <v>26</v>
      </c>
      <c r="C675" s="1" t="s">
        <v>17</v>
      </c>
      <c r="D675" s="1" t="s">
        <v>20</v>
      </c>
      <c r="E675" s="12">
        <f>800*F675</f>
        <v>226.79599999999999</v>
      </c>
      <c r="F675" s="12">
        <f>Systems!L47</f>
        <v>0.283495</v>
      </c>
      <c r="G675" s="1" t="s">
        <v>23</v>
      </c>
      <c r="H675" s="1" t="s">
        <v>491</v>
      </c>
    </row>
    <row r="676" spans="1:8">
      <c r="A676" s="1" t="s">
        <v>4471</v>
      </c>
      <c r="B676" s="1" t="s">
        <v>26</v>
      </c>
      <c r="C676" s="1" t="s">
        <v>17</v>
      </c>
      <c r="D676" s="1" t="s">
        <v>20</v>
      </c>
      <c r="E676" s="12">
        <f>F676/2880</f>
        <v>9.8435763888888886E-5</v>
      </c>
      <c r="F676" s="12">
        <f>Systems!L47</f>
        <v>0.283495</v>
      </c>
      <c r="G676" s="1" t="s">
        <v>23</v>
      </c>
      <c r="H676" s="1" t="s">
        <v>491</v>
      </c>
    </row>
    <row r="677" spans="1:8">
      <c r="A677" s="1" t="s">
        <v>4472</v>
      </c>
      <c r="B677" s="1" t="s">
        <v>26</v>
      </c>
      <c r="C677" s="1" t="s">
        <v>17</v>
      </c>
      <c r="D677" s="1" t="s">
        <v>20</v>
      </c>
      <c r="E677" s="12">
        <f>F677/2880</f>
        <v>9.8435763888888886E-5</v>
      </c>
      <c r="F677" s="12">
        <f>Systems!L47</f>
        <v>0.283495</v>
      </c>
      <c r="G677" s="1" t="s">
        <v>23</v>
      </c>
      <c r="H677" s="1" t="s">
        <v>491</v>
      </c>
    </row>
    <row r="678" spans="1:8">
      <c r="A678" s="1" t="s">
        <v>4473</v>
      </c>
      <c r="B678" s="1" t="s">
        <v>26</v>
      </c>
      <c r="C678" s="1" t="s">
        <v>17</v>
      </c>
      <c r="D678" s="1" t="s">
        <v>20</v>
      </c>
      <c r="E678" s="12">
        <f>40*F678</f>
        <v>11.3398</v>
      </c>
      <c r="F678" s="12">
        <f>Systems!L47</f>
        <v>0.283495</v>
      </c>
      <c r="G678" s="1" t="s">
        <v>23</v>
      </c>
      <c r="H678" s="1" t="s">
        <v>491</v>
      </c>
    </row>
    <row r="679" spans="1:8">
      <c r="A679" s="1" t="s">
        <v>4474</v>
      </c>
      <c r="B679" s="1" t="s">
        <v>26</v>
      </c>
      <c r="C679" s="1" t="s">
        <v>17</v>
      </c>
      <c r="D679" s="1" t="s">
        <v>20</v>
      </c>
      <c r="E679" s="12">
        <f>40*F679</f>
        <v>11.3398</v>
      </c>
      <c r="F679" s="12">
        <f>Systems!L47</f>
        <v>0.283495</v>
      </c>
      <c r="G679" s="1" t="s">
        <v>23</v>
      </c>
      <c r="H679" s="1" t="s">
        <v>491</v>
      </c>
    </row>
    <row r="680" spans="1:8">
      <c r="A680" s="1" t="s">
        <v>4475</v>
      </c>
      <c r="B680" s="1" t="s">
        <v>26</v>
      </c>
      <c r="C680" s="1" t="s">
        <v>17</v>
      </c>
      <c r="D680" s="1" t="s">
        <v>20</v>
      </c>
      <c r="E680" s="12">
        <f>F680/80</f>
        <v>3.5436875E-3</v>
      </c>
      <c r="F680" s="12">
        <f>Systems!L47</f>
        <v>0.283495</v>
      </c>
      <c r="G680" s="1" t="s">
        <v>23</v>
      </c>
      <c r="H680" s="1" t="s">
        <v>491</v>
      </c>
    </row>
    <row r="681" spans="1:8">
      <c r="A681" s="1" t="s">
        <v>4476</v>
      </c>
      <c r="B681" s="1" t="s">
        <v>26</v>
      </c>
      <c r="C681" s="1" t="s">
        <v>17</v>
      </c>
      <c r="D681" s="1" t="s">
        <v>20</v>
      </c>
      <c r="E681" s="12">
        <f>F681/80</f>
        <v>3.5436875E-3</v>
      </c>
      <c r="F681" s="12">
        <f>Systems!L47</f>
        <v>0.283495</v>
      </c>
      <c r="G681" s="1" t="s">
        <v>23</v>
      </c>
      <c r="H681" s="1" t="s">
        <v>491</v>
      </c>
    </row>
    <row r="682" spans="1:8">
      <c r="A682" s="1" t="s">
        <v>4477</v>
      </c>
      <c r="B682" s="1" t="s">
        <v>26</v>
      </c>
      <c r="C682" s="1" t="s">
        <v>17</v>
      </c>
      <c r="D682" s="1" t="s">
        <v>20</v>
      </c>
      <c r="E682" s="12">
        <f>F682/8</f>
        <v>3.5436875E-2</v>
      </c>
      <c r="F682" s="12">
        <f>Systems!L47</f>
        <v>0.283495</v>
      </c>
      <c r="G682" s="1" t="s">
        <v>23</v>
      </c>
      <c r="H682" s="1" t="s">
        <v>491</v>
      </c>
    </row>
    <row r="683" spans="1:8">
      <c r="A683" s="1" t="s">
        <v>4478</v>
      </c>
      <c r="B683" s="1" t="s">
        <v>26</v>
      </c>
      <c r="C683" s="1" t="s">
        <v>17</v>
      </c>
      <c r="D683" s="1" t="s">
        <v>20</v>
      </c>
      <c r="E683" s="12">
        <f>F683/8</f>
        <v>3.5436875E-2</v>
      </c>
      <c r="F683" s="12">
        <f>Systems!L47</f>
        <v>0.283495</v>
      </c>
      <c r="G683" s="1" t="s">
        <v>23</v>
      </c>
      <c r="H683" s="1" t="s">
        <v>491</v>
      </c>
    </row>
    <row r="684" spans="1:8">
      <c r="A684" s="1" t="s">
        <v>4479</v>
      </c>
      <c r="B684" s="1" t="s">
        <v>26</v>
      </c>
      <c r="C684" s="1" t="s">
        <v>17</v>
      </c>
      <c r="D684" s="1" t="s">
        <v>20</v>
      </c>
      <c r="E684" s="12">
        <f>F684/4</f>
        <v>7.0873749999999999E-2</v>
      </c>
      <c r="F684" s="12">
        <f>Systems!L47</f>
        <v>0.283495</v>
      </c>
      <c r="G684" s="1" t="s">
        <v>23</v>
      </c>
      <c r="H684" s="1" t="s">
        <v>491</v>
      </c>
    </row>
    <row r="685" spans="1:8">
      <c r="A685" s="1" t="s">
        <v>4480</v>
      </c>
      <c r="B685" s="1" t="s">
        <v>26</v>
      </c>
      <c r="C685" s="1" t="s">
        <v>17</v>
      </c>
      <c r="D685" s="1" t="s">
        <v>20</v>
      </c>
      <c r="E685" s="12">
        <f>F685/4</f>
        <v>7.0873749999999999E-2</v>
      </c>
      <c r="F685" s="12">
        <f>Systems!L47</f>
        <v>0.283495</v>
      </c>
      <c r="G685" s="1" t="s">
        <v>23</v>
      </c>
      <c r="H685" s="1" t="s">
        <v>491</v>
      </c>
    </row>
    <row r="686" spans="1:8">
      <c r="A686" s="1" t="s">
        <v>4481</v>
      </c>
      <c r="B686" s="1" t="s">
        <v>26</v>
      </c>
      <c r="C686" s="1" t="s">
        <v>17</v>
      </c>
      <c r="D686" s="1" t="s">
        <v>20</v>
      </c>
      <c r="E686" s="12">
        <f>F686</f>
        <v>0.283495</v>
      </c>
      <c r="F686" s="12">
        <f>Systems!L47</f>
        <v>0.283495</v>
      </c>
      <c r="G686" s="1" t="s">
        <v>23</v>
      </c>
      <c r="H686" s="1" t="s">
        <v>491</v>
      </c>
    </row>
    <row r="687" spans="1:8">
      <c r="A687" s="1" t="s">
        <v>4482</v>
      </c>
      <c r="B687" s="1" t="s">
        <v>26</v>
      </c>
      <c r="C687" s="1" t="s">
        <v>17</v>
      </c>
      <c r="D687" s="1" t="s">
        <v>20</v>
      </c>
      <c r="E687" s="12">
        <f>F687</f>
        <v>0.283495</v>
      </c>
      <c r="F687" s="12">
        <f>Systems!L47</f>
        <v>0.283495</v>
      </c>
      <c r="G687" s="1" t="s">
        <v>23</v>
      </c>
      <c r="H687" s="1" t="s">
        <v>491</v>
      </c>
    </row>
    <row r="688" spans="1:8">
      <c r="A688" s="1" t="s">
        <v>4483</v>
      </c>
      <c r="B688" s="1" t="s">
        <v>26</v>
      </c>
      <c r="C688" s="1" t="s">
        <v>17</v>
      </c>
      <c r="D688" s="1" t="s">
        <v>20</v>
      </c>
      <c r="E688" s="12">
        <f>F688/8</f>
        <v>3.5436875E-2</v>
      </c>
      <c r="F688" s="12">
        <f>Systems!L47</f>
        <v>0.283495</v>
      </c>
      <c r="G688" s="1" t="s">
        <v>23</v>
      </c>
      <c r="H688" s="1" t="s">
        <v>491</v>
      </c>
    </row>
    <row r="689" spans="1:8">
      <c r="A689" s="1" t="s">
        <v>4484</v>
      </c>
      <c r="B689" s="1" t="s">
        <v>26</v>
      </c>
      <c r="C689" s="1" t="s">
        <v>17</v>
      </c>
      <c r="D689" s="1" t="s">
        <v>20</v>
      </c>
      <c r="E689" s="12">
        <f>F689/8</f>
        <v>3.5436875E-2</v>
      </c>
      <c r="F689" s="12">
        <f>Systems!L47</f>
        <v>0.283495</v>
      </c>
      <c r="G689" s="1" t="s">
        <v>23</v>
      </c>
      <c r="H689" s="1" t="s">
        <v>491</v>
      </c>
    </row>
    <row r="690" spans="1:8">
      <c r="A690" s="1" t="s">
        <v>4485</v>
      </c>
      <c r="B690" s="1" t="s">
        <v>26</v>
      </c>
      <c r="C690" s="1" t="s">
        <v>17</v>
      </c>
      <c r="D690" s="1" t="s">
        <v>20</v>
      </c>
      <c r="E690" s="12">
        <f>5*F690</f>
        <v>1.417475</v>
      </c>
      <c r="F690" s="12">
        <f>Systems!L47</f>
        <v>0.283495</v>
      </c>
      <c r="G690" s="1" t="s">
        <v>23</v>
      </c>
      <c r="H690" s="1" t="s">
        <v>491</v>
      </c>
    </row>
    <row r="691" spans="1:8">
      <c r="A691" s="1" t="s">
        <v>4486</v>
      </c>
      <c r="B691" s="1" t="s">
        <v>26</v>
      </c>
      <c r="C691" s="1" t="s">
        <v>17</v>
      </c>
      <c r="D691" s="1" t="s">
        <v>20</v>
      </c>
      <c r="E691" s="12">
        <f>5*F691</f>
        <v>1.417475</v>
      </c>
      <c r="F691" s="12">
        <f>Systems!L47</f>
        <v>0.283495</v>
      </c>
      <c r="G691" s="1" t="s">
        <v>23</v>
      </c>
      <c r="H691" s="1" t="s">
        <v>491</v>
      </c>
    </row>
    <row r="692" spans="1:8" ht="16.5">
      <c r="A692" s="1" t="s">
        <v>2874</v>
      </c>
      <c r="B692" s="1" t="s">
        <v>26</v>
      </c>
      <c r="C692" s="1" t="s">
        <v>2936</v>
      </c>
      <c r="D692" s="1" t="s">
        <v>32</v>
      </c>
      <c r="E692" s="12">
        <f>F692</f>
        <v>2.6489999999999999E-4</v>
      </c>
      <c r="F692" s="12">
        <f>Systems!T47</f>
        <v>2.6489999999999999E-4</v>
      </c>
      <c r="G692" s="1" t="s">
        <v>33</v>
      </c>
      <c r="H692" s="1" t="s">
        <v>491</v>
      </c>
    </row>
    <row r="693" spans="1:8" ht="16.5">
      <c r="A693" s="43" t="s">
        <v>4487</v>
      </c>
      <c r="B693" s="1" t="s">
        <v>26</v>
      </c>
      <c r="C693" s="1" t="s">
        <v>2935</v>
      </c>
      <c r="D693" s="1" t="s">
        <v>32</v>
      </c>
      <c r="E693" s="12">
        <f>F693</f>
        <v>9.9897344000000013E-2</v>
      </c>
      <c r="F693" s="12">
        <f>Systems!P47</f>
        <v>9.9897344000000013E-2</v>
      </c>
      <c r="G693" s="1" t="s">
        <v>33</v>
      </c>
      <c r="H693" s="1" t="s">
        <v>491</v>
      </c>
    </row>
    <row r="694" spans="1:8" ht="16.5">
      <c r="A694" s="43" t="s">
        <v>4488</v>
      </c>
      <c r="B694" s="1" t="s">
        <v>26</v>
      </c>
      <c r="C694" s="1" t="s">
        <v>2935</v>
      </c>
      <c r="D694" s="1" t="s">
        <v>32</v>
      </c>
      <c r="E694" s="12">
        <f>F694</f>
        <v>0.10515404799999999</v>
      </c>
      <c r="F694" s="12">
        <f>Systems!P48</f>
        <v>0.10515404799999999</v>
      </c>
      <c r="G694" s="1" t="s">
        <v>33</v>
      </c>
      <c r="H694" s="1" t="s">
        <v>491</v>
      </c>
    </row>
    <row r="695" spans="1:8">
      <c r="A695" s="248"/>
      <c r="B695" s="248"/>
      <c r="C695" s="248"/>
      <c r="D695" s="248"/>
      <c r="E695" s="250"/>
      <c r="F695" s="250"/>
      <c r="G695" s="248"/>
      <c r="H695" s="248"/>
    </row>
    <row r="696" spans="1:8">
      <c r="A696" s="1" t="s">
        <v>967</v>
      </c>
      <c r="B696" s="1" t="s">
        <v>124</v>
      </c>
      <c r="C696" s="1" t="s">
        <v>3033</v>
      </c>
      <c r="D696" s="1" t="s">
        <v>19</v>
      </c>
      <c r="E696" s="12">
        <f>0.01*F696</f>
        <v>0.01</v>
      </c>
      <c r="F696" s="12">
        <f>SI!E3</f>
        <v>1</v>
      </c>
      <c r="G696" s="1" t="s">
        <v>14</v>
      </c>
      <c r="H696" s="1" t="s">
        <v>36</v>
      </c>
    </row>
    <row r="697" spans="1:8">
      <c r="A697" s="1" t="s">
        <v>970</v>
      </c>
      <c r="B697" s="1" t="s">
        <v>171</v>
      </c>
      <c r="C697" s="1" t="s">
        <v>3033</v>
      </c>
      <c r="D697" s="1" t="s">
        <v>19</v>
      </c>
      <c r="E697" s="12">
        <f>0.1*F697</f>
        <v>0.1</v>
      </c>
      <c r="F697" s="12">
        <f>SI!E3</f>
        <v>1</v>
      </c>
      <c r="G697" s="1" t="s">
        <v>14</v>
      </c>
      <c r="H697" s="1" t="s">
        <v>36</v>
      </c>
    </row>
    <row r="698" spans="1:8">
      <c r="A698" s="1" t="s">
        <v>966</v>
      </c>
      <c r="B698" s="1" t="s">
        <v>95</v>
      </c>
      <c r="C698" s="1" t="s">
        <v>3033</v>
      </c>
      <c r="D698" s="1" t="s">
        <v>19</v>
      </c>
      <c r="E698" s="12">
        <f>0.001*F698</f>
        <v>1E-3</v>
      </c>
      <c r="F698" s="12">
        <f>SI!E3</f>
        <v>1</v>
      </c>
      <c r="G698" s="1" t="s">
        <v>14</v>
      </c>
      <c r="H698" s="1" t="s">
        <v>36</v>
      </c>
    </row>
    <row r="699" spans="1:8">
      <c r="A699" s="1" t="s">
        <v>3073</v>
      </c>
      <c r="B699" s="1" t="s">
        <v>3095</v>
      </c>
      <c r="C699" s="1" t="s">
        <v>3033</v>
      </c>
      <c r="D699" s="1" t="s">
        <v>19</v>
      </c>
      <c r="E699" s="12">
        <f>0.000001*F699</f>
        <v>9.9999999999999995E-7</v>
      </c>
      <c r="F699" s="12">
        <f>SI!E3</f>
        <v>1</v>
      </c>
      <c r="G699" s="1" t="s">
        <v>14</v>
      </c>
      <c r="H699" s="1" t="s">
        <v>36</v>
      </c>
    </row>
    <row r="700" spans="1:8">
      <c r="A700" s="1" t="s">
        <v>3074</v>
      </c>
      <c r="B700" s="1" t="s">
        <v>165</v>
      </c>
      <c r="C700" s="1" t="s">
        <v>3033</v>
      </c>
      <c r="D700" s="1" t="s">
        <v>19</v>
      </c>
      <c r="E700" s="12">
        <f>0.1*F700</f>
        <v>0.1</v>
      </c>
      <c r="F700" s="12">
        <f>SI!E3</f>
        <v>1</v>
      </c>
      <c r="G700" s="1" t="s">
        <v>14</v>
      </c>
      <c r="H700" s="1" t="s">
        <v>36</v>
      </c>
    </row>
    <row r="701" spans="1:8">
      <c r="A701" s="1" t="s">
        <v>1977</v>
      </c>
      <c r="B701" s="1" t="s">
        <v>14</v>
      </c>
      <c r="C701" s="1" t="s">
        <v>3033</v>
      </c>
      <c r="D701" s="1" t="s">
        <v>19</v>
      </c>
      <c r="E701" s="12">
        <f>F701</f>
        <v>1</v>
      </c>
      <c r="F701" s="12">
        <f>SI!E3</f>
        <v>1</v>
      </c>
      <c r="G701" s="1" t="s">
        <v>14</v>
      </c>
      <c r="H701" s="1" t="s">
        <v>36</v>
      </c>
    </row>
    <row r="702" spans="1:8">
      <c r="A702" s="1" t="s">
        <v>3075</v>
      </c>
      <c r="B702" s="1" t="s">
        <v>3089</v>
      </c>
      <c r="C702" s="1" t="s">
        <v>3033</v>
      </c>
      <c r="D702" s="1" t="s">
        <v>19</v>
      </c>
      <c r="E702" s="12">
        <f>100*F702</f>
        <v>100</v>
      </c>
      <c r="F702" s="12">
        <f>SI!E3</f>
        <v>1</v>
      </c>
      <c r="G702" s="1" t="s">
        <v>14</v>
      </c>
      <c r="H702" s="1" t="s">
        <v>36</v>
      </c>
    </row>
    <row r="703" spans="1:8">
      <c r="A703" s="1" t="s">
        <v>3076</v>
      </c>
      <c r="B703" s="1" t="s">
        <v>3088</v>
      </c>
      <c r="C703" s="1" t="s">
        <v>3033</v>
      </c>
      <c r="D703" s="1" t="s">
        <v>19</v>
      </c>
      <c r="E703" s="12">
        <f>1000*F703</f>
        <v>1000</v>
      </c>
      <c r="F703" s="12">
        <f>SI!E3</f>
        <v>1</v>
      </c>
      <c r="G703" s="1" t="s">
        <v>14</v>
      </c>
      <c r="H703" s="1" t="s">
        <v>36</v>
      </c>
    </row>
    <row r="704" spans="1:8" ht="16.5">
      <c r="A704" s="1" t="s">
        <v>158</v>
      </c>
      <c r="B704" s="1" t="s">
        <v>26</v>
      </c>
      <c r="C704" s="1" t="s">
        <v>3034</v>
      </c>
      <c r="D704" s="1" t="s">
        <v>38</v>
      </c>
      <c r="E704" s="12">
        <f>9.86923266716E-13*F704</f>
        <v>9.869232667160001E-13</v>
      </c>
      <c r="F704" s="12">
        <f>POWER(SI!E3,2)</f>
        <v>1</v>
      </c>
      <c r="G704" s="1" t="s">
        <v>39</v>
      </c>
      <c r="H704" s="1" t="s">
        <v>36</v>
      </c>
    </row>
    <row r="705" spans="1:8" ht="16.5">
      <c r="A705" s="1" t="s">
        <v>4489</v>
      </c>
      <c r="B705" s="1" t="s">
        <v>4491</v>
      </c>
      <c r="C705" s="1" t="s">
        <v>3034</v>
      </c>
      <c r="D705" s="1" t="s">
        <v>38</v>
      </c>
      <c r="E705" s="12">
        <f t="shared" ref="E705:E722" si="1">F705</f>
        <v>1E-4</v>
      </c>
      <c r="F705" s="12">
        <f>Systems!H14</f>
        <v>1E-4</v>
      </c>
      <c r="G705" s="1" t="s">
        <v>39</v>
      </c>
      <c r="H705" s="1" t="s">
        <v>36</v>
      </c>
    </row>
    <row r="706" spans="1:8" ht="16.5">
      <c r="A706" s="1" t="s">
        <v>4599</v>
      </c>
      <c r="B706" s="1" t="s">
        <v>4607</v>
      </c>
      <c r="C706" s="1" t="s">
        <v>3034</v>
      </c>
      <c r="D706" s="1" t="s">
        <v>38</v>
      </c>
      <c r="E706" s="12">
        <f t="shared" si="1"/>
        <v>1.0000000000000002E-2</v>
      </c>
      <c r="F706" s="12">
        <f>POWER(0.1*SI!E3,2)</f>
        <v>1.0000000000000002E-2</v>
      </c>
      <c r="G706" s="1" t="s">
        <v>39</v>
      </c>
      <c r="H706" s="1" t="s">
        <v>36</v>
      </c>
    </row>
    <row r="707" spans="1:8" ht="16.5">
      <c r="A707" s="1" t="s">
        <v>4600</v>
      </c>
      <c r="B707" s="1" t="s">
        <v>4608</v>
      </c>
      <c r="C707" s="1" t="s">
        <v>3034</v>
      </c>
      <c r="D707" s="1" t="s">
        <v>38</v>
      </c>
      <c r="E707" s="12">
        <f t="shared" si="1"/>
        <v>9.9999999999999995E-7</v>
      </c>
      <c r="F707" s="12">
        <f>POWER(0.001*SI!E3,2)</f>
        <v>9.9999999999999995E-7</v>
      </c>
      <c r="G707" s="1" t="s">
        <v>39</v>
      </c>
      <c r="H707" s="1" t="s">
        <v>36</v>
      </c>
    </row>
    <row r="708" spans="1:8" ht="16.5">
      <c r="A708" s="1" t="s">
        <v>4601</v>
      </c>
      <c r="B708" s="1" t="s">
        <v>4609</v>
      </c>
      <c r="C708" s="1" t="s">
        <v>3034</v>
      </c>
      <c r="D708" s="1" t="s">
        <v>38</v>
      </c>
      <c r="E708" s="12">
        <f t="shared" si="1"/>
        <v>1.0000000000000002E-10</v>
      </c>
      <c r="F708" s="12">
        <f>POWER(0.00001*SI!E3,2)</f>
        <v>1.0000000000000002E-10</v>
      </c>
      <c r="G708" s="1" t="s">
        <v>39</v>
      </c>
      <c r="H708" s="1" t="s">
        <v>36</v>
      </c>
    </row>
    <row r="709" spans="1:8" ht="16.5">
      <c r="A709" s="1" t="s">
        <v>4602</v>
      </c>
      <c r="B709" s="1" t="s">
        <v>4610</v>
      </c>
      <c r="C709" s="1" t="s">
        <v>3034</v>
      </c>
      <c r="D709" s="1" t="s">
        <v>38</v>
      </c>
      <c r="E709" s="12">
        <f t="shared" si="1"/>
        <v>1.0000000000000001E-18</v>
      </c>
      <c r="F709" s="12">
        <f>POWER(0.000000001*SI!E3,2)</f>
        <v>1.0000000000000001E-18</v>
      </c>
      <c r="G709" s="1" t="s">
        <v>39</v>
      </c>
      <c r="H709" s="1" t="s">
        <v>36</v>
      </c>
    </row>
    <row r="710" spans="1:8" ht="16.5">
      <c r="A710" s="1" t="s">
        <v>4603</v>
      </c>
      <c r="B710" s="1" t="s">
        <v>4611</v>
      </c>
      <c r="C710" s="1" t="s">
        <v>3034</v>
      </c>
      <c r="D710" s="1" t="s">
        <v>38</v>
      </c>
      <c r="E710" s="12">
        <f t="shared" si="1"/>
        <v>1.0000000000000002E-2</v>
      </c>
      <c r="F710" s="12">
        <f>POWER(0.1*SI!E3,2)</f>
        <v>1.0000000000000002E-2</v>
      </c>
      <c r="G710" s="1" t="s">
        <v>39</v>
      </c>
      <c r="H710" s="1" t="s">
        <v>36</v>
      </c>
    </row>
    <row r="711" spans="1:8" ht="16.5">
      <c r="A711" s="1" t="s">
        <v>4604</v>
      </c>
      <c r="B711" s="1" t="s">
        <v>39</v>
      </c>
      <c r="C711" s="1" t="s">
        <v>3034</v>
      </c>
      <c r="D711" s="1" t="s">
        <v>38</v>
      </c>
      <c r="E711" s="12">
        <f t="shared" si="1"/>
        <v>1</v>
      </c>
      <c r="F711" s="12">
        <f>POWER(SI!E3,2)</f>
        <v>1</v>
      </c>
      <c r="G711" s="1" t="s">
        <v>39</v>
      </c>
      <c r="H711" s="1" t="s">
        <v>36</v>
      </c>
    </row>
    <row r="712" spans="1:8" ht="16.5">
      <c r="A712" s="1" t="s">
        <v>4605</v>
      </c>
      <c r="B712" s="1" t="s">
        <v>4612</v>
      </c>
      <c r="C712" s="1" t="s">
        <v>3034</v>
      </c>
      <c r="D712" s="1" t="s">
        <v>38</v>
      </c>
      <c r="E712" s="12">
        <f t="shared" si="1"/>
        <v>10000</v>
      </c>
      <c r="F712" s="12">
        <f>POWER(100*SI!E3,2)</f>
        <v>10000</v>
      </c>
      <c r="G712" s="1" t="s">
        <v>39</v>
      </c>
      <c r="H712" s="1" t="s">
        <v>36</v>
      </c>
    </row>
    <row r="713" spans="1:8" ht="16.5">
      <c r="A713" s="1" t="s">
        <v>4606</v>
      </c>
      <c r="B713" s="1" t="s">
        <v>4613</v>
      </c>
      <c r="C713" s="1" t="s">
        <v>3034</v>
      </c>
      <c r="D713" s="1" t="s">
        <v>38</v>
      </c>
      <c r="E713" s="12">
        <f t="shared" si="1"/>
        <v>1000000</v>
      </c>
      <c r="F713" s="12">
        <f>POWER(1000*SI!E3,2)</f>
        <v>1000000</v>
      </c>
      <c r="G713" s="1" t="s">
        <v>39</v>
      </c>
      <c r="H713" s="1" t="s">
        <v>36</v>
      </c>
    </row>
    <row r="714" spans="1:8" ht="16.5">
      <c r="A714" s="1" t="s">
        <v>4490</v>
      </c>
      <c r="B714" s="1" t="s">
        <v>4492</v>
      </c>
      <c r="C714" s="1" t="s">
        <v>2936</v>
      </c>
      <c r="D714" s="1" t="s">
        <v>32</v>
      </c>
      <c r="E714" s="12">
        <f t="shared" si="1"/>
        <v>9.9999999999999995E-7</v>
      </c>
      <c r="F714" s="12">
        <f>Systems!T14</f>
        <v>9.9999999999999995E-7</v>
      </c>
      <c r="G714" s="1" t="s">
        <v>33</v>
      </c>
      <c r="H714" s="1" t="s">
        <v>36</v>
      </c>
    </row>
    <row r="715" spans="1:8" ht="16.5">
      <c r="A715" s="1" t="s">
        <v>4614</v>
      </c>
      <c r="B715" s="1" t="s">
        <v>4622</v>
      </c>
      <c r="C715" s="1" t="s">
        <v>2936</v>
      </c>
      <c r="D715" s="1" t="s">
        <v>32</v>
      </c>
      <c r="E715" s="12">
        <f t="shared" si="1"/>
        <v>1.0000000000000002E-3</v>
      </c>
      <c r="F715" s="12">
        <f>POWER(0.1*SI!E13,3)</f>
        <v>1.0000000000000002E-3</v>
      </c>
      <c r="G715" s="1" t="s">
        <v>33</v>
      </c>
      <c r="H715" s="1" t="s">
        <v>36</v>
      </c>
    </row>
    <row r="716" spans="1:8" ht="16.5">
      <c r="A716" s="1" t="s">
        <v>4615</v>
      </c>
      <c r="B716" s="1" t="s">
        <v>4623</v>
      </c>
      <c r="C716" s="1" t="s">
        <v>2936</v>
      </c>
      <c r="D716" s="1" t="s">
        <v>32</v>
      </c>
      <c r="E716" s="12">
        <f t="shared" si="1"/>
        <v>1.0000000000000001E-9</v>
      </c>
      <c r="F716" s="12">
        <f>POWER(0.001*SI!E13,3)</f>
        <v>1.0000000000000001E-9</v>
      </c>
      <c r="G716" s="1" t="s">
        <v>33</v>
      </c>
      <c r="H716" s="1" t="s">
        <v>36</v>
      </c>
    </row>
    <row r="717" spans="1:8" ht="16.5">
      <c r="A717" s="1" t="s">
        <v>4616</v>
      </c>
      <c r="B717" s="1" t="s">
        <v>4624</v>
      </c>
      <c r="C717" s="1" t="s">
        <v>2936</v>
      </c>
      <c r="D717" s="1" t="s">
        <v>32</v>
      </c>
      <c r="E717" s="12">
        <f t="shared" si="1"/>
        <v>1.0000000000000003E-15</v>
      </c>
      <c r="F717" s="12">
        <f>POWER(0.00001*SI!E13,3)</f>
        <v>1.0000000000000003E-15</v>
      </c>
      <c r="G717" s="1" t="s">
        <v>33</v>
      </c>
      <c r="H717" s="1" t="s">
        <v>36</v>
      </c>
    </row>
    <row r="718" spans="1:8" ht="16.5">
      <c r="A718" s="1" t="s">
        <v>4617</v>
      </c>
      <c r="B718" s="1" t="s">
        <v>4625</v>
      </c>
      <c r="C718" s="1" t="s">
        <v>2936</v>
      </c>
      <c r="D718" s="1" t="s">
        <v>32</v>
      </c>
      <c r="E718" s="12">
        <f t="shared" si="1"/>
        <v>1.0000000000000002E-27</v>
      </c>
      <c r="F718" s="12">
        <f>POWER(0.000000001*SI!E13,3)</f>
        <v>1.0000000000000002E-27</v>
      </c>
      <c r="G718" s="1" t="s">
        <v>33</v>
      </c>
      <c r="H718" s="1" t="s">
        <v>36</v>
      </c>
    </row>
    <row r="719" spans="1:8" ht="16.5">
      <c r="A719" s="1" t="s">
        <v>4618</v>
      </c>
      <c r="B719" s="1" t="s">
        <v>4626</v>
      </c>
      <c r="C719" s="1" t="s">
        <v>2936</v>
      </c>
      <c r="D719" s="1" t="s">
        <v>32</v>
      </c>
      <c r="E719" s="12">
        <f t="shared" si="1"/>
        <v>1.0000000000000002E-3</v>
      </c>
      <c r="F719" s="12">
        <f>POWER(0.1*SI!E13,3)</f>
        <v>1.0000000000000002E-3</v>
      </c>
      <c r="G719" s="1" t="s">
        <v>33</v>
      </c>
      <c r="H719" s="1" t="s">
        <v>36</v>
      </c>
    </row>
    <row r="720" spans="1:8" ht="16.5">
      <c r="A720" s="1" t="s">
        <v>4619</v>
      </c>
      <c r="B720" s="1" t="s">
        <v>33</v>
      </c>
      <c r="C720" s="1" t="s">
        <v>2936</v>
      </c>
      <c r="D720" s="1" t="s">
        <v>32</v>
      </c>
      <c r="E720" s="12">
        <f t="shared" si="1"/>
        <v>1</v>
      </c>
      <c r="F720" s="12">
        <f>POWER(SI!E13,3)</f>
        <v>1</v>
      </c>
      <c r="G720" s="1" t="s">
        <v>33</v>
      </c>
      <c r="H720" s="1" t="s">
        <v>36</v>
      </c>
    </row>
    <row r="721" spans="1:8" ht="16.5">
      <c r="A721" s="1" t="s">
        <v>4620</v>
      </c>
      <c r="B721" s="1" t="s">
        <v>4627</v>
      </c>
      <c r="C721" s="1" t="s">
        <v>2936</v>
      </c>
      <c r="D721" s="1" t="s">
        <v>32</v>
      </c>
      <c r="E721" s="12">
        <f t="shared" si="1"/>
        <v>1000000</v>
      </c>
      <c r="F721" s="12">
        <f>POWER(100*SI!E13,3)</f>
        <v>1000000</v>
      </c>
      <c r="G721" s="1" t="s">
        <v>33</v>
      </c>
      <c r="H721" s="1" t="s">
        <v>36</v>
      </c>
    </row>
    <row r="722" spans="1:8" ht="16.5">
      <c r="A722" s="1" t="s">
        <v>4621</v>
      </c>
      <c r="B722" s="1" t="s">
        <v>4628</v>
      </c>
      <c r="C722" s="1" t="s">
        <v>2936</v>
      </c>
      <c r="D722" s="1" t="s">
        <v>32</v>
      </c>
      <c r="E722" s="12">
        <f t="shared" si="1"/>
        <v>1000000000</v>
      </c>
      <c r="F722" s="12">
        <f>POWER(1000*SI!E13,3)</f>
        <v>1000000000</v>
      </c>
      <c r="G722" s="1" t="s">
        <v>33</v>
      </c>
      <c r="H722" s="1" t="s">
        <v>36</v>
      </c>
    </row>
    <row r="723" spans="1:8">
      <c r="A723" s="1" t="s">
        <v>225</v>
      </c>
      <c r="B723" s="1" t="s">
        <v>26</v>
      </c>
      <c r="C723" s="1" t="s">
        <v>17</v>
      </c>
      <c r="D723" s="1" t="s">
        <v>20</v>
      </c>
      <c r="E723" s="12">
        <v>0.98066500000000001</v>
      </c>
      <c r="F723" s="12">
        <f>'Physical Definitions'!E26*'Physical Definitions'!E13*POWER(SI!E4,2)/'Physical Definitions'!E22</f>
        <v>0.98066500000000001</v>
      </c>
      <c r="G723" s="1" t="s">
        <v>23</v>
      </c>
      <c r="H723" s="1" t="s">
        <v>36</v>
      </c>
    </row>
    <row r="724" spans="1:8">
      <c r="A724" s="1" t="s">
        <v>262</v>
      </c>
      <c r="B724" s="1" t="s">
        <v>23</v>
      </c>
      <c r="C724" s="1" t="s">
        <v>17</v>
      </c>
      <c r="D724" s="1" t="s">
        <v>20</v>
      </c>
      <c r="E724" s="12">
        <f>F724</f>
        <v>1</v>
      </c>
      <c r="F724" s="12">
        <f>SI!E2</f>
        <v>1</v>
      </c>
      <c r="G724" s="1" t="s">
        <v>23</v>
      </c>
      <c r="H724" s="1" t="s">
        <v>36</v>
      </c>
    </row>
    <row r="725" spans="1:8">
      <c r="A725" s="1" t="s">
        <v>227</v>
      </c>
      <c r="B725" s="1" t="s">
        <v>174</v>
      </c>
      <c r="C725" s="1" t="s">
        <v>17</v>
      </c>
      <c r="D725" s="1" t="s">
        <v>20</v>
      </c>
      <c r="E725" s="12">
        <f>0.001*F725</f>
        <v>1E-3</v>
      </c>
      <c r="F725" s="12">
        <f>SI!E2</f>
        <v>1</v>
      </c>
      <c r="G725" s="1" t="s">
        <v>23</v>
      </c>
      <c r="H725" s="1" t="s">
        <v>36</v>
      </c>
    </row>
    <row r="726" spans="1:8">
      <c r="A726" s="248"/>
      <c r="B726" s="248"/>
      <c r="C726" s="248"/>
      <c r="D726" s="248"/>
      <c r="E726" s="250"/>
      <c r="F726" s="250"/>
      <c r="G726" s="248"/>
      <c r="H726" s="248"/>
    </row>
    <row r="727" spans="1:8">
      <c r="A727" s="1" t="s">
        <v>932</v>
      </c>
      <c r="C727" s="1" t="s">
        <v>3033</v>
      </c>
      <c r="D727" s="1" t="s">
        <v>19</v>
      </c>
      <c r="E727" s="12">
        <f>F727</f>
        <v>0.83599999999999997</v>
      </c>
      <c r="F727" s="12">
        <f>Systems!D49</f>
        <v>0.83599999999999997</v>
      </c>
      <c r="G727" s="1" t="s">
        <v>14</v>
      </c>
      <c r="H727" s="1" t="s">
        <v>437</v>
      </c>
    </row>
    <row r="728" spans="1:8">
      <c r="A728" s="1" t="s">
        <v>1447</v>
      </c>
      <c r="B728" s="1" t="s">
        <v>26</v>
      </c>
      <c r="C728" s="1" t="s">
        <v>3033</v>
      </c>
      <c r="D728" s="1" t="s">
        <v>19</v>
      </c>
      <c r="E728" s="12">
        <f>150*F728</f>
        <v>125.39999999999999</v>
      </c>
      <c r="F728" s="12">
        <f>Systems!D49</f>
        <v>0.83599999999999997</v>
      </c>
      <c r="G728" s="1" t="s">
        <v>14</v>
      </c>
      <c r="H728" s="1" t="s">
        <v>437</v>
      </c>
    </row>
    <row r="729" spans="1:8">
      <c r="A729" s="1" t="s">
        <v>1945</v>
      </c>
      <c r="B729" s="1" t="s">
        <v>26</v>
      </c>
      <c r="C729" s="1" t="s">
        <v>3033</v>
      </c>
      <c r="D729" s="1" t="s">
        <v>19</v>
      </c>
      <c r="E729" s="12">
        <f>5400*F729</f>
        <v>4514.3999999999996</v>
      </c>
      <c r="F729" s="12">
        <f>Systems!D49</f>
        <v>0.83599999999999997</v>
      </c>
      <c r="G729" s="1" t="s">
        <v>14</v>
      </c>
      <c r="H729" s="1" t="s">
        <v>437</v>
      </c>
    </row>
    <row r="730" spans="1:8">
      <c r="A730" s="1" t="s">
        <v>1964</v>
      </c>
      <c r="B730" s="1" t="s">
        <v>26</v>
      </c>
      <c r="C730" s="1" t="s">
        <v>3033</v>
      </c>
      <c r="D730" s="1" t="s">
        <v>19</v>
      </c>
      <c r="E730" s="12">
        <f>F730/432</f>
        <v>1.9351851851851852E-3</v>
      </c>
      <c r="F730" s="12">
        <f>Systems!D49</f>
        <v>0.83599999999999997</v>
      </c>
      <c r="G730" s="1" t="s">
        <v>14</v>
      </c>
      <c r="H730" s="1" t="s">
        <v>437</v>
      </c>
    </row>
    <row r="731" spans="1:8">
      <c r="A731" s="1" t="s">
        <v>933</v>
      </c>
      <c r="B731" s="1" t="s">
        <v>26</v>
      </c>
      <c r="C731" s="1" t="s">
        <v>3033</v>
      </c>
      <c r="D731" s="1" t="s">
        <v>19</v>
      </c>
      <c r="E731" s="12">
        <f>F731/3</f>
        <v>0.27866666666666667</v>
      </c>
      <c r="F731" s="12">
        <f>Systems!D49</f>
        <v>0.83599999999999997</v>
      </c>
      <c r="G731" s="1" t="s">
        <v>14</v>
      </c>
      <c r="H731" s="1" t="s">
        <v>437</v>
      </c>
    </row>
    <row r="732" spans="1:8">
      <c r="A732" s="1" t="s">
        <v>2306</v>
      </c>
      <c r="B732" s="1" t="s">
        <v>26</v>
      </c>
      <c r="C732" s="1" t="s">
        <v>3033</v>
      </c>
      <c r="D732" s="1" t="s">
        <v>19</v>
      </c>
      <c r="E732" s="12">
        <f>F732/36</f>
        <v>2.322222222222222E-2</v>
      </c>
      <c r="F732" s="12">
        <f>Systems!D49</f>
        <v>0.83599999999999997</v>
      </c>
      <c r="G732" s="1" t="s">
        <v>14</v>
      </c>
      <c r="H732" s="1" t="s">
        <v>437</v>
      </c>
    </row>
    <row r="733" spans="1:8" ht="16.5">
      <c r="A733" s="1" t="s">
        <v>4493</v>
      </c>
      <c r="B733" s="1" t="s">
        <v>26</v>
      </c>
      <c r="C733" s="1" t="s">
        <v>3034</v>
      </c>
      <c r="D733" s="1" t="s">
        <v>38</v>
      </c>
      <c r="E733" s="12">
        <f>F733</f>
        <v>0.69889599999999996</v>
      </c>
      <c r="F733" s="12">
        <f>Systems!H49</f>
        <v>0.69889599999999996</v>
      </c>
      <c r="G733" s="1" t="s">
        <v>39</v>
      </c>
      <c r="H733" s="1" t="s">
        <v>437</v>
      </c>
    </row>
    <row r="734" spans="1:8" ht="16.5">
      <c r="A734" s="1" t="s">
        <v>4494</v>
      </c>
      <c r="B734" s="1" t="s">
        <v>26</v>
      </c>
      <c r="C734" s="1" t="s">
        <v>2936</v>
      </c>
      <c r="D734" s="1" t="s">
        <v>32</v>
      </c>
      <c r="E734" s="12">
        <f>F734</f>
        <v>0.58427705599999991</v>
      </c>
      <c r="F734" s="12">
        <f>Systems!T49</f>
        <v>0.58427705599999991</v>
      </c>
      <c r="G734" s="1" t="s">
        <v>33</v>
      </c>
      <c r="H734" s="1" t="s">
        <v>437</v>
      </c>
    </row>
    <row r="735" spans="1:8" ht="16.5">
      <c r="A735" s="1" t="s">
        <v>825</v>
      </c>
      <c r="B735" s="1" t="s">
        <v>26</v>
      </c>
      <c r="C735" s="1" t="s">
        <v>2935</v>
      </c>
      <c r="D735" s="1" t="s">
        <v>32</v>
      </c>
      <c r="E735" s="12">
        <f>F735</f>
        <v>8.0829999999999999E-3</v>
      </c>
      <c r="F735" s="12">
        <f>Systems!P49</f>
        <v>8.0829999999999999E-3</v>
      </c>
      <c r="G735" s="1" t="s">
        <v>33</v>
      </c>
      <c r="H735" s="1" t="s">
        <v>437</v>
      </c>
    </row>
    <row r="736" spans="1:8" ht="16.5">
      <c r="A736" s="1" t="s">
        <v>1018</v>
      </c>
      <c r="B736" s="1" t="s">
        <v>26</v>
      </c>
      <c r="C736" s="1" t="s">
        <v>2935</v>
      </c>
      <c r="D736" s="1" t="s">
        <v>32</v>
      </c>
      <c r="E736" s="12">
        <f>4*F736</f>
        <v>3.2332E-2</v>
      </c>
      <c r="F736" s="12">
        <f>Systems!P49</f>
        <v>8.0829999999999999E-3</v>
      </c>
      <c r="G736" s="1" t="s">
        <v>33</v>
      </c>
      <c r="H736" s="1" t="s">
        <v>437</v>
      </c>
    </row>
    <row r="737" spans="1:8" ht="16.5">
      <c r="A737" s="1" t="s">
        <v>936</v>
      </c>
      <c r="B737" s="1" t="s">
        <v>26</v>
      </c>
      <c r="C737" s="1" t="s">
        <v>2935</v>
      </c>
      <c r="D737" s="1" t="s">
        <v>32</v>
      </c>
      <c r="E737" s="12">
        <f>F737/8</f>
        <v>1.010375E-3</v>
      </c>
      <c r="F737" s="12">
        <f>Systems!P49</f>
        <v>8.0829999999999999E-3</v>
      </c>
      <c r="G737" s="1" t="s">
        <v>33</v>
      </c>
      <c r="H737" s="1" t="s">
        <v>437</v>
      </c>
    </row>
    <row r="738" spans="1:8" ht="16.5">
      <c r="A738" s="1" t="s">
        <v>823</v>
      </c>
      <c r="B738" s="1" t="s">
        <v>26</v>
      </c>
      <c r="C738" s="1" t="s">
        <v>2935</v>
      </c>
      <c r="D738" s="1" t="s">
        <v>32</v>
      </c>
      <c r="E738" s="12">
        <f>12*F738</f>
        <v>9.6995999999999999E-2</v>
      </c>
      <c r="F738" s="12">
        <f>Systems!P49</f>
        <v>8.0829999999999999E-3</v>
      </c>
      <c r="G738" s="1" t="s">
        <v>33</v>
      </c>
      <c r="H738" s="1" t="s">
        <v>437</v>
      </c>
    </row>
    <row r="739" spans="1:8">
      <c r="A739" s="1" t="s">
        <v>1163</v>
      </c>
      <c r="B739" s="1" t="s">
        <v>26</v>
      </c>
      <c r="C739" s="1" t="s">
        <v>17</v>
      </c>
      <c r="D739" s="1" t="s">
        <v>20</v>
      </c>
      <c r="E739" s="12">
        <f>F739/256</f>
        <v>1.7972382812499999E-3</v>
      </c>
      <c r="F739" s="12">
        <f>Systems!L49</f>
        <v>0.46009299999999997</v>
      </c>
      <c r="G739" s="1" t="s">
        <v>23</v>
      </c>
      <c r="H739" s="1" t="s">
        <v>437</v>
      </c>
    </row>
    <row r="740" spans="1:8">
      <c r="A740" s="1" t="s">
        <v>1018</v>
      </c>
      <c r="B740" s="1" t="s">
        <v>26</v>
      </c>
      <c r="C740" s="1" t="s">
        <v>17</v>
      </c>
      <c r="D740" s="1" t="s">
        <v>20</v>
      </c>
      <c r="E740" s="12">
        <f>25*F740</f>
        <v>11.502324999999999</v>
      </c>
      <c r="F740" s="12">
        <f>Systems!L49</f>
        <v>0.46009299999999997</v>
      </c>
      <c r="G740" s="1" t="s">
        <v>23</v>
      </c>
      <c r="H740" s="1" t="s">
        <v>437</v>
      </c>
    </row>
    <row r="741" spans="1:8">
      <c r="A741" s="1" t="s">
        <v>1364</v>
      </c>
      <c r="B741" s="1" t="s">
        <v>26</v>
      </c>
      <c r="C741" s="1" t="s">
        <v>17</v>
      </c>
      <c r="D741" s="1" t="s">
        <v>20</v>
      </c>
      <c r="E741" s="12">
        <f>F741/100</f>
        <v>4.6009299999999996E-3</v>
      </c>
      <c r="F741" s="12">
        <f>Systems!L49</f>
        <v>0.46009299999999997</v>
      </c>
      <c r="G741" s="1" t="s">
        <v>23</v>
      </c>
      <c r="H741" s="1" t="s">
        <v>437</v>
      </c>
    </row>
    <row r="742" spans="1:8">
      <c r="A742" s="1" t="s">
        <v>1695</v>
      </c>
      <c r="B742" s="1" t="s">
        <v>26</v>
      </c>
      <c r="C742" s="1" t="s">
        <v>17</v>
      </c>
      <c r="D742" s="1" t="s">
        <v>20</v>
      </c>
      <c r="E742" s="12">
        <f>F742/9216</f>
        <v>4.9923285590277775E-5</v>
      </c>
      <c r="F742" s="12">
        <f>Systems!L49</f>
        <v>0.46009299999999997</v>
      </c>
      <c r="G742" s="1" t="s">
        <v>23</v>
      </c>
      <c r="H742" s="1" t="s">
        <v>437</v>
      </c>
    </row>
    <row r="743" spans="1:8">
      <c r="A743" s="1" t="s">
        <v>820</v>
      </c>
      <c r="B743" s="1" t="s">
        <v>26</v>
      </c>
      <c r="C743" s="1" t="s">
        <v>17</v>
      </c>
      <c r="D743" s="1" t="s">
        <v>20</v>
      </c>
      <c r="E743" s="12">
        <f>F743</f>
        <v>0.46009299999999997</v>
      </c>
      <c r="F743" s="12">
        <f>Systems!L49</f>
        <v>0.46009299999999997</v>
      </c>
      <c r="G743" s="1" t="s">
        <v>23</v>
      </c>
      <c r="H743" s="1" t="s">
        <v>437</v>
      </c>
    </row>
    <row r="744" spans="1:8">
      <c r="A744" s="1" t="s">
        <v>2174</v>
      </c>
      <c r="B744" s="1" t="s">
        <v>26</v>
      </c>
      <c r="C744" s="1" t="s">
        <v>17</v>
      </c>
      <c r="D744" s="1" t="s">
        <v>20</v>
      </c>
      <c r="E744" s="12">
        <f>F744/16</f>
        <v>2.8755812499999998E-2</v>
      </c>
      <c r="F744" s="12">
        <f>Systems!L49</f>
        <v>0.46009299999999997</v>
      </c>
      <c r="G744" s="1" t="s">
        <v>23</v>
      </c>
      <c r="H744" s="1" t="s">
        <v>437</v>
      </c>
    </row>
    <row r="745" spans="1:8">
      <c r="A745" s="1" t="s">
        <v>2358</v>
      </c>
      <c r="B745" s="1" t="s">
        <v>26</v>
      </c>
      <c r="C745" s="1" t="s">
        <v>17</v>
      </c>
      <c r="D745" s="1" t="s">
        <v>20</v>
      </c>
      <c r="E745" s="12">
        <f>100*F745</f>
        <v>46.009299999999996</v>
      </c>
      <c r="F745" s="12">
        <f>Systems!L49</f>
        <v>0.46009299999999997</v>
      </c>
      <c r="G745" s="1" t="s">
        <v>23</v>
      </c>
      <c r="H745" s="1" t="s">
        <v>437</v>
      </c>
    </row>
    <row r="746" spans="1:8">
      <c r="A746" s="1" t="s">
        <v>2434</v>
      </c>
      <c r="B746" s="1" t="s">
        <v>26</v>
      </c>
      <c r="C746" s="1" t="s">
        <v>17</v>
      </c>
      <c r="D746" s="1" t="s">
        <v>20</v>
      </c>
      <c r="E746" s="12">
        <f>F746/100</f>
        <v>4.6009299999999996E-3</v>
      </c>
      <c r="F746" s="12">
        <f>Systems!L49</f>
        <v>0.46009299999999997</v>
      </c>
      <c r="G746" s="1" t="s">
        <v>23</v>
      </c>
      <c r="H746" s="1" t="s">
        <v>437</v>
      </c>
    </row>
    <row r="747" spans="1:8">
      <c r="A747" s="248"/>
      <c r="B747" s="248"/>
      <c r="C747" s="248"/>
      <c r="D747" s="248"/>
      <c r="E747" s="250"/>
      <c r="F747" s="250"/>
      <c r="G747" s="248"/>
      <c r="H747" s="248"/>
    </row>
    <row r="748" spans="1:8">
      <c r="A748" s="1" t="s">
        <v>1316</v>
      </c>
      <c r="B748" s="1" t="s">
        <v>26</v>
      </c>
      <c r="C748" s="1" t="s">
        <v>3033</v>
      </c>
      <c r="D748" s="1" t="s">
        <v>19</v>
      </c>
      <c r="E748" s="12">
        <f>5*F748</f>
        <v>1.6</v>
      </c>
      <c r="F748" s="12">
        <f>Systems!D50</f>
        <v>0.32</v>
      </c>
      <c r="G748" s="1" t="s">
        <v>14</v>
      </c>
      <c r="H748" s="1" t="s">
        <v>134</v>
      </c>
    </row>
    <row r="749" spans="1:8">
      <c r="A749" s="1" t="s">
        <v>1025</v>
      </c>
      <c r="B749" s="1" t="s">
        <v>26</v>
      </c>
      <c r="C749" s="1" t="s">
        <v>3033</v>
      </c>
      <c r="D749" s="1" t="s">
        <v>19</v>
      </c>
      <c r="E749" s="12">
        <f>F749</f>
        <v>0.371475</v>
      </c>
      <c r="F749" s="12">
        <f>Systems!D51</f>
        <v>0.371475</v>
      </c>
      <c r="G749" s="1" t="s">
        <v>14</v>
      </c>
      <c r="H749" s="1" t="s">
        <v>134</v>
      </c>
    </row>
    <row r="750" spans="1:8">
      <c r="A750" s="1" t="s">
        <v>1401</v>
      </c>
      <c r="B750" s="1" t="s">
        <v>26</v>
      </c>
      <c r="C750" s="1" t="s">
        <v>3033</v>
      </c>
      <c r="D750" s="1" t="s">
        <v>19</v>
      </c>
      <c r="E750" s="12">
        <f>F750</f>
        <v>0.32</v>
      </c>
      <c r="F750" s="12">
        <f>Systems!D50</f>
        <v>0.32</v>
      </c>
      <c r="G750" s="1" t="s">
        <v>14</v>
      </c>
      <c r="H750" s="1" t="s">
        <v>134</v>
      </c>
    </row>
    <row r="751" spans="1:8">
      <c r="A751" s="1" t="s">
        <v>4495</v>
      </c>
      <c r="B751" s="1" t="s">
        <v>26</v>
      </c>
      <c r="C751" s="1" t="s">
        <v>3033</v>
      </c>
      <c r="D751" s="1" t="s">
        <v>19</v>
      </c>
      <c r="E751" s="12">
        <f>F751</f>
        <v>1</v>
      </c>
      <c r="F751" s="12">
        <f>SI!E3</f>
        <v>1</v>
      </c>
      <c r="G751" s="1" t="s">
        <v>14</v>
      </c>
      <c r="H751" s="1" t="s">
        <v>134</v>
      </c>
    </row>
    <row r="752" spans="1:8">
      <c r="A752" s="1" t="s">
        <v>1467</v>
      </c>
      <c r="B752" s="1" t="s">
        <v>26</v>
      </c>
      <c r="C752" s="1" t="s">
        <v>3033</v>
      </c>
      <c r="D752" s="1" t="s">
        <v>19</v>
      </c>
      <c r="E752" s="12">
        <f>F752/10</f>
        <v>3.2000000000000001E-2</v>
      </c>
      <c r="F752" s="12">
        <f>Systems!D50</f>
        <v>0.32</v>
      </c>
      <c r="G752" s="1" t="s">
        <v>14</v>
      </c>
      <c r="H752" s="1" t="s">
        <v>134</v>
      </c>
    </row>
    <row r="753" spans="1:8">
      <c r="A753" s="1" t="s">
        <v>4496</v>
      </c>
      <c r="B753" s="1" t="s">
        <v>26</v>
      </c>
      <c r="C753" s="1" t="s">
        <v>3033</v>
      </c>
      <c r="D753" s="1" t="s">
        <v>19</v>
      </c>
      <c r="E753" s="12">
        <f>F753/10</f>
        <v>0.1</v>
      </c>
      <c r="F753" s="12">
        <f>SI!E3</f>
        <v>1</v>
      </c>
      <c r="G753" s="1" t="s">
        <v>14</v>
      </c>
      <c r="H753" s="1" t="s">
        <v>134</v>
      </c>
    </row>
    <row r="754" spans="1:8">
      <c r="A754" s="1" t="s">
        <v>1594</v>
      </c>
      <c r="B754" s="1" t="s">
        <v>26</v>
      </c>
      <c r="C754" s="1" t="s">
        <v>3033</v>
      </c>
      <c r="D754" s="1" t="s">
        <v>19</v>
      </c>
      <c r="E754" s="12">
        <f>F754/100</f>
        <v>3.7147500000000002E-3</v>
      </c>
      <c r="F754" s="12">
        <f>Systems!D51</f>
        <v>0.371475</v>
      </c>
      <c r="G754" s="1" t="s">
        <v>14</v>
      </c>
      <c r="H754" s="1" t="s">
        <v>134</v>
      </c>
    </row>
    <row r="755" spans="1:8">
      <c r="A755" s="1" t="s">
        <v>1604</v>
      </c>
      <c r="B755" s="1" t="s">
        <v>26</v>
      </c>
      <c r="C755" s="1" t="s">
        <v>3033</v>
      </c>
      <c r="D755" s="1" t="s">
        <v>19</v>
      </c>
      <c r="E755" s="12">
        <f>F755/100</f>
        <v>3.2000000000000002E-3</v>
      </c>
      <c r="F755" s="12">
        <f>Systems!D50</f>
        <v>0.32</v>
      </c>
      <c r="G755" s="1" t="s">
        <v>14</v>
      </c>
      <c r="H755" s="1" t="s">
        <v>134</v>
      </c>
    </row>
    <row r="756" spans="1:8">
      <c r="A756" s="1" t="s">
        <v>4497</v>
      </c>
      <c r="B756" s="1" t="s">
        <v>26</v>
      </c>
      <c r="C756" s="1" t="s">
        <v>3033</v>
      </c>
      <c r="D756" s="1" t="s">
        <v>19</v>
      </c>
      <c r="E756" s="12">
        <f>120*F756</f>
        <v>38.4</v>
      </c>
      <c r="F756" s="12">
        <f>Systems!D50</f>
        <v>0.32</v>
      </c>
      <c r="G756" s="1" t="s">
        <v>14</v>
      </c>
      <c r="H756" s="1" t="s">
        <v>134</v>
      </c>
    </row>
    <row r="757" spans="1:8">
      <c r="A757" s="1" t="s">
        <v>4498</v>
      </c>
      <c r="B757" s="1" t="s">
        <v>26</v>
      </c>
      <c r="C757" s="1" t="s">
        <v>3033</v>
      </c>
      <c r="D757" s="1" t="s">
        <v>19</v>
      </c>
      <c r="E757" s="12">
        <f>F757/100</f>
        <v>0.01</v>
      </c>
      <c r="F757" s="12">
        <f>SI!E3</f>
        <v>1</v>
      </c>
      <c r="G757" s="1" t="s">
        <v>14</v>
      </c>
      <c r="H757" s="1" t="s">
        <v>134</v>
      </c>
    </row>
    <row r="758" spans="1:8">
      <c r="A758" s="1" t="s">
        <v>200</v>
      </c>
      <c r="B758" s="1" t="s">
        <v>6949</v>
      </c>
      <c r="C758" s="1" t="s">
        <v>3033</v>
      </c>
      <c r="D758" s="1" t="s">
        <v>19</v>
      </c>
      <c r="E758" s="12">
        <f>F758</f>
        <v>0.32</v>
      </c>
      <c r="F758" s="12">
        <f>Systems!D50</f>
        <v>0.32</v>
      </c>
      <c r="G758" s="1" t="s">
        <v>14</v>
      </c>
      <c r="H758" s="1" t="s">
        <v>134</v>
      </c>
    </row>
    <row r="759" spans="1:8">
      <c r="A759" s="1" t="s">
        <v>375</v>
      </c>
      <c r="B759" s="1" t="s">
        <v>26</v>
      </c>
      <c r="C759" s="1" t="s">
        <v>3033</v>
      </c>
      <c r="D759" s="1" t="s">
        <v>19</v>
      </c>
      <c r="E759" s="12">
        <f>F759</f>
        <v>0.30303030303030304</v>
      </c>
      <c r="F759" s="12">
        <f>Systems!D120</f>
        <v>0.30303030303030304</v>
      </c>
      <c r="G759" s="1" t="s">
        <v>14</v>
      </c>
      <c r="H759" s="1" t="s">
        <v>134</v>
      </c>
    </row>
    <row r="760" spans="1:8">
      <c r="A760" s="1" t="s">
        <v>914</v>
      </c>
      <c r="B760" s="1" t="s">
        <v>26</v>
      </c>
      <c r="C760" s="1" t="s">
        <v>3033</v>
      </c>
      <c r="D760" s="1" t="s">
        <v>19</v>
      </c>
      <c r="E760" s="12">
        <f>F760/10000</f>
        <v>3.1999999999999999E-5</v>
      </c>
      <c r="F760" s="12">
        <f>Systems!D50</f>
        <v>0.32</v>
      </c>
      <c r="G760" s="1" t="s">
        <v>14</v>
      </c>
      <c r="H760" s="1" t="s">
        <v>134</v>
      </c>
    </row>
    <row r="761" spans="1:8">
      <c r="A761" s="1" t="s">
        <v>4499</v>
      </c>
      <c r="B761" s="1" t="s">
        <v>26</v>
      </c>
      <c r="C761" s="1" t="s">
        <v>3033</v>
      </c>
      <c r="D761" s="1" t="s">
        <v>19</v>
      </c>
      <c r="E761" s="12">
        <f>0.0001*F761</f>
        <v>1E-4</v>
      </c>
      <c r="F761" s="12">
        <f>SI!E3</f>
        <v>1</v>
      </c>
      <c r="G761" s="1" t="s">
        <v>14</v>
      </c>
      <c r="H761" s="1" t="s">
        <v>134</v>
      </c>
    </row>
    <row r="762" spans="1:8">
      <c r="A762" s="1" t="s">
        <v>1750</v>
      </c>
      <c r="B762" s="1" t="s">
        <v>26</v>
      </c>
      <c r="C762" s="1" t="s">
        <v>3033</v>
      </c>
      <c r="D762" s="1" t="s">
        <v>19</v>
      </c>
      <c r="E762" s="12">
        <f>F762/1000000</f>
        <v>3.2000000000000001E-7</v>
      </c>
      <c r="F762" s="12">
        <f>Systems!D50</f>
        <v>0.32</v>
      </c>
      <c r="G762" s="1" t="s">
        <v>14</v>
      </c>
      <c r="H762" s="1" t="s">
        <v>134</v>
      </c>
    </row>
    <row r="763" spans="1:8">
      <c r="A763" s="1" t="s">
        <v>4500</v>
      </c>
      <c r="B763" s="1" t="s">
        <v>26</v>
      </c>
      <c r="C763" s="1" t="s">
        <v>3033</v>
      </c>
      <c r="D763" s="1" t="s">
        <v>19</v>
      </c>
      <c r="E763" s="12">
        <f>0.000001*F763</f>
        <v>9.9999999999999995E-7</v>
      </c>
      <c r="F763" s="12">
        <f>SI!E3</f>
        <v>1</v>
      </c>
      <c r="G763" s="1" t="s">
        <v>14</v>
      </c>
      <c r="H763" s="1" t="s">
        <v>134</v>
      </c>
    </row>
    <row r="764" spans="1:8">
      <c r="A764" s="1" t="s">
        <v>7528</v>
      </c>
      <c r="B764" s="1" t="s">
        <v>26</v>
      </c>
      <c r="C764" s="1" t="s">
        <v>3033</v>
      </c>
      <c r="D764" s="1" t="s">
        <v>19</v>
      </c>
      <c r="E764" s="12">
        <f>1800*F764</f>
        <v>576</v>
      </c>
      <c r="F764" s="12">
        <f>Systems!D50</f>
        <v>0.32</v>
      </c>
      <c r="G764" s="1" t="s">
        <v>14</v>
      </c>
      <c r="H764" s="1" t="s">
        <v>134</v>
      </c>
    </row>
    <row r="765" spans="1:8">
      <c r="A765" s="1" t="s">
        <v>7529</v>
      </c>
      <c r="B765" s="1" t="s">
        <v>26</v>
      </c>
      <c r="C765" s="1" t="s">
        <v>3033</v>
      </c>
      <c r="D765" s="1" t="s">
        <v>19</v>
      </c>
      <c r="E765" s="12">
        <f>1000*F765</f>
        <v>1000</v>
      </c>
      <c r="F765" s="12">
        <f>SI!E3</f>
        <v>1</v>
      </c>
      <c r="G765" s="1" t="s">
        <v>14</v>
      </c>
      <c r="H765" s="1" t="s">
        <v>134</v>
      </c>
    </row>
    <row r="766" spans="1:8">
      <c r="A766" s="1" t="s">
        <v>7530</v>
      </c>
      <c r="B766" s="1" t="s">
        <v>26</v>
      </c>
      <c r="C766" s="1" t="s">
        <v>3033</v>
      </c>
      <c r="D766" s="1" t="s">
        <v>19</v>
      </c>
      <c r="E766" s="12">
        <f>F766/1000</f>
        <v>1E-3</v>
      </c>
      <c r="F766" s="12">
        <f>SI!E3</f>
        <v>1</v>
      </c>
      <c r="G766" s="1" t="s">
        <v>14</v>
      </c>
      <c r="H766" s="1" t="s">
        <v>134</v>
      </c>
    </row>
    <row r="767" spans="1:8">
      <c r="A767" s="1" t="s">
        <v>7531</v>
      </c>
      <c r="B767" s="1" t="s">
        <v>26</v>
      </c>
      <c r="C767" s="1" t="s">
        <v>3033</v>
      </c>
      <c r="D767" s="1" t="s">
        <v>19</v>
      </c>
      <c r="E767" s="12">
        <f>F767/1000</f>
        <v>3.2000000000000003E-4</v>
      </c>
      <c r="F767" s="12">
        <f>Systems!D50</f>
        <v>0.32</v>
      </c>
      <c r="G767" s="1" t="s">
        <v>14</v>
      </c>
      <c r="H767" s="1" t="s">
        <v>134</v>
      </c>
    </row>
    <row r="768" spans="1:8">
      <c r="A768" s="1" t="s">
        <v>1915</v>
      </c>
      <c r="B768" s="1" t="s">
        <v>26</v>
      </c>
      <c r="C768" s="1" t="s">
        <v>3033</v>
      </c>
      <c r="D768" s="1" t="s">
        <v>19</v>
      </c>
      <c r="E768" s="12">
        <f>300*F768</f>
        <v>96</v>
      </c>
      <c r="F768" s="12">
        <f>Systems!D50</f>
        <v>0.32</v>
      </c>
      <c r="G768" s="1" t="s">
        <v>14</v>
      </c>
      <c r="H768" s="1" t="s">
        <v>134</v>
      </c>
    </row>
    <row r="769" spans="1:8">
      <c r="A769" s="1" t="s">
        <v>2297</v>
      </c>
      <c r="B769" s="1" t="s">
        <v>26</v>
      </c>
      <c r="C769" s="1" t="s">
        <v>3033</v>
      </c>
      <c r="D769" s="1" t="s">
        <v>19</v>
      </c>
      <c r="E769" s="12">
        <f>5*F769</f>
        <v>1.6</v>
      </c>
      <c r="F769" s="12">
        <f>Systems!D50</f>
        <v>0.32</v>
      </c>
      <c r="G769" s="1" t="s">
        <v>14</v>
      </c>
      <c r="H769" s="1" t="s">
        <v>134</v>
      </c>
    </row>
    <row r="770" spans="1:8">
      <c r="A770" s="1" t="s">
        <v>4501</v>
      </c>
      <c r="B770" s="1" t="s">
        <v>26</v>
      </c>
      <c r="C770" s="1" t="s">
        <v>3033</v>
      </c>
      <c r="D770" s="1" t="s">
        <v>19</v>
      </c>
      <c r="E770" s="12">
        <f>18000*F770</f>
        <v>5760</v>
      </c>
      <c r="F770" s="12">
        <f>Systems!D50</f>
        <v>0.32</v>
      </c>
      <c r="G770" s="1" t="s">
        <v>14</v>
      </c>
      <c r="H770" s="1" t="s">
        <v>134</v>
      </c>
    </row>
    <row r="771" spans="1:8">
      <c r="A771" s="1" t="s">
        <v>4502</v>
      </c>
      <c r="B771" s="1" t="s">
        <v>26</v>
      </c>
      <c r="C771" s="1" t="s">
        <v>3033</v>
      </c>
      <c r="D771" s="1" t="s">
        <v>19</v>
      </c>
      <c r="E771" s="12">
        <f>0.00001*F771</f>
        <v>1.0000000000000001E-5</v>
      </c>
      <c r="F771" s="12">
        <f>SI!E3</f>
        <v>1</v>
      </c>
      <c r="G771" s="1" t="s">
        <v>14</v>
      </c>
      <c r="H771" s="1" t="s">
        <v>134</v>
      </c>
    </row>
    <row r="772" spans="1:8">
      <c r="A772" s="1" t="s">
        <v>2588</v>
      </c>
      <c r="B772" s="1" t="s">
        <v>26</v>
      </c>
      <c r="C772" s="1" t="s">
        <v>3033</v>
      </c>
      <c r="D772" s="1" t="s">
        <v>19</v>
      </c>
      <c r="E772" s="12">
        <f>F772/100000</f>
        <v>3.1999999999999999E-6</v>
      </c>
      <c r="F772" s="12">
        <f>Systems!D50</f>
        <v>0.32</v>
      </c>
      <c r="G772" s="1" t="s">
        <v>14</v>
      </c>
      <c r="H772" s="1" t="s">
        <v>134</v>
      </c>
    </row>
    <row r="773" spans="1:8">
      <c r="A773" s="1" t="s">
        <v>789</v>
      </c>
      <c r="B773" s="1" t="s">
        <v>26</v>
      </c>
      <c r="C773" s="1" t="s">
        <v>3033</v>
      </c>
      <c r="D773" s="1" t="s">
        <v>19</v>
      </c>
      <c r="E773" s="12">
        <f>F773</f>
        <v>0.32</v>
      </c>
      <c r="F773" s="12">
        <f>Systems!D50</f>
        <v>0.32</v>
      </c>
      <c r="G773" s="1" t="s">
        <v>14</v>
      </c>
      <c r="H773" s="1" t="s">
        <v>134</v>
      </c>
    </row>
    <row r="774" spans="1:8">
      <c r="A774" s="1" t="s">
        <v>2642</v>
      </c>
      <c r="B774" s="1" t="s">
        <v>26</v>
      </c>
      <c r="C774" s="1" t="s">
        <v>3033</v>
      </c>
      <c r="D774" s="1" t="s">
        <v>19</v>
      </c>
      <c r="E774" s="12">
        <f>144000*F774</f>
        <v>46080</v>
      </c>
      <c r="F774" s="12">
        <f>Systems!D50</f>
        <v>0.32</v>
      </c>
      <c r="G774" s="1" t="s">
        <v>14</v>
      </c>
      <c r="H774" s="1" t="s">
        <v>134</v>
      </c>
    </row>
    <row r="775" spans="1:8">
      <c r="A775" s="1" t="s">
        <v>2652</v>
      </c>
      <c r="B775" s="1" t="s">
        <v>26</v>
      </c>
      <c r="C775" s="1" t="s">
        <v>3033</v>
      </c>
      <c r="D775" s="1" t="s">
        <v>19</v>
      </c>
      <c r="E775" s="12">
        <f>144000*F775</f>
        <v>46080</v>
      </c>
      <c r="F775" s="12">
        <f>Systems!D50</f>
        <v>0.32</v>
      </c>
      <c r="G775" s="1" t="s">
        <v>14</v>
      </c>
      <c r="H775" s="1" t="s">
        <v>134</v>
      </c>
    </row>
    <row r="776" spans="1:8">
      <c r="A776" s="1" t="s">
        <v>1466</v>
      </c>
      <c r="B776" s="1" t="s">
        <v>26</v>
      </c>
      <c r="C776" s="1" t="s">
        <v>3033</v>
      </c>
      <c r="D776" s="1" t="s">
        <v>19</v>
      </c>
      <c r="E776" s="12">
        <f>F776/10</f>
        <v>3.2000000000000001E-2</v>
      </c>
      <c r="F776" s="12">
        <f>Systems!D50</f>
        <v>0.32</v>
      </c>
      <c r="G776" s="1" t="s">
        <v>14</v>
      </c>
      <c r="H776" s="1" t="s">
        <v>134</v>
      </c>
    </row>
    <row r="777" spans="1:8">
      <c r="A777" s="1" t="s">
        <v>2713</v>
      </c>
      <c r="B777" s="1" t="s">
        <v>26</v>
      </c>
      <c r="C777" s="1" t="s">
        <v>3033</v>
      </c>
      <c r="D777" s="1" t="s">
        <v>19</v>
      </c>
      <c r="E777" s="12">
        <f>F777/10</f>
        <v>3.71475E-2</v>
      </c>
      <c r="F777" s="12">
        <f>Systems!D51</f>
        <v>0.371475</v>
      </c>
      <c r="G777" s="1" t="s">
        <v>14</v>
      </c>
      <c r="H777" s="1" t="s">
        <v>134</v>
      </c>
    </row>
    <row r="778" spans="1:8">
      <c r="A778" s="1" t="s">
        <v>2805</v>
      </c>
      <c r="B778" s="1" t="s">
        <v>26</v>
      </c>
      <c r="C778" s="1" t="s">
        <v>3033</v>
      </c>
      <c r="D778" s="1" t="s">
        <v>19</v>
      </c>
      <c r="E778" s="12">
        <f>100*F778</f>
        <v>32</v>
      </c>
      <c r="F778" s="12">
        <f>Systems!D50</f>
        <v>0.32</v>
      </c>
      <c r="G778" s="1" t="s">
        <v>14</v>
      </c>
      <c r="H778" s="1" t="s">
        <v>134</v>
      </c>
    </row>
    <row r="779" spans="1:8">
      <c r="A779" s="1" t="s">
        <v>2804</v>
      </c>
      <c r="B779" s="1" t="s">
        <v>26</v>
      </c>
      <c r="C779" s="1" t="s">
        <v>3033</v>
      </c>
      <c r="D779" s="1" t="s">
        <v>19</v>
      </c>
      <c r="E779" s="12">
        <f>100*F779</f>
        <v>32</v>
      </c>
      <c r="F779" s="12">
        <f>Systems!D50</f>
        <v>0.32</v>
      </c>
      <c r="G779" s="1" t="s">
        <v>14</v>
      </c>
      <c r="H779" s="1" t="s">
        <v>134</v>
      </c>
    </row>
    <row r="780" spans="1:8">
      <c r="A780" s="1" t="s">
        <v>433</v>
      </c>
      <c r="B780" s="1" t="s">
        <v>26</v>
      </c>
      <c r="C780" s="1" t="s">
        <v>3033</v>
      </c>
      <c r="D780" s="1" t="s">
        <v>19</v>
      </c>
      <c r="E780" s="12">
        <f>100*F780</f>
        <v>32</v>
      </c>
      <c r="F780" s="12">
        <f>Systems!D50</f>
        <v>0.32</v>
      </c>
      <c r="G780" s="1" t="s">
        <v>14</v>
      </c>
      <c r="H780" s="1" t="s">
        <v>134</v>
      </c>
    </row>
    <row r="781" spans="1:8">
      <c r="A781" s="1" t="s">
        <v>2821</v>
      </c>
      <c r="B781" s="1" t="s">
        <v>26</v>
      </c>
      <c r="C781" s="1" t="s">
        <v>3033</v>
      </c>
      <c r="D781" s="1" t="s">
        <v>19</v>
      </c>
      <c r="E781" s="12">
        <f>10*F781</f>
        <v>3.2</v>
      </c>
      <c r="F781" s="12">
        <f>Systems!D50</f>
        <v>0.32</v>
      </c>
      <c r="G781" s="1" t="s">
        <v>14</v>
      </c>
      <c r="H781" s="1" t="s">
        <v>134</v>
      </c>
    </row>
    <row r="782" spans="1:8">
      <c r="A782" s="1" t="s">
        <v>2824</v>
      </c>
      <c r="B782" s="1" t="s">
        <v>26</v>
      </c>
      <c r="C782" s="1" t="s">
        <v>3033</v>
      </c>
      <c r="D782" s="1" t="s">
        <v>19</v>
      </c>
      <c r="E782" s="12">
        <f>F782/12</f>
        <v>2.6154750000000001E-2</v>
      </c>
      <c r="F782" s="12">
        <f>Systems!D89</f>
        <v>0.313857</v>
      </c>
      <c r="G782" s="1" t="s">
        <v>14</v>
      </c>
      <c r="H782" s="1" t="s">
        <v>134</v>
      </c>
    </row>
    <row r="783" spans="1:8" ht="16.5">
      <c r="A783" s="1" t="s">
        <v>1370</v>
      </c>
      <c r="B783" s="1" t="s">
        <v>26</v>
      </c>
      <c r="C783" s="1" t="s">
        <v>3034</v>
      </c>
      <c r="D783" s="1" t="s">
        <v>38</v>
      </c>
      <c r="E783" s="12">
        <f>F783/6000</f>
        <v>0.12689999999999999</v>
      </c>
      <c r="F783" s="12">
        <f>Systems!H52</f>
        <v>761.4</v>
      </c>
      <c r="G783" s="1" t="s">
        <v>39</v>
      </c>
      <c r="H783" s="1" t="s">
        <v>134</v>
      </c>
    </row>
    <row r="784" spans="1:8" ht="16.5">
      <c r="A784" s="1" t="s">
        <v>1403</v>
      </c>
      <c r="B784" s="1" t="s">
        <v>26</v>
      </c>
      <c r="C784" s="1" t="s">
        <v>3034</v>
      </c>
      <c r="D784" s="1" t="s">
        <v>38</v>
      </c>
      <c r="E784" s="12">
        <f>100*F784</f>
        <v>61440</v>
      </c>
      <c r="F784" s="12">
        <f>Systems!H50</f>
        <v>614.4</v>
      </c>
      <c r="G784" s="1" t="s">
        <v>39</v>
      </c>
      <c r="H784" s="1" t="s">
        <v>134</v>
      </c>
    </row>
    <row r="785" spans="1:8" ht="16.5">
      <c r="A785" s="1" t="s">
        <v>1595</v>
      </c>
      <c r="B785" s="1" t="s">
        <v>26</v>
      </c>
      <c r="C785" s="1" t="s">
        <v>3034</v>
      </c>
      <c r="D785" s="1" t="s">
        <v>38</v>
      </c>
      <c r="E785" s="12">
        <f>F785/10</f>
        <v>76.14</v>
      </c>
      <c r="F785" s="12">
        <f>Systems!H52</f>
        <v>761.4</v>
      </c>
      <c r="G785" s="1" t="s">
        <v>39</v>
      </c>
      <c r="H785" s="1" t="s">
        <v>134</v>
      </c>
    </row>
    <row r="786" spans="1:8" ht="16.5">
      <c r="A786" s="1" t="s">
        <v>4503</v>
      </c>
      <c r="B786" s="1" t="s">
        <v>26</v>
      </c>
      <c r="C786" s="1" t="s">
        <v>3034</v>
      </c>
      <c r="D786" s="1" t="s">
        <v>38</v>
      </c>
      <c r="E786" s="12">
        <f>F786</f>
        <v>0.1024</v>
      </c>
      <c r="F786" s="12">
        <f>Systems!H51</f>
        <v>0.1024</v>
      </c>
      <c r="G786" s="1" t="s">
        <v>39</v>
      </c>
      <c r="H786" s="1" t="s">
        <v>134</v>
      </c>
    </row>
    <row r="787" spans="1:8" ht="16.5">
      <c r="A787" s="1" t="s">
        <v>4504</v>
      </c>
      <c r="B787" s="1" t="s">
        <v>26</v>
      </c>
      <c r="C787" s="1" t="s">
        <v>3034</v>
      </c>
      <c r="D787" s="1" t="s">
        <v>38</v>
      </c>
      <c r="E787" s="12">
        <f>F787/100</f>
        <v>1.024E-3</v>
      </c>
      <c r="F787" s="12">
        <f>Systems!H51</f>
        <v>0.1024</v>
      </c>
      <c r="G787" s="1" t="s">
        <v>39</v>
      </c>
      <c r="H787" s="1" t="s">
        <v>134</v>
      </c>
    </row>
    <row r="788" spans="1:8" ht="16.5">
      <c r="A788" s="1" t="s">
        <v>4505</v>
      </c>
      <c r="B788" s="1" t="s">
        <v>26</v>
      </c>
      <c r="C788" s="1" t="s">
        <v>3034</v>
      </c>
      <c r="D788" s="1" t="s">
        <v>38</v>
      </c>
      <c r="E788" s="12">
        <f>100*F788</f>
        <v>10.24</v>
      </c>
      <c r="F788" s="12">
        <f>Systems!H51</f>
        <v>0.1024</v>
      </c>
      <c r="G788" s="1" t="s">
        <v>39</v>
      </c>
      <c r="H788" s="1" t="s">
        <v>134</v>
      </c>
    </row>
    <row r="789" spans="1:8" ht="16.5">
      <c r="A789" s="1" t="s">
        <v>1604</v>
      </c>
      <c r="B789" s="1" t="s">
        <v>26</v>
      </c>
      <c r="C789" s="1" t="s">
        <v>3034</v>
      </c>
      <c r="D789" s="1" t="s">
        <v>38</v>
      </c>
      <c r="E789" s="12">
        <f>600*F789</f>
        <v>61.440000000000005</v>
      </c>
      <c r="F789" s="12">
        <f>POWER(Systems!D50,2)</f>
        <v>0.1024</v>
      </c>
      <c r="G789" s="1" t="s">
        <v>39</v>
      </c>
      <c r="H789" s="1" t="s">
        <v>134</v>
      </c>
    </row>
    <row r="790" spans="1:8" ht="16.5">
      <c r="A790" s="1" t="s">
        <v>914</v>
      </c>
      <c r="B790" s="1" t="s">
        <v>26</v>
      </c>
      <c r="C790" s="1" t="s">
        <v>3034</v>
      </c>
      <c r="D790" s="1" t="s">
        <v>38</v>
      </c>
      <c r="E790" s="12">
        <f>F790/1000</f>
        <v>0.61439999999999995</v>
      </c>
      <c r="F790" s="12">
        <f>Systems!H50</f>
        <v>614.4</v>
      </c>
      <c r="G790" s="1" t="s">
        <v>39</v>
      </c>
      <c r="H790" s="1" t="s">
        <v>134</v>
      </c>
    </row>
    <row r="791" spans="1:8" ht="16.5">
      <c r="A791" s="1" t="s">
        <v>1848</v>
      </c>
      <c r="B791" s="1" t="s">
        <v>26</v>
      </c>
      <c r="C791" s="1" t="s">
        <v>3034</v>
      </c>
      <c r="D791" s="1" t="s">
        <v>38</v>
      </c>
      <c r="E791" s="12">
        <f>10*F791</f>
        <v>6144</v>
      </c>
      <c r="F791" s="12">
        <f>Systems!H50</f>
        <v>614.4</v>
      </c>
      <c r="G791" s="1" t="s">
        <v>39</v>
      </c>
      <c r="H791" s="1" t="s">
        <v>134</v>
      </c>
    </row>
    <row r="792" spans="1:8" ht="16.5">
      <c r="A792" s="1" t="s">
        <v>1854</v>
      </c>
      <c r="B792" s="1" t="s">
        <v>26</v>
      </c>
      <c r="C792" s="1" t="s">
        <v>3034</v>
      </c>
      <c r="D792" s="1" t="s">
        <v>38</v>
      </c>
      <c r="E792" s="12">
        <f>F792/4</f>
        <v>153.6</v>
      </c>
      <c r="F792" s="12">
        <f>Systems!H50</f>
        <v>614.4</v>
      </c>
      <c r="G792" s="1" t="s">
        <v>39</v>
      </c>
      <c r="H792" s="1" t="s">
        <v>134</v>
      </c>
    </row>
    <row r="793" spans="1:8" ht="16.5">
      <c r="A793" s="1" t="s">
        <v>1894</v>
      </c>
      <c r="B793" s="1" t="s">
        <v>26</v>
      </c>
      <c r="C793" s="1" t="s">
        <v>3034</v>
      </c>
      <c r="D793" s="1" t="s">
        <v>38</v>
      </c>
      <c r="E793" s="12">
        <f>F793/240</f>
        <v>2.56</v>
      </c>
      <c r="F793" s="12">
        <f>Systems!H50</f>
        <v>614.4</v>
      </c>
      <c r="G793" s="1" t="s">
        <v>39</v>
      </c>
      <c r="H793" s="1" t="s">
        <v>134</v>
      </c>
    </row>
    <row r="794" spans="1:8" ht="16.5">
      <c r="A794" s="1" t="s">
        <v>1954</v>
      </c>
      <c r="B794" s="1" t="s">
        <v>26</v>
      </c>
      <c r="C794" s="1" t="s">
        <v>3034</v>
      </c>
      <c r="D794" s="1" t="s">
        <v>38</v>
      </c>
      <c r="E794" s="12">
        <f>F794/100</f>
        <v>6.1440000000000001</v>
      </c>
      <c r="F794" s="12">
        <f>Systems!H50</f>
        <v>614.4</v>
      </c>
      <c r="G794" s="1" t="s">
        <v>39</v>
      </c>
      <c r="H794" s="1" t="s">
        <v>134</v>
      </c>
    </row>
    <row r="795" spans="1:8" ht="16.5">
      <c r="A795" s="1" t="s">
        <v>1996</v>
      </c>
      <c r="B795" s="1" t="s">
        <v>26</v>
      </c>
      <c r="C795" s="1" t="s">
        <v>3034</v>
      </c>
      <c r="D795" s="1" t="s">
        <v>38</v>
      </c>
      <c r="E795" s="12">
        <f>F795/100</f>
        <v>6.1440000000000001</v>
      </c>
      <c r="F795" s="12">
        <f>Systems!H50</f>
        <v>614.4</v>
      </c>
      <c r="G795" s="1" t="s">
        <v>39</v>
      </c>
      <c r="H795" s="1" t="s">
        <v>134</v>
      </c>
    </row>
    <row r="796" spans="1:8" ht="16.5">
      <c r="A796" s="1" t="s">
        <v>1026</v>
      </c>
      <c r="B796" s="1" t="s">
        <v>26</v>
      </c>
      <c r="C796" s="1" t="s">
        <v>3034</v>
      </c>
      <c r="D796" s="1" t="s">
        <v>38</v>
      </c>
      <c r="E796" s="12">
        <f>F796</f>
        <v>761.4</v>
      </c>
      <c r="F796" s="12">
        <f>Systems!H52</f>
        <v>761.4</v>
      </c>
      <c r="G796" s="1" t="s">
        <v>39</v>
      </c>
      <c r="H796" s="1" t="s">
        <v>134</v>
      </c>
    </row>
    <row r="797" spans="1:8" ht="16.5">
      <c r="A797" s="1" t="s">
        <v>790</v>
      </c>
      <c r="B797" s="1" t="s">
        <v>26</v>
      </c>
      <c r="C797" s="1" t="s">
        <v>3034</v>
      </c>
      <c r="D797" s="1" t="s">
        <v>38</v>
      </c>
      <c r="E797" s="12">
        <f>F797</f>
        <v>614.4</v>
      </c>
      <c r="F797" s="12">
        <f>Systems!H50</f>
        <v>614.4</v>
      </c>
      <c r="G797" s="1" t="s">
        <v>39</v>
      </c>
      <c r="H797" s="1" t="s">
        <v>134</v>
      </c>
    </row>
    <row r="798" spans="1:8" ht="16.5">
      <c r="A798" s="1" t="s">
        <v>2102</v>
      </c>
      <c r="B798" s="1" t="s">
        <v>26</v>
      </c>
      <c r="C798" s="1" t="s">
        <v>3034</v>
      </c>
      <c r="D798" s="1" t="s">
        <v>38</v>
      </c>
      <c r="E798" s="12">
        <f>F798</f>
        <v>614.4</v>
      </c>
      <c r="F798" s="12">
        <f>Systems!H50</f>
        <v>614.4</v>
      </c>
      <c r="G798" s="1" t="s">
        <v>39</v>
      </c>
      <c r="H798" s="1" t="s">
        <v>134</v>
      </c>
    </row>
    <row r="799" spans="1:8" ht="16.5">
      <c r="A799" s="1" t="s">
        <v>2298</v>
      </c>
      <c r="B799" s="1" t="s">
        <v>26</v>
      </c>
      <c r="C799" s="1" t="s">
        <v>3034</v>
      </c>
      <c r="D799" s="1" t="s">
        <v>38</v>
      </c>
      <c r="E799" s="12">
        <f>F799/240</f>
        <v>3.1724999999999999</v>
      </c>
      <c r="F799" s="12">
        <f>Systems!H52</f>
        <v>761.4</v>
      </c>
      <c r="G799" s="1" t="s">
        <v>39</v>
      </c>
      <c r="H799" s="1" t="s">
        <v>134</v>
      </c>
    </row>
    <row r="800" spans="1:8" ht="16.5">
      <c r="A800" s="1" t="s">
        <v>2328</v>
      </c>
      <c r="B800" s="1" t="s">
        <v>26</v>
      </c>
      <c r="C800" s="1" t="s">
        <v>3034</v>
      </c>
      <c r="D800" s="1" t="s">
        <v>38</v>
      </c>
      <c r="E800" s="12">
        <f>100*F800</f>
        <v>61440</v>
      </c>
      <c r="F800" s="12">
        <f>Systems!H50</f>
        <v>614.4</v>
      </c>
      <c r="G800" s="1" t="s">
        <v>39</v>
      </c>
      <c r="H800" s="1" t="s">
        <v>134</v>
      </c>
    </row>
    <row r="801" spans="1:8" ht="16.5">
      <c r="A801" s="1" t="s">
        <v>2823</v>
      </c>
      <c r="B801" s="1" t="s">
        <v>26</v>
      </c>
      <c r="C801" s="1" t="s">
        <v>3034</v>
      </c>
      <c r="D801" s="1" t="s">
        <v>38</v>
      </c>
      <c r="E801" s="12">
        <f>F801/60</f>
        <v>12.69</v>
      </c>
      <c r="F801" s="12">
        <f>Systems!H52</f>
        <v>761.4</v>
      </c>
      <c r="G801" s="1" t="s">
        <v>39</v>
      </c>
      <c r="H801" s="1" t="s">
        <v>134</v>
      </c>
    </row>
    <row r="802" spans="1:8" ht="16.5">
      <c r="A802" s="1" t="s">
        <v>4506</v>
      </c>
      <c r="B802" s="1" t="s">
        <v>26</v>
      </c>
      <c r="C802" s="1" t="s">
        <v>2936</v>
      </c>
      <c r="D802" s="1" t="s">
        <v>32</v>
      </c>
      <c r="E802" s="12">
        <f>F802</f>
        <v>3.2768000000000005E-2</v>
      </c>
      <c r="F802" s="12">
        <f>Systems!T50</f>
        <v>3.2768000000000005E-2</v>
      </c>
      <c r="G802" s="1" t="s">
        <v>33</v>
      </c>
      <c r="H802" s="1" t="s">
        <v>134</v>
      </c>
    </row>
    <row r="803" spans="1:8" ht="16.5">
      <c r="A803" s="1" t="s">
        <v>1596</v>
      </c>
      <c r="B803" s="1" t="s">
        <v>26</v>
      </c>
      <c r="C803" s="1" t="s">
        <v>2936</v>
      </c>
      <c r="D803" s="1" t="s">
        <v>32</v>
      </c>
      <c r="E803" s="12">
        <f>100*F803</f>
        <v>3.2768000000000006</v>
      </c>
      <c r="F803" s="12">
        <f>POWER(Systems!D50,3)</f>
        <v>3.2768000000000005E-2</v>
      </c>
      <c r="G803" s="1" t="s">
        <v>33</v>
      </c>
      <c r="H803" s="1" t="s">
        <v>134</v>
      </c>
    </row>
    <row r="804" spans="1:8" ht="16.5">
      <c r="A804" s="1" t="s">
        <v>1997</v>
      </c>
      <c r="B804" s="1" t="s">
        <v>26</v>
      </c>
      <c r="C804" s="1" t="s">
        <v>2936</v>
      </c>
      <c r="D804" s="1" t="s">
        <v>32</v>
      </c>
      <c r="E804" s="12">
        <f>100*F804</f>
        <v>3.2768000000000006</v>
      </c>
      <c r="F804" s="12">
        <f>POWER(Systems!D50,3)</f>
        <v>3.2768000000000005E-2</v>
      </c>
      <c r="G804" s="1" t="s">
        <v>33</v>
      </c>
      <c r="H804" s="1" t="s">
        <v>134</v>
      </c>
    </row>
    <row r="805" spans="1:8" ht="16.5">
      <c r="A805" s="1" t="s">
        <v>1387</v>
      </c>
      <c r="B805" s="1" t="s">
        <v>26</v>
      </c>
      <c r="C805" s="1" t="s">
        <v>2935</v>
      </c>
      <c r="D805" s="1" t="s">
        <v>32</v>
      </c>
      <c r="E805" s="12">
        <f>F805/100</f>
        <v>1.0354688E-5</v>
      </c>
      <c r="F805" s="12">
        <f>Systems!P50</f>
        <v>1.0354687999999999E-3</v>
      </c>
      <c r="G805" s="1" t="s">
        <v>33</v>
      </c>
      <c r="H805" s="1" t="s">
        <v>134</v>
      </c>
    </row>
    <row r="806" spans="1:8" ht="16.5">
      <c r="A806" s="1" t="s">
        <v>1395</v>
      </c>
      <c r="B806" s="1" t="s">
        <v>26</v>
      </c>
      <c r="C806" s="1" t="s">
        <v>2935</v>
      </c>
      <c r="D806" s="1" t="s">
        <v>32</v>
      </c>
      <c r="E806" s="12">
        <f>100*F806</f>
        <v>0.10354687999999999</v>
      </c>
      <c r="F806" s="12">
        <f>Systems!P50</f>
        <v>1.0354687999999999E-3</v>
      </c>
      <c r="G806" s="1" t="s">
        <v>33</v>
      </c>
      <c r="H806" s="1" t="s">
        <v>134</v>
      </c>
    </row>
    <row r="807" spans="1:8" ht="16.5">
      <c r="A807" s="1" t="s">
        <v>792</v>
      </c>
      <c r="B807" s="1" t="s">
        <v>26</v>
      </c>
      <c r="C807" s="1" t="s">
        <v>2935</v>
      </c>
      <c r="D807" s="1" t="s">
        <v>32</v>
      </c>
      <c r="E807" s="12">
        <f>F807</f>
        <v>1.0354687999999999E-3</v>
      </c>
      <c r="F807" s="12">
        <f>Systems!P50</f>
        <v>1.0354687999999999E-3</v>
      </c>
      <c r="G807" s="1" t="s">
        <v>33</v>
      </c>
      <c r="H807" s="1" t="s">
        <v>134</v>
      </c>
    </row>
    <row r="808" spans="1:8" ht="16.5">
      <c r="A808" s="1" t="s">
        <v>1419</v>
      </c>
      <c r="B808" s="1" t="s">
        <v>26</v>
      </c>
      <c r="C808" s="1" t="s">
        <v>2935</v>
      </c>
      <c r="D808" s="1" t="s">
        <v>32</v>
      </c>
      <c r="E808" s="12">
        <f>F808/1000</f>
        <v>1.0354688E-6</v>
      </c>
      <c r="F808" s="12">
        <f>Systems!P50</f>
        <v>1.0354687999999999E-3</v>
      </c>
      <c r="G808" s="1" t="s">
        <v>33</v>
      </c>
      <c r="H808" s="1" t="s">
        <v>134</v>
      </c>
    </row>
    <row r="809" spans="1:8" ht="16.5">
      <c r="A809" s="1" t="s">
        <v>1027</v>
      </c>
      <c r="B809" s="1" t="s">
        <v>26</v>
      </c>
      <c r="C809" s="1" t="s">
        <v>2935</v>
      </c>
      <c r="D809" s="1" t="s">
        <v>32</v>
      </c>
      <c r="E809" s="12">
        <f>F809</f>
        <v>1.031E-3</v>
      </c>
      <c r="F809" s="12">
        <f>Systems!P51</f>
        <v>1.031E-3</v>
      </c>
      <c r="G809" s="1" t="s">
        <v>33</v>
      </c>
      <c r="H809" s="1" t="s">
        <v>134</v>
      </c>
    </row>
    <row r="810" spans="1:8" ht="16.5">
      <c r="A810" s="1" t="s">
        <v>1478</v>
      </c>
      <c r="B810" s="1" t="s">
        <v>26</v>
      </c>
      <c r="C810" s="1" t="s">
        <v>2935</v>
      </c>
      <c r="D810" s="1" t="s">
        <v>32</v>
      </c>
      <c r="E810" s="12">
        <f>100*F810</f>
        <v>0.10354687999999999</v>
      </c>
      <c r="F810" s="12">
        <f>Systems!P50</f>
        <v>1.0354687999999999E-3</v>
      </c>
      <c r="G810" s="1" t="s">
        <v>33</v>
      </c>
      <c r="H810" s="1" t="s">
        <v>134</v>
      </c>
    </row>
    <row r="811" spans="1:8" ht="16.5">
      <c r="A811" s="1" t="s">
        <v>1546</v>
      </c>
      <c r="B811" s="1" t="s">
        <v>26</v>
      </c>
      <c r="C811" s="1" t="s">
        <v>2935</v>
      </c>
      <c r="D811" s="1" t="s">
        <v>32</v>
      </c>
      <c r="E811" s="12">
        <f>10*F811</f>
        <v>1.0354687999999999E-2</v>
      </c>
      <c r="F811" s="12">
        <f>Systems!P50</f>
        <v>1.0354687999999999E-3</v>
      </c>
      <c r="G811" s="1" t="s">
        <v>33</v>
      </c>
      <c r="H811" s="1" t="s">
        <v>134</v>
      </c>
    </row>
    <row r="812" spans="1:8" ht="16.5">
      <c r="A812" s="1" t="s">
        <v>4507</v>
      </c>
      <c r="B812" s="1" t="s">
        <v>26</v>
      </c>
      <c r="C812" s="1" t="s">
        <v>2935</v>
      </c>
      <c r="D812" s="1" t="s">
        <v>32</v>
      </c>
      <c r="E812" s="12">
        <f>10*F812</f>
        <v>1.031E-2</v>
      </c>
      <c r="F812" s="12">
        <f>Systems!P51</f>
        <v>1.031E-3</v>
      </c>
      <c r="G812" s="1" t="s">
        <v>33</v>
      </c>
      <c r="H812" s="1" t="s">
        <v>134</v>
      </c>
    </row>
    <row r="813" spans="1:8" ht="16.5">
      <c r="A813" s="1" t="s">
        <v>1663</v>
      </c>
      <c r="B813" s="1" t="s">
        <v>26</v>
      </c>
      <c r="C813" s="1" t="s">
        <v>2935</v>
      </c>
      <c r="D813" s="1" t="s">
        <v>32</v>
      </c>
      <c r="E813" s="12">
        <f>F813/10</f>
        <v>1.0354687999999999E-4</v>
      </c>
      <c r="F813" s="12">
        <f>Systems!P50</f>
        <v>1.0354687999999999E-3</v>
      </c>
      <c r="G813" s="1" t="s">
        <v>33</v>
      </c>
      <c r="H813" s="1" t="s">
        <v>134</v>
      </c>
    </row>
    <row r="814" spans="1:8" ht="16.5">
      <c r="A814" s="1" t="s">
        <v>1757</v>
      </c>
      <c r="B814" s="1" t="s">
        <v>26</v>
      </c>
      <c r="C814" s="1" t="s">
        <v>2935</v>
      </c>
      <c r="D814" s="1" t="s">
        <v>32</v>
      </c>
      <c r="E814" s="12">
        <f>50*F814</f>
        <v>5.1773439999999997E-2</v>
      </c>
      <c r="F814" s="12">
        <f>Systems!P50</f>
        <v>1.0354687999999999E-3</v>
      </c>
      <c r="G814" s="1" t="s">
        <v>33</v>
      </c>
      <c r="H814" s="1" t="s">
        <v>134</v>
      </c>
    </row>
    <row r="815" spans="1:8" ht="16.5">
      <c r="A815" s="1" t="s">
        <v>1758</v>
      </c>
      <c r="B815" s="1" t="s">
        <v>26</v>
      </c>
      <c r="C815" s="1" t="s">
        <v>2935</v>
      </c>
      <c r="D815" s="1" t="s">
        <v>32</v>
      </c>
      <c r="E815" s="12">
        <f>50*F815</f>
        <v>5.1773439999999997E-2</v>
      </c>
      <c r="F815" s="12">
        <f>Systems!P50</f>
        <v>1.0354687999999999E-3</v>
      </c>
      <c r="G815" s="1" t="s">
        <v>33</v>
      </c>
      <c r="H815" s="1" t="s">
        <v>134</v>
      </c>
    </row>
    <row r="816" spans="1:8" ht="16.5">
      <c r="A816" s="1" t="s">
        <v>1836</v>
      </c>
      <c r="B816" s="1" t="s">
        <v>26</v>
      </c>
      <c r="C816" s="1" t="s">
        <v>2935</v>
      </c>
      <c r="D816" s="1" t="s">
        <v>32</v>
      </c>
      <c r="E816" s="12">
        <f>F816/10</f>
        <v>1.0354687999999999E-4</v>
      </c>
      <c r="F816" s="12">
        <f>Systems!P50</f>
        <v>1.0354687999999999E-3</v>
      </c>
      <c r="G816" s="1" t="s">
        <v>33</v>
      </c>
      <c r="H816" s="1" t="s">
        <v>134</v>
      </c>
    </row>
    <row r="817" spans="1:8" ht="16.5">
      <c r="A817" s="1" t="s">
        <v>2272</v>
      </c>
      <c r="B817" s="1" t="s">
        <v>26</v>
      </c>
      <c r="C817" s="1" t="s">
        <v>2935</v>
      </c>
      <c r="D817" s="1" t="s">
        <v>32</v>
      </c>
      <c r="E817" s="12">
        <f>500*F817</f>
        <v>0.51773439999999993</v>
      </c>
      <c r="F817" s="12">
        <f>Systems!P50</f>
        <v>1.0354687999999999E-3</v>
      </c>
      <c r="G817" s="1" t="s">
        <v>33</v>
      </c>
      <c r="H817" s="1" t="s">
        <v>134</v>
      </c>
    </row>
    <row r="818" spans="1:8" ht="16.5">
      <c r="A818" s="1" t="s">
        <v>2350</v>
      </c>
      <c r="B818" s="1" t="s">
        <v>26</v>
      </c>
      <c r="C818" s="1" t="s">
        <v>2935</v>
      </c>
      <c r="D818" s="1" t="s">
        <v>32</v>
      </c>
      <c r="E818" s="12">
        <f>F818/10000</f>
        <v>1.0354688E-7</v>
      </c>
      <c r="F818" s="12">
        <f>Systems!P50</f>
        <v>1.0354687999999999E-3</v>
      </c>
      <c r="G818" s="1" t="s">
        <v>33</v>
      </c>
      <c r="H818" s="1" t="s">
        <v>134</v>
      </c>
    </row>
    <row r="819" spans="1:8" ht="16.5">
      <c r="A819" s="1" t="s">
        <v>2465</v>
      </c>
      <c r="B819" s="1" t="s">
        <v>26</v>
      </c>
      <c r="C819" s="1" t="s">
        <v>2935</v>
      </c>
      <c r="D819" s="1" t="s">
        <v>32</v>
      </c>
      <c r="E819" s="12">
        <f>100*F819</f>
        <v>0.10354687999999999</v>
      </c>
      <c r="F819" s="12">
        <f>Systems!P50</f>
        <v>1.0354687999999999E-3</v>
      </c>
      <c r="G819" s="1" t="s">
        <v>33</v>
      </c>
      <c r="H819" s="1" t="s">
        <v>134</v>
      </c>
    </row>
    <row r="820" spans="1:8" ht="16.5">
      <c r="A820" s="1" t="s">
        <v>2499</v>
      </c>
      <c r="B820" s="1" t="s">
        <v>26</v>
      </c>
      <c r="C820" s="1" t="s">
        <v>2935</v>
      </c>
      <c r="D820" s="1" t="s">
        <v>32</v>
      </c>
      <c r="E820" s="12">
        <f>100*F820</f>
        <v>0.1031</v>
      </c>
      <c r="F820" s="12">
        <f>Systems!P51</f>
        <v>1.031E-3</v>
      </c>
      <c r="G820" s="1" t="s">
        <v>33</v>
      </c>
      <c r="H820" s="1" t="s">
        <v>134</v>
      </c>
    </row>
    <row r="821" spans="1:8" ht="16.5">
      <c r="A821" s="1" t="s">
        <v>2496</v>
      </c>
      <c r="B821" s="1" t="s">
        <v>26</v>
      </c>
      <c r="C821" s="1" t="s">
        <v>2935</v>
      </c>
      <c r="D821" s="1" t="s">
        <v>32</v>
      </c>
      <c r="E821" s="12">
        <f>F821/100</f>
        <v>1.0354688E-5</v>
      </c>
      <c r="F821" s="12">
        <f>Systems!P50</f>
        <v>1.0354687999999999E-3</v>
      </c>
      <c r="G821" s="1" t="s">
        <v>33</v>
      </c>
      <c r="H821" s="1" t="s">
        <v>134</v>
      </c>
    </row>
    <row r="822" spans="1:8" ht="16.5">
      <c r="A822" s="1" t="s">
        <v>2501</v>
      </c>
      <c r="B822" s="1" t="s">
        <v>26</v>
      </c>
      <c r="C822" s="1" t="s">
        <v>2935</v>
      </c>
      <c r="D822" s="1" t="s">
        <v>32</v>
      </c>
      <c r="E822" s="12">
        <f>F822</f>
        <v>1.0354687999999999E-3</v>
      </c>
      <c r="F822" s="12">
        <f>Systems!P50</f>
        <v>1.0354687999999999E-3</v>
      </c>
      <c r="G822" s="1" t="s">
        <v>33</v>
      </c>
      <c r="H822" s="1" t="s">
        <v>134</v>
      </c>
    </row>
    <row r="823" spans="1:8" ht="16.5">
      <c r="A823" s="1" t="s">
        <v>2667</v>
      </c>
      <c r="B823" s="1" t="s">
        <v>26</v>
      </c>
      <c r="C823" s="1" t="s">
        <v>2935</v>
      </c>
      <c r="D823" s="1" t="s">
        <v>32</v>
      </c>
      <c r="E823" s="12">
        <f>10*F823</f>
        <v>1.0354687999999999E-2</v>
      </c>
      <c r="F823" s="12">
        <f>Systems!P50</f>
        <v>1.0354687999999999E-3</v>
      </c>
      <c r="G823" s="1" t="s">
        <v>33</v>
      </c>
      <c r="H823" s="1" t="s">
        <v>134</v>
      </c>
    </row>
    <row r="824" spans="1:8" ht="16.5">
      <c r="A824" s="1" t="s">
        <v>2808</v>
      </c>
      <c r="B824" s="1" t="s">
        <v>26</v>
      </c>
      <c r="C824" s="1" t="s">
        <v>2935</v>
      </c>
      <c r="D824" s="1" t="s">
        <v>32</v>
      </c>
      <c r="E824" s="12">
        <f>F824/5</f>
        <v>2.0709375999999999E-4</v>
      </c>
      <c r="F824" s="12">
        <f>Systems!P50</f>
        <v>1.0354687999999999E-3</v>
      </c>
      <c r="G824" s="1" t="s">
        <v>33</v>
      </c>
      <c r="H824" s="1" t="s">
        <v>134</v>
      </c>
    </row>
    <row r="825" spans="1:8">
      <c r="A825" s="1" t="s">
        <v>1348</v>
      </c>
      <c r="B825" s="1" t="s">
        <v>26</v>
      </c>
      <c r="C825" s="1" t="s">
        <v>17</v>
      </c>
      <c r="D825" s="1" t="s">
        <v>20</v>
      </c>
      <c r="E825" s="12">
        <f>F825/1200</f>
        <v>3.7799364166666671E-4</v>
      </c>
      <c r="F825" s="12">
        <f>Systems!L6</f>
        <v>0.45359237000000002</v>
      </c>
      <c r="G825" s="1" t="s">
        <v>23</v>
      </c>
      <c r="H825" s="1" t="s">
        <v>134</v>
      </c>
    </row>
    <row r="826" spans="1:8">
      <c r="A826" s="1" t="s">
        <v>4508</v>
      </c>
      <c r="B826" s="1" t="s">
        <v>26</v>
      </c>
      <c r="C826" s="1" t="s">
        <v>17</v>
      </c>
      <c r="D826" s="1" t="s">
        <v>20</v>
      </c>
      <c r="E826" s="12">
        <f>12*F826/1000</f>
        <v>3.7324172160000004E-4</v>
      </c>
      <c r="F826" s="12">
        <f>Systems!L21</f>
        <v>3.1103476800000002E-2</v>
      </c>
      <c r="G826" s="1" t="s">
        <v>23</v>
      </c>
      <c r="H826" s="1" t="s">
        <v>134</v>
      </c>
    </row>
    <row r="827" spans="1:8">
      <c r="A827" s="1" t="s">
        <v>948</v>
      </c>
      <c r="B827" s="1" t="s">
        <v>26</v>
      </c>
      <c r="C827" s="1" t="s">
        <v>17</v>
      </c>
      <c r="D827" s="1" t="s">
        <v>20</v>
      </c>
      <c r="E827" s="12">
        <f>F827/12000</f>
        <v>3.7799364166666666E-5</v>
      </c>
      <c r="F827" s="12">
        <f>Systems!L6</f>
        <v>0.45359237000000002</v>
      </c>
      <c r="G827" s="1" t="s">
        <v>23</v>
      </c>
      <c r="H827" s="1" t="s">
        <v>134</v>
      </c>
    </row>
    <row r="828" spans="1:8">
      <c r="A828" s="1" t="s">
        <v>912</v>
      </c>
      <c r="B828" s="1" t="s">
        <v>26</v>
      </c>
      <c r="C828" s="1" t="s">
        <v>17</v>
      </c>
      <c r="D828" s="1" t="s">
        <v>20</v>
      </c>
      <c r="E828" s="12">
        <f>4*F828/3</f>
        <v>0.6047898266666667</v>
      </c>
      <c r="F828" s="12">
        <f>Systems!L6</f>
        <v>0.45359237000000002</v>
      </c>
      <c r="G828" s="1" t="s">
        <v>23</v>
      </c>
      <c r="H828" s="1" t="s">
        <v>134</v>
      </c>
    </row>
    <row r="829" spans="1:8">
      <c r="A829" s="1" t="s">
        <v>1478</v>
      </c>
      <c r="B829" s="1" t="s">
        <v>26</v>
      </c>
      <c r="C829" s="1" t="s">
        <v>17</v>
      </c>
      <c r="D829" s="1" t="s">
        <v>20</v>
      </c>
      <c r="E829" s="12">
        <f>120*F829</f>
        <v>71.617919999999998</v>
      </c>
      <c r="F829" s="12">
        <f>Systems!L50</f>
        <v>0.59681600000000001</v>
      </c>
      <c r="G829" s="1" t="s">
        <v>23</v>
      </c>
      <c r="H829" s="1" t="s">
        <v>134</v>
      </c>
    </row>
    <row r="830" spans="1:8">
      <c r="A830" s="1" t="s">
        <v>1594</v>
      </c>
      <c r="B830" s="1" t="s">
        <v>26</v>
      </c>
      <c r="C830" s="1" t="s">
        <v>17</v>
      </c>
      <c r="D830" s="4" t="s">
        <v>20</v>
      </c>
      <c r="E830" s="12">
        <f>F830/1200</f>
        <v>3.7799364166666671E-4</v>
      </c>
      <c r="F830" s="12">
        <f>Systems!L6</f>
        <v>0.45359237000000002</v>
      </c>
      <c r="G830" s="1" t="s">
        <v>23</v>
      </c>
      <c r="H830" s="1" t="s">
        <v>134</v>
      </c>
    </row>
    <row r="831" spans="1:8">
      <c r="A831" s="1" t="s">
        <v>1604</v>
      </c>
      <c r="B831" s="1" t="s">
        <v>26</v>
      </c>
      <c r="C831" s="1" t="s">
        <v>17</v>
      </c>
      <c r="D831" s="1" t="s">
        <v>20</v>
      </c>
      <c r="E831" s="12">
        <f>F831/1600</f>
        <v>3.7301000000000001E-4</v>
      </c>
      <c r="F831" s="12">
        <f>Systems!L50</f>
        <v>0.59681600000000001</v>
      </c>
      <c r="G831" s="1" t="s">
        <v>23</v>
      </c>
      <c r="H831" s="1" t="s">
        <v>134</v>
      </c>
    </row>
    <row r="832" spans="1:8">
      <c r="A832" s="1" t="s">
        <v>914</v>
      </c>
      <c r="B832" s="1" t="s">
        <v>26</v>
      </c>
      <c r="C832" s="1" t="s">
        <v>17</v>
      </c>
      <c r="D832" s="1" t="s">
        <v>20</v>
      </c>
      <c r="E832" s="12">
        <f>F832/160000</f>
        <v>3.7301000000000001E-6</v>
      </c>
      <c r="F832" s="12">
        <f>Systems!L50</f>
        <v>0.59681600000000001</v>
      </c>
      <c r="G832" s="1" t="s">
        <v>23</v>
      </c>
      <c r="H832" s="1" t="s">
        <v>134</v>
      </c>
    </row>
    <row r="833" spans="1:8">
      <c r="A833" s="1" t="s">
        <v>791</v>
      </c>
      <c r="B833" s="1" t="s">
        <v>26</v>
      </c>
      <c r="C833" s="1" t="s">
        <v>17</v>
      </c>
      <c r="D833" s="1" t="s">
        <v>20</v>
      </c>
      <c r="E833" s="12">
        <f>F833</f>
        <v>0.59681600000000001</v>
      </c>
      <c r="F833" s="12">
        <f>Systems!L50</f>
        <v>0.59681600000000001</v>
      </c>
      <c r="G833" s="1" t="s">
        <v>23</v>
      </c>
      <c r="H833" s="1" t="s">
        <v>134</v>
      </c>
    </row>
    <row r="834" spans="1:8">
      <c r="A834" s="1" t="s">
        <v>1783</v>
      </c>
      <c r="B834" s="1" t="s">
        <v>26</v>
      </c>
      <c r="C834" s="1" t="s">
        <v>17</v>
      </c>
      <c r="D834" s="1" t="s">
        <v>20</v>
      </c>
      <c r="E834" s="12">
        <f>30*F834</f>
        <v>17.90448</v>
      </c>
      <c r="F834" s="12">
        <f>Systems!L50</f>
        <v>0.59681600000000001</v>
      </c>
      <c r="G834" s="1" t="s">
        <v>23</v>
      </c>
      <c r="H834" s="1" t="s">
        <v>134</v>
      </c>
    </row>
    <row r="835" spans="1:8">
      <c r="A835" s="1" t="s">
        <v>922</v>
      </c>
      <c r="B835" s="1" t="s">
        <v>26</v>
      </c>
      <c r="C835" s="1" t="s">
        <v>17</v>
      </c>
      <c r="D835" s="1" t="s">
        <v>20</v>
      </c>
      <c r="E835" s="12">
        <f>4*F835/3</f>
        <v>0.6047898266666667</v>
      </c>
      <c r="F835" s="12">
        <f>Systems!L6</f>
        <v>0.45359237000000002</v>
      </c>
      <c r="G835" s="1" t="s">
        <v>23</v>
      </c>
      <c r="H835" s="1" t="s">
        <v>134</v>
      </c>
    </row>
    <row r="836" spans="1:8">
      <c r="A836" s="1" t="s">
        <v>927</v>
      </c>
      <c r="B836" s="1" t="s">
        <v>26</v>
      </c>
      <c r="C836" s="1" t="s">
        <v>17</v>
      </c>
      <c r="D836" s="1" t="s">
        <v>20</v>
      </c>
      <c r="E836" s="12">
        <f>30*F836</f>
        <v>17.90448</v>
      </c>
      <c r="F836" s="12">
        <f>Systems!L50</f>
        <v>0.59681600000000001</v>
      </c>
      <c r="G836" s="1" t="s">
        <v>23</v>
      </c>
      <c r="H836" s="1" t="s">
        <v>134</v>
      </c>
    </row>
    <row r="837" spans="1:8">
      <c r="A837" s="1" t="s">
        <v>1953</v>
      </c>
      <c r="B837" s="1" t="s">
        <v>26</v>
      </c>
      <c r="C837" s="1" t="s">
        <v>17</v>
      </c>
      <c r="D837" s="1" t="s">
        <v>20</v>
      </c>
      <c r="E837" s="12">
        <f>F837/12</f>
        <v>3.7799364166666669E-2</v>
      </c>
      <c r="F837" s="12">
        <f>Systems!L6</f>
        <v>0.45359237000000002</v>
      </c>
      <c r="G837" s="1" t="s">
        <v>23</v>
      </c>
      <c r="H837" s="1" t="s">
        <v>134</v>
      </c>
    </row>
    <row r="838" spans="1:8">
      <c r="A838" s="1" t="s">
        <v>1954</v>
      </c>
      <c r="B838" s="1" t="s">
        <v>26</v>
      </c>
      <c r="C838" s="1" t="s">
        <v>17</v>
      </c>
      <c r="D838" s="1" t="s">
        <v>20</v>
      </c>
      <c r="E838" s="12">
        <f>F838/16000</f>
        <v>3.7301000000000001E-5</v>
      </c>
      <c r="F838" s="12">
        <f>Systems!L50</f>
        <v>0.59681600000000001</v>
      </c>
      <c r="G838" s="1" t="s">
        <v>23</v>
      </c>
      <c r="H838" s="1" t="s">
        <v>134</v>
      </c>
    </row>
    <row r="839" spans="1:8">
      <c r="A839" s="1" t="s">
        <v>1955</v>
      </c>
      <c r="B839" s="1" t="s">
        <v>26</v>
      </c>
      <c r="C839" s="1" t="s">
        <v>17</v>
      </c>
      <c r="D839" s="1" t="s">
        <v>20</v>
      </c>
      <c r="E839" s="12">
        <f>F839/16</f>
        <v>3.7301000000000001E-2</v>
      </c>
      <c r="F839" s="12">
        <f>Systems!L50</f>
        <v>0.59681600000000001</v>
      </c>
      <c r="G839" s="1" t="s">
        <v>23</v>
      </c>
      <c r="H839" s="1" t="s">
        <v>134</v>
      </c>
    </row>
    <row r="840" spans="1:8">
      <c r="A840" s="1" t="s">
        <v>2000</v>
      </c>
      <c r="B840" s="1" t="s">
        <v>26</v>
      </c>
      <c r="C840" s="1" t="s">
        <v>17</v>
      </c>
      <c r="D840" s="1" t="s">
        <v>20</v>
      </c>
      <c r="E840" s="12">
        <f>F840/120</f>
        <v>3.7799364166666667E-3</v>
      </c>
      <c r="F840" s="12">
        <f>Systems!L6</f>
        <v>0.45359237000000002</v>
      </c>
      <c r="G840" s="1" t="s">
        <v>23</v>
      </c>
      <c r="H840" s="1" t="s">
        <v>134</v>
      </c>
    </row>
    <row r="841" spans="1:8">
      <c r="A841" s="1" t="s">
        <v>4509</v>
      </c>
      <c r="B841" s="1" t="s">
        <v>26</v>
      </c>
      <c r="C841" s="1" t="s">
        <v>17</v>
      </c>
      <c r="D841" s="1" t="s">
        <v>20</v>
      </c>
      <c r="E841" s="12">
        <f>12*F841/100</f>
        <v>3.732417216E-3</v>
      </c>
      <c r="F841" s="12">
        <f>Systems!L21</f>
        <v>3.1103476800000002E-2</v>
      </c>
      <c r="G841" s="1" t="s">
        <v>23</v>
      </c>
      <c r="H841" s="1" t="s">
        <v>134</v>
      </c>
    </row>
    <row r="842" spans="1:8">
      <c r="A842" s="1" t="s">
        <v>923</v>
      </c>
      <c r="B842" s="1" t="s">
        <v>26</v>
      </c>
      <c r="C842" s="1" t="s">
        <v>17</v>
      </c>
      <c r="D842" s="1" t="s">
        <v>20</v>
      </c>
      <c r="E842" s="12">
        <f>400*F842/3</f>
        <v>60.478982666666667</v>
      </c>
      <c r="F842" s="12">
        <f>Systems!L6</f>
        <v>0.45359237000000002</v>
      </c>
      <c r="G842" s="1" t="s">
        <v>23</v>
      </c>
      <c r="H842" s="1" t="s">
        <v>134</v>
      </c>
    </row>
    <row r="843" spans="1:8">
      <c r="A843" s="1" t="s">
        <v>2327</v>
      </c>
      <c r="B843" s="1" t="s">
        <v>26</v>
      </c>
      <c r="C843" s="1" t="s">
        <v>17</v>
      </c>
      <c r="D843" s="1" t="s">
        <v>20</v>
      </c>
      <c r="E843" s="12">
        <f>F843/160</f>
        <v>3.7301000000000001E-3</v>
      </c>
      <c r="F843" s="12">
        <f>Systems!L50</f>
        <v>0.59681600000000001</v>
      </c>
      <c r="G843" s="1" t="s">
        <v>23</v>
      </c>
      <c r="H843" s="1" t="s">
        <v>134</v>
      </c>
    </row>
    <row r="844" spans="1:8">
      <c r="A844" s="1" t="s">
        <v>1479</v>
      </c>
      <c r="B844" s="1" t="s">
        <v>26</v>
      </c>
      <c r="C844" s="1" t="s">
        <v>17</v>
      </c>
      <c r="D844" s="1" t="s">
        <v>20</v>
      </c>
      <c r="E844" s="12">
        <f>120*F844</f>
        <v>71.617919999999998</v>
      </c>
      <c r="F844" s="12">
        <f>Systems!L50</f>
        <v>0.59681600000000001</v>
      </c>
      <c r="G844" s="1" t="s">
        <v>23</v>
      </c>
      <c r="H844" s="1" t="s">
        <v>134</v>
      </c>
    </row>
    <row r="845" spans="1:8">
      <c r="A845" s="1" t="s">
        <v>378</v>
      </c>
      <c r="B845" s="1" t="s">
        <v>26</v>
      </c>
      <c r="C845" s="1" t="s">
        <v>17</v>
      </c>
      <c r="D845" s="1" t="s">
        <v>20</v>
      </c>
      <c r="E845" s="12">
        <f>F845/38400</f>
        <v>1.5542083333333335E-5</v>
      </c>
      <c r="F845" s="12">
        <f>Systems!L50</f>
        <v>0.59681600000000001</v>
      </c>
      <c r="G845" s="1" t="s">
        <v>23</v>
      </c>
      <c r="H845" s="1" t="s">
        <v>134</v>
      </c>
    </row>
    <row r="846" spans="1:8">
      <c r="A846" s="1" t="s">
        <v>978</v>
      </c>
      <c r="B846" s="1" t="s">
        <v>26</v>
      </c>
      <c r="C846" s="1" t="s">
        <v>17</v>
      </c>
      <c r="D846" s="1" t="s">
        <v>20</v>
      </c>
      <c r="E846" s="12">
        <f>F846/12</f>
        <v>3.7799364166666669E-2</v>
      </c>
      <c r="F846" s="12">
        <f>Systems!L6</f>
        <v>0.45359237000000002</v>
      </c>
      <c r="G846" s="1" t="s">
        <v>23</v>
      </c>
      <c r="H846" s="1" t="s">
        <v>134</v>
      </c>
    </row>
    <row r="847" spans="1:8">
      <c r="A847" s="1" t="s">
        <v>6921</v>
      </c>
      <c r="B847" s="1" t="s">
        <v>26</v>
      </c>
      <c r="C847" s="1" t="s">
        <v>17</v>
      </c>
      <c r="D847" s="1" t="s">
        <v>20</v>
      </c>
      <c r="E847" s="12">
        <f>6*F847/5</f>
        <v>3.7324172160000002E-2</v>
      </c>
      <c r="F847" s="12">
        <f>Systems!L21</f>
        <v>3.1103476800000002E-2</v>
      </c>
      <c r="G847" s="1" t="s">
        <v>23</v>
      </c>
      <c r="H847" s="1" t="s">
        <v>134</v>
      </c>
    </row>
    <row r="848" spans="1:8">
      <c r="A848" s="1" t="s">
        <v>4510</v>
      </c>
      <c r="B848" s="1" t="s">
        <v>26</v>
      </c>
      <c r="C848" s="1" t="s">
        <v>17</v>
      </c>
      <c r="D848" s="1" t="s">
        <v>20</v>
      </c>
      <c r="E848" s="12">
        <f>0.03779946637*F848</f>
        <v>3.779946637E-2</v>
      </c>
      <c r="F848" s="12">
        <f>SI!E2</f>
        <v>1</v>
      </c>
      <c r="G848" s="1" t="s">
        <v>23</v>
      </c>
      <c r="H848" s="1" t="s">
        <v>134</v>
      </c>
    </row>
    <row r="849" spans="1:8">
      <c r="A849" s="1" t="s">
        <v>4511</v>
      </c>
      <c r="B849" s="1" t="s">
        <v>26</v>
      </c>
      <c r="C849" s="1" t="s">
        <v>17</v>
      </c>
      <c r="D849" s="1" t="s">
        <v>20</v>
      </c>
      <c r="E849" s="12">
        <f>0.03779303777*F849</f>
        <v>3.7793037770000003E-2</v>
      </c>
      <c r="F849" s="12">
        <f>SI!E2</f>
        <v>1</v>
      </c>
      <c r="G849" s="1" t="s">
        <v>23</v>
      </c>
      <c r="H849" s="1" t="s">
        <v>134</v>
      </c>
    </row>
    <row r="850" spans="1:8">
      <c r="A850" s="1" t="s">
        <v>4512</v>
      </c>
      <c r="B850" s="1" t="s">
        <v>26</v>
      </c>
      <c r="C850" s="1" t="s">
        <v>17</v>
      </c>
      <c r="D850" s="1" t="s">
        <v>20</v>
      </c>
      <c r="E850" s="12">
        <f>0.03750093752*F850</f>
        <v>3.7500937519999999E-2</v>
      </c>
      <c r="F850" s="12">
        <f>SI!E2</f>
        <v>1</v>
      </c>
      <c r="G850" s="1" t="s">
        <v>23</v>
      </c>
      <c r="H850" s="1" t="s">
        <v>134</v>
      </c>
    </row>
    <row r="851" spans="1:8">
      <c r="A851" s="1" t="s">
        <v>2603</v>
      </c>
      <c r="B851" s="1" t="s">
        <v>26</v>
      </c>
      <c r="C851" s="1" t="s">
        <v>17</v>
      </c>
      <c r="D851" s="1" t="s">
        <v>20</v>
      </c>
      <c r="E851" s="12">
        <f>400*F851/3</f>
        <v>60.478982666666667</v>
      </c>
      <c r="F851" s="12">
        <f>Systems!L6</f>
        <v>0.45359237000000002</v>
      </c>
      <c r="G851" s="1" t="s">
        <v>23</v>
      </c>
      <c r="H851" s="1" t="s">
        <v>134</v>
      </c>
    </row>
    <row r="852" spans="1:8">
      <c r="A852" s="1" t="s">
        <v>2607</v>
      </c>
      <c r="B852" s="1" t="s">
        <v>26</v>
      </c>
      <c r="C852" s="1" t="s">
        <v>17</v>
      </c>
      <c r="D852" s="1" t="s">
        <v>20</v>
      </c>
      <c r="E852" s="12">
        <f>100*F852</f>
        <v>59.681600000000003</v>
      </c>
      <c r="F852" s="12">
        <f>Systems!L50</f>
        <v>0.59681600000000001</v>
      </c>
      <c r="G852" s="1" t="s">
        <v>23</v>
      </c>
      <c r="H852" s="1" t="s">
        <v>134</v>
      </c>
    </row>
    <row r="853" spans="1:8">
      <c r="A853" s="1" t="s">
        <v>1774</v>
      </c>
      <c r="B853" s="1" t="s">
        <v>26</v>
      </c>
      <c r="C853" s="1" t="s">
        <v>17</v>
      </c>
      <c r="D853" s="1" t="s">
        <v>20</v>
      </c>
      <c r="E853" s="12">
        <f>F853</f>
        <v>0.59681600000000001</v>
      </c>
      <c r="F853" s="12">
        <f>Systems!L50</f>
        <v>0.59681600000000001</v>
      </c>
      <c r="G853" s="1" t="s">
        <v>23</v>
      </c>
      <c r="H853" s="1" t="s">
        <v>134</v>
      </c>
    </row>
    <row r="854" spans="1:8">
      <c r="A854" s="1" t="s">
        <v>2712</v>
      </c>
      <c r="B854" s="1" t="s">
        <v>26</v>
      </c>
      <c r="C854" s="1" t="s">
        <v>17</v>
      </c>
      <c r="D854" s="1" t="s">
        <v>20</v>
      </c>
      <c r="E854" s="12">
        <f>F854/120</f>
        <v>3.7799364166666667E-3</v>
      </c>
      <c r="F854" s="12">
        <f>Systems!L6</f>
        <v>0.45359237000000002</v>
      </c>
      <c r="G854" s="1" t="s">
        <v>23</v>
      </c>
      <c r="H854" s="1" t="s">
        <v>134</v>
      </c>
    </row>
    <row r="855" spans="1:8">
      <c r="A855" s="1" t="s">
        <v>1466</v>
      </c>
      <c r="B855" s="1" t="s">
        <v>26</v>
      </c>
      <c r="C855" s="1" t="s">
        <v>17</v>
      </c>
      <c r="D855" s="1" t="s">
        <v>20</v>
      </c>
      <c r="E855" s="12">
        <f>F855/160</f>
        <v>3.7301000000000001E-3</v>
      </c>
      <c r="F855" s="12">
        <f>Systems!L50</f>
        <v>0.59681600000000001</v>
      </c>
      <c r="G855" s="1" t="s">
        <v>23</v>
      </c>
      <c r="H855" s="1" t="s">
        <v>134</v>
      </c>
    </row>
    <row r="856" spans="1:8">
      <c r="A856" s="1" t="s">
        <v>434</v>
      </c>
      <c r="B856" s="1" t="s">
        <v>26</v>
      </c>
      <c r="C856" s="1" t="s">
        <v>17</v>
      </c>
      <c r="D856" s="1" t="s">
        <v>20</v>
      </c>
      <c r="E856" s="12">
        <f>F856/384</f>
        <v>1.5542083333333334E-3</v>
      </c>
      <c r="F856" s="12">
        <f>Systems!L50</f>
        <v>0.59681600000000001</v>
      </c>
      <c r="G856" s="1" t="s">
        <v>23</v>
      </c>
      <c r="H856" s="1" t="s">
        <v>134</v>
      </c>
    </row>
    <row r="857" spans="1:8" s="48" customFormat="1">
      <c r="A857" s="248"/>
      <c r="B857" s="248"/>
      <c r="C857" s="248"/>
      <c r="D857" s="248"/>
      <c r="E857" s="250"/>
      <c r="F857" s="250"/>
      <c r="G857" s="248"/>
      <c r="H857" s="248"/>
    </row>
    <row r="858" spans="1:8">
      <c r="A858" s="1" t="s">
        <v>1447</v>
      </c>
      <c r="B858" s="1" t="s">
        <v>26</v>
      </c>
      <c r="C858" s="1" t="s">
        <v>3033</v>
      </c>
      <c r="D858" s="1" t="s">
        <v>19</v>
      </c>
      <c r="E858" s="12">
        <f>100*F858</f>
        <v>80</v>
      </c>
      <c r="F858" s="12">
        <f>Systems!D53</f>
        <v>0.8</v>
      </c>
      <c r="G858" s="1" t="s">
        <v>14</v>
      </c>
      <c r="H858" s="1" t="s">
        <v>454</v>
      </c>
    </row>
    <row r="859" spans="1:8">
      <c r="A859" s="1" t="s">
        <v>1448</v>
      </c>
      <c r="B859" s="1" t="s">
        <v>26</v>
      </c>
      <c r="C859" s="1" t="s">
        <v>3033</v>
      </c>
      <c r="D859" s="1" t="s">
        <v>19</v>
      </c>
      <c r="E859" s="12">
        <f>F859/4</f>
        <v>0.2</v>
      </c>
      <c r="F859" s="12">
        <f>Systems!D53</f>
        <v>0.8</v>
      </c>
      <c r="G859" s="1" t="s">
        <v>14</v>
      </c>
      <c r="H859" s="1" t="s">
        <v>454</v>
      </c>
    </row>
    <row r="860" spans="1:8">
      <c r="A860" s="1" t="s">
        <v>1945</v>
      </c>
      <c r="B860" s="1" t="s">
        <v>26</v>
      </c>
      <c r="C860" s="1" t="s">
        <v>3033</v>
      </c>
      <c r="D860" s="1" t="s">
        <v>19</v>
      </c>
      <c r="E860" s="12">
        <f>6250*F860</f>
        <v>5000</v>
      </c>
      <c r="F860" s="12">
        <f>Systems!D53</f>
        <v>0.8</v>
      </c>
      <c r="G860" s="1" t="s">
        <v>14</v>
      </c>
      <c r="H860" s="1" t="s">
        <v>454</v>
      </c>
    </row>
    <row r="861" spans="1:8">
      <c r="A861" s="1" t="s">
        <v>933</v>
      </c>
      <c r="B861" s="1" t="s">
        <v>26</v>
      </c>
      <c r="C861" s="1" t="s">
        <v>3033</v>
      </c>
      <c r="D861" s="1" t="s">
        <v>19</v>
      </c>
      <c r="E861" s="12">
        <f>F861/3</f>
        <v>0.26666666666666666</v>
      </c>
      <c r="F861" s="12">
        <f>Systems!D53</f>
        <v>0.8</v>
      </c>
      <c r="G861" s="1" t="s">
        <v>14</v>
      </c>
      <c r="H861" s="1" t="s">
        <v>454</v>
      </c>
    </row>
    <row r="862" spans="1:8">
      <c r="A862" s="1" t="s">
        <v>2306</v>
      </c>
      <c r="B862" s="1" t="s">
        <v>26</v>
      </c>
      <c r="C862" s="1" t="s">
        <v>3033</v>
      </c>
      <c r="D862" s="1" t="s">
        <v>19</v>
      </c>
      <c r="E862" s="12">
        <f>F862/36</f>
        <v>2.2222222222222223E-2</v>
      </c>
      <c r="F862" s="12">
        <f>Systems!D53</f>
        <v>0.8</v>
      </c>
      <c r="G862" s="1" t="s">
        <v>14</v>
      </c>
      <c r="H862" s="1" t="s">
        <v>454</v>
      </c>
    </row>
    <row r="863" spans="1:8">
      <c r="A863" s="1" t="s">
        <v>821</v>
      </c>
      <c r="B863" s="1" t="s">
        <v>26</v>
      </c>
      <c r="C863" s="1" t="s">
        <v>3033</v>
      </c>
      <c r="D863" s="1" t="s">
        <v>19</v>
      </c>
      <c r="E863" s="12">
        <f>F863</f>
        <v>0.8</v>
      </c>
      <c r="F863" s="12">
        <f>Systems!D53</f>
        <v>0.8</v>
      </c>
      <c r="G863" s="1" t="s">
        <v>14</v>
      </c>
      <c r="H863" s="1" t="s">
        <v>454</v>
      </c>
    </row>
    <row r="864" spans="1:8" ht="16.5">
      <c r="A864" s="1" t="s">
        <v>4513</v>
      </c>
      <c r="B864" s="1" t="s">
        <v>26</v>
      </c>
      <c r="C864" s="1" t="s">
        <v>3034</v>
      </c>
      <c r="D864" s="1" t="s">
        <v>38</v>
      </c>
      <c r="E864" s="12">
        <f>F864</f>
        <v>0.64000000000000012</v>
      </c>
      <c r="F864" s="12">
        <f>Systems!H53</f>
        <v>0.64000000000000012</v>
      </c>
      <c r="G864" s="1" t="s">
        <v>39</v>
      </c>
      <c r="H864" s="1" t="s">
        <v>454</v>
      </c>
    </row>
    <row r="865" spans="1:8" ht="16.5">
      <c r="A865" s="1" t="s">
        <v>4514</v>
      </c>
      <c r="B865" s="1" t="s">
        <v>26</v>
      </c>
      <c r="C865" s="1" t="s">
        <v>2936</v>
      </c>
      <c r="D865" s="1" t="s">
        <v>32</v>
      </c>
      <c r="E865" s="12">
        <f>F865</f>
        <v>0.51200000000000012</v>
      </c>
      <c r="F865" s="12">
        <f>Systems!T53</f>
        <v>0.51200000000000012</v>
      </c>
      <c r="G865" s="1" t="s">
        <v>33</v>
      </c>
      <c r="H865" s="1" t="s">
        <v>454</v>
      </c>
    </row>
    <row r="866" spans="1:8" ht="16.5">
      <c r="A866" s="1" t="s">
        <v>4514</v>
      </c>
      <c r="B866" s="1" t="s">
        <v>26</v>
      </c>
      <c r="C866" s="1" t="s">
        <v>2935</v>
      </c>
      <c r="D866" s="1" t="s">
        <v>32</v>
      </c>
      <c r="E866" s="12">
        <f>F866</f>
        <v>0.51200000000000012</v>
      </c>
      <c r="F866" s="12">
        <f>Systems!P53</f>
        <v>0.51200000000000012</v>
      </c>
      <c r="G866" s="1" t="s">
        <v>33</v>
      </c>
      <c r="H866" s="1" t="s">
        <v>454</v>
      </c>
    </row>
    <row r="867" spans="1:8">
      <c r="A867" s="1" t="s">
        <v>1018</v>
      </c>
      <c r="B867" s="1" t="s">
        <v>26</v>
      </c>
      <c r="C867" s="1" t="s">
        <v>17</v>
      </c>
      <c r="D867" s="1" t="s">
        <v>20</v>
      </c>
      <c r="E867" s="12">
        <f>25*F867</f>
        <v>12.5</v>
      </c>
      <c r="F867" s="12">
        <f>Systems!L53</f>
        <v>0.5</v>
      </c>
      <c r="G867" s="1" t="s">
        <v>23</v>
      </c>
      <c r="H867" s="1" t="s">
        <v>454</v>
      </c>
    </row>
    <row r="868" spans="1:8">
      <c r="A868" s="1" t="s">
        <v>1358</v>
      </c>
      <c r="B868" s="1" t="s">
        <v>26</v>
      </c>
      <c r="C868" s="1" t="s">
        <v>17</v>
      </c>
      <c r="D868" s="1" t="s">
        <v>20</v>
      </c>
      <c r="E868" s="12">
        <f>250*F868</f>
        <v>125</v>
      </c>
      <c r="F868" s="12">
        <f>Systems!L53</f>
        <v>0.5</v>
      </c>
      <c r="G868" s="1" t="s">
        <v>23</v>
      </c>
      <c r="H868" s="1" t="s">
        <v>454</v>
      </c>
    </row>
    <row r="869" spans="1:8">
      <c r="A869" s="1" t="s">
        <v>820</v>
      </c>
      <c r="B869" s="1" t="s">
        <v>26</v>
      </c>
      <c r="C869" s="1" t="s">
        <v>17</v>
      </c>
      <c r="D869" s="1" t="s">
        <v>20</v>
      </c>
      <c r="E869" s="12">
        <f>F869</f>
        <v>0.5</v>
      </c>
      <c r="F869" s="12">
        <f>Systems!L53</f>
        <v>0.5</v>
      </c>
      <c r="G869" s="1" t="s">
        <v>23</v>
      </c>
      <c r="H869" s="1" t="s">
        <v>454</v>
      </c>
    </row>
    <row r="870" spans="1:8">
      <c r="A870" s="1" t="s">
        <v>2174</v>
      </c>
      <c r="B870" s="1" t="s">
        <v>26</v>
      </c>
      <c r="C870" s="1" t="s">
        <v>17</v>
      </c>
      <c r="D870" s="1" t="s">
        <v>20</v>
      </c>
      <c r="E870" s="12">
        <f>F870/16</f>
        <v>3.125E-2</v>
      </c>
      <c r="F870" s="12">
        <f>Systems!L53</f>
        <v>0.5</v>
      </c>
      <c r="G870" s="1" t="s">
        <v>23</v>
      </c>
      <c r="H870" s="1" t="s">
        <v>454</v>
      </c>
    </row>
    <row r="871" spans="1:8">
      <c r="A871" s="1" t="s">
        <v>2357</v>
      </c>
      <c r="B871" s="1" t="s">
        <v>26</v>
      </c>
      <c r="C871" s="1" t="s">
        <v>17</v>
      </c>
      <c r="D871" s="1" t="s">
        <v>20</v>
      </c>
      <c r="E871" s="12">
        <f>100*F871</f>
        <v>50</v>
      </c>
      <c r="F871" s="12">
        <f>Systems!L53</f>
        <v>0.5</v>
      </c>
      <c r="G871" s="1" t="s">
        <v>23</v>
      </c>
      <c r="H871" s="1" t="s">
        <v>454</v>
      </c>
    </row>
    <row r="872" spans="1:8">
      <c r="A872" s="1" t="s">
        <v>2416</v>
      </c>
      <c r="B872" s="1" t="s">
        <v>26</v>
      </c>
      <c r="C872" s="1" t="s">
        <v>17</v>
      </c>
      <c r="D872" s="1" t="s">
        <v>20</v>
      </c>
      <c r="E872" s="12">
        <f>125*F872</f>
        <v>62.5</v>
      </c>
      <c r="F872" s="12">
        <f>Systems!L53</f>
        <v>0.5</v>
      </c>
      <c r="G872" s="1" t="s">
        <v>23</v>
      </c>
      <c r="H872" s="1" t="s">
        <v>454</v>
      </c>
    </row>
    <row r="873" spans="1:8">
      <c r="A873" s="1" t="s">
        <v>2682</v>
      </c>
      <c r="B873" s="1" t="s">
        <v>26</v>
      </c>
      <c r="C873" s="1" t="s">
        <v>17</v>
      </c>
      <c r="D873" s="1" t="s">
        <v>20</v>
      </c>
      <c r="E873" s="12">
        <f>2000*F873</f>
        <v>1000</v>
      </c>
      <c r="F873" s="12">
        <f>Systems!L53</f>
        <v>0.5</v>
      </c>
      <c r="G873" s="1" t="s">
        <v>23</v>
      </c>
      <c r="H873" s="1" t="s">
        <v>454</v>
      </c>
    </row>
    <row r="874" spans="1:8">
      <c r="A874" s="248"/>
      <c r="B874" s="248"/>
      <c r="C874" s="248"/>
      <c r="D874" s="248"/>
      <c r="E874" s="250"/>
      <c r="F874" s="250"/>
      <c r="G874" s="248"/>
      <c r="H874" s="248"/>
    </row>
    <row r="875" spans="1:8">
      <c r="A875" s="1" t="s">
        <v>1448</v>
      </c>
      <c r="B875" s="1" t="s">
        <v>26</v>
      </c>
      <c r="C875" s="1" t="s">
        <v>3033</v>
      </c>
      <c r="D875" s="1" t="s">
        <v>19</v>
      </c>
      <c r="E875" s="12">
        <f>F875/4</f>
        <v>0.20982500000000001</v>
      </c>
      <c r="F875" s="12">
        <f>Systems!D54</f>
        <v>0.83930000000000005</v>
      </c>
      <c r="G875" s="1" t="s">
        <v>14</v>
      </c>
      <c r="H875" s="1" t="s">
        <v>486</v>
      </c>
    </row>
    <row r="876" spans="1:8">
      <c r="A876" s="1" t="s">
        <v>2037</v>
      </c>
      <c r="B876" s="1" t="s">
        <v>26</v>
      </c>
      <c r="C876" s="1" t="s">
        <v>3033</v>
      </c>
      <c r="D876" s="1" t="s">
        <v>19</v>
      </c>
      <c r="E876" s="12">
        <f>24*F876</f>
        <v>20.1432</v>
      </c>
      <c r="F876" s="12">
        <f>Systems!D54</f>
        <v>0.83930000000000005</v>
      </c>
      <c r="G876" s="1" t="s">
        <v>14</v>
      </c>
      <c r="H876" s="1" t="s">
        <v>486</v>
      </c>
    </row>
    <row r="877" spans="1:8">
      <c r="A877" s="1" t="s">
        <v>2306</v>
      </c>
      <c r="B877" s="1" t="s">
        <v>26</v>
      </c>
      <c r="C877" s="1" t="s">
        <v>3033</v>
      </c>
      <c r="D877" s="1" t="s">
        <v>19</v>
      </c>
      <c r="E877" s="12">
        <f>F877/36</f>
        <v>2.3313888888888891E-2</v>
      </c>
      <c r="F877" s="12">
        <f>Systems!D54</f>
        <v>0.83930000000000005</v>
      </c>
      <c r="G877" s="1" t="s">
        <v>14</v>
      </c>
      <c r="H877" s="1" t="s">
        <v>486</v>
      </c>
    </row>
    <row r="878" spans="1:8">
      <c r="A878" s="1" t="s">
        <v>2635</v>
      </c>
      <c r="B878" s="1" t="s">
        <v>26</v>
      </c>
      <c r="C878" s="1" t="s">
        <v>3033</v>
      </c>
      <c r="D878" s="1" t="s">
        <v>19</v>
      </c>
      <c r="E878" s="12">
        <f>F878/3</f>
        <v>0.27976666666666666</v>
      </c>
      <c r="F878" s="12">
        <f>Systems!D54</f>
        <v>0.83930000000000005</v>
      </c>
      <c r="G878" s="1" t="s">
        <v>14</v>
      </c>
      <c r="H878" s="1" t="s">
        <v>486</v>
      </c>
    </row>
    <row r="879" spans="1:8">
      <c r="A879" s="1" t="s">
        <v>821</v>
      </c>
      <c r="B879" s="1" t="s">
        <v>26</v>
      </c>
      <c r="C879" s="1" t="s">
        <v>3033</v>
      </c>
      <c r="D879" s="1" t="s">
        <v>19</v>
      </c>
      <c r="E879" s="12">
        <f>F879</f>
        <v>0.83930000000000005</v>
      </c>
      <c r="F879" s="12">
        <f>Systems!D54</f>
        <v>0.83930000000000005</v>
      </c>
      <c r="G879" s="1" t="s">
        <v>14</v>
      </c>
      <c r="H879" s="1" t="s">
        <v>486</v>
      </c>
    </row>
    <row r="880" spans="1:8" ht="16.5">
      <c r="A880" s="1" t="s">
        <v>1332</v>
      </c>
      <c r="B880" s="1" t="s">
        <v>26</v>
      </c>
      <c r="C880" s="1" t="s">
        <v>3034</v>
      </c>
      <c r="D880" s="1" t="s">
        <v>38</v>
      </c>
      <c r="E880" s="12">
        <f>640000*F880</f>
        <v>450831.67360000004</v>
      </c>
      <c r="F880" s="12">
        <f>POWER(Systems!D54,2)</f>
        <v>0.70442449000000007</v>
      </c>
      <c r="G880" s="1" t="s">
        <v>39</v>
      </c>
      <c r="H880" s="1" t="s">
        <v>486</v>
      </c>
    </row>
    <row r="881" spans="1:8" ht="16.5">
      <c r="A881" s="1" t="s">
        <v>930</v>
      </c>
      <c r="B881" s="1" t="s">
        <v>26</v>
      </c>
      <c r="C881" s="1" t="s">
        <v>3034</v>
      </c>
      <c r="D881" s="1" t="s">
        <v>38</v>
      </c>
      <c r="E881" s="12">
        <f>F881</f>
        <v>7044.2448999999997</v>
      </c>
      <c r="F881" s="12">
        <f>Systems!H54</f>
        <v>7044.2448999999997</v>
      </c>
      <c r="G881" s="1" t="s">
        <v>39</v>
      </c>
      <c r="H881" s="1" t="s">
        <v>486</v>
      </c>
    </row>
    <row r="882" spans="1:8" ht="16.5">
      <c r="A882" s="1" t="s">
        <v>4513</v>
      </c>
      <c r="B882" s="1" t="s">
        <v>26</v>
      </c>
      <c r="C882" s="1" t="s">
        <v>3034</v>
      </c>
      <c r="D882" s="1" t="s">
        <v>38</v>
      </c>
      <c r="E882" s="12">
        <f>F882</f>
        <v>0.70442449000000007</v>
      </c>
      <c r="F882" s="12">
        <f>POWER(Systems!D54,2)</f>
        <v>0.70442449000000007</v>
      </c>
      <c r="G882" s="1" t="s">
        <v>39</v>
      </c>
      <c r="H882" s="1" t="s">
        <v>486</v>
      </c>
    </row>
    <row r="883" spans="1:8" ht="16.5">
      <c r="A883" s="1" t="s">
        <v>4514</v>
      </c>
      <c r="B883" s="1" t="s">
        <v>26</v>
      </c>
      <c r="C883" s="1" t="s">
        <v>2936</v>
      </c>
      <c r="D883" s="1" t="s">
        <v>32</v>
      </c>
      <c r="E883" s="12">
        <f>F883</f>
        <v>0.59122347445700008</v>
      </c>
      <c r="F883" s="12">
        <f>Systems!T54</f>
        <v>0.59122347445700008</v>
      </c>
      <c r="G883" s="1" t="s">
        <v>33</v>
      </c>
      <c r="H883" s="1" t="s">
        <v>486</v>
      </c>
    </row>
    <row r="884" spans="1:8" ht="16.5">
      <c r="A884" s="1" t="s">
        <v>1307</v>
      </c>
      <c r="B884" s="1" t="s">
        <v>26</v>
      </c>
      <c r="C884" s="1" t="s">
        <v>2935</v>
      </c>
      <c r="D884" s="1" t="s">
        <v>32</v>
      </c>
      <c r="E884" s="12">
        <f>F884</f>
        <v>6.4999999999999997E-4</v>
      </c>
      <c r="F884" s="12">
        <f>Systems!P54</f>
        <v>6.4999999999999997E-4</v>
      </c>
      <c r="G884" s="1" t="s">
        <v>33</v>
      </c>
      <c r="H884" s="1" t="s">
        <v>486</v>
      </c>
    </row>
    <row r="885" spans="1:8" ht="16.5">
      <c r="A885" s="1" t="s">
        <v>1341</v>
      </c>
      <c r="B885" s="1" t="s">
        <v>26</v>
      </c>
      <c r="C885" s="1" t="s">
        <v>2935</v>
      </c>
      <c r="D885" s="1" t="s">
        <v>32</v>
      </c>
      <c r="E885" s="12">
        <f>25*F885</f>
        <v>1.6250000000000001E-2</v>
      </c>
      <c r="F885" s="12">
        <f>Systems!P54</f>
        <v>6.4999999999999997E-4</v>
      </c>
      <c r="G885" s="1" t="s">
        <v>33</v>
      </c>
      <c r="H885" s="1" t="s">
        <v>486</v>
      </c>
    </row>
    <row r="886" spans="1:8" ht="16.5">
      <c r="A886" s="1" t="s">
        <v>936</v>
      </c>
      <c r="B886" s="1" t="s">
        <v>26</v>
      </c>
      <c r="C886" s="1" t="s">
        <v>2935</v>
      </c>
      <c r="D886" s="1" t="s">
        <v>32</v>
      </c>
      <c r="E886" s="12">
        <f>25*F886/32</f>
        <v>5.0781250000000002E-4</v>
      </c>
      <c r="F886" s="12">
        <f>Systems!P54</f>
        <v>6.4999999999999997E-4</v>
      </c>
      <c r="G886" s="1" t="s">
        <v>33</v>
      </c>
      <c r="H886" s="1" t="s">
        <v>486</v>
      </c>
    </row>
    <row r="887" spans="1:8">
      <c r="A887" s="1" t="s">
        <v>1340</v>
      </c>
      <c r="B887" s="1" t="s">
        <v>26</v>
      </c>
      <c r="C887" s="1" t="s">
        <v>17</v>
      </c>
      <c r="D887" s="1" t="s">
        <v>20</v>
      </c>
      <c r="E887" s="12">
        <f>4*F887/23</f>
        <v>16</v>
      </c>
      <c r="F887" s="12">
        <f>Systems!L54</f>
        <v>92</v>
      </c>
      <c r="G887" s="1" t="s">
        <v>23</v>
      </c>
      <c r="H887" s="1" t="s">
        <v>486</v>
      </c>
    </row>
    <row r="888" spans="1:8">
      <c r="A888" s="1" t="s">
        <v>1358</v>
      </c>
      <c r="B888" s="1" t="s">
        <v>26</v>
      </c>
      <c r="C888" s="1" t="s">
        <v>17</v>
      </c>
      <c r="D888" s="1" t="s">
        <v>20</v>
      </c>
      <c r="E888" s="12">
        <f>7*F888/4</f>
        <v>161</v>
      </c>
      <c r="F888" s="12">
        <f>Systems!L54</f>
        <v>92</v>
      </c>
      <c r="G888" s="1" t="s">
        <v>23</v>
      </c>
      <c r="H888" s="1" t="s">
        <v>486</v>
      </c>
    </row>
    <row r="889" spans="1:8">
      <c r="A889" s="1" t="s">
        <v>823</v>
      </c>
      <c r="B889" s="1" t="s">
        <v>26</v>
      </c>
      <c r="C889" s="1" t="s">
        <v>17</v>
      </c>
      <c r="D889" s="1" t="s">
        <v>20</v>
      </c>
      <c r="E889" s="12">
        <f>F889</f>
        <v>92</v>
      </c>
      <c r="F889" s="12">
        <f>Systems!L54</f>
        <v>92</v>
      </c>
      <c r="G889" s="1" t="s">
        <v>23</v>
      </c>
      <c r="H889" s="1" t="s">
        <v>486</v>
      </c>
    </row>
    <row r="890" spans="1:8">
      <c r="A890" s="248"/>
      <c r="B890" s="248"/>
      <c r="C890" s="248"/>
      <c r="D890" s="248"/>
      <c r="E890" s="250"/>
      <c r="F890" s="250"/>
      <c r="G890" s="248"/>
      <c r="H890" s="248"/>
    </row>
    <row r="891" spans="1:8">
      <c r="A891" s="1" t="s">
        <v>1945</v>
      </c>
      <c r="B891" s="1" t="s">
        <v>26</v>
      </c>
      <c r="C891" s="1" t="s">
        <v>3033</v>
      </c>
      <c r="D891" s="1" t="s">
        <v>19</v>
      </c>
      <c r="E891" s="12">
        <f>1000*F891/12519</f>
        <v>6.7733333333333326E-2</v>
      </c>
      <c r="F891" s="12">
        <f>Systems!D57</f>
        <v>0.84795359999999997</v>
      </c>
      <c r="G891" s="1" t="s">
        <v>14</v>
      </c>
      <c r="H891" s="1" t="s">
        <v>474</v>
      </c>
    </row>
    <row r="892" spans="1:8">
      <c r="A892" s="1" t="s">
        <v>821</v>
      </c>
      <c r="B892" s="1" t="s">
        <v>26</v>
      </c>
      <c r="C892" s="1" t="s">
        <v>3033</v>
      </c>
      <c r="D892" s="1" t="s">
        <v>19</v>
      </c>
      <c r="E892" s="12">
        <f>F892</f>
        <v>0.84795359999999997</v>
      </c>
      <c r="F892" s="12">
        <f>Systems!D57</f>
        <v>0.84795359999999997</v>
      </c>
      <c r="G892" s="1" t="s">
        <v>14</v>
      </c>
      <c r="H892" s="1" t="s">
        <v>474</v>
      </c>
    </row>
    <row r="893" spans="1:8" ht="16.5">
      <c r="A893" s="1" t="s">
        <v>1332</v>
      </c>
      <c r="B893" s="1" t="s">
        <v>26</v>
      </c>
      <c r="C893" s="1" t="s">
        <v>3034</v>
      </c>
      <c r="D893" s="1" t="s">
        <v>38</v>
      </c>
      <c r="E893" s="12">
        <f>F893</f>
        <v>134202</v>
      </c>
      <c r="F893" s="12">
        <f>Systems!H57</f>
        <v>134202</v>
      </c>
      <c r="G893" s="1" t="s">
        <v>39</v>
      </c>
      <c r="H893" s="1" t="s">
        <v>474</v>
      </c>
    </row>
    <row r="894" spans="1:8" ht="16.5">
      <c r="A894" s="1" t="s">
        <v>1436</v>
      </c>
      <c r="B894" s="1" t="s">
        <v>26</v>
      </c>
      <c r="C894" s="1" t="s">
        <v>3034</v>
      </c>
      <c r="D894" s="1" t="s">
        <v>38</v>
      </c>
      <c r="E894" s="12">
        <f>F894/324</f>
        <v>414.2037037037037</v>
      </c>
      <c r="F894" s="12">
        <f>Systems!H57</f>
        <v>134202</v>
      </c>
      <c r="G894" s="1" t="s">
        <v>39</v>
      </c>
      <c r="H894" s="1" t="s">
        <v>474</v>
      </c>
    </row>
    <row r="895" spans="1:8" ht="16.5">
      <c r="A895" s="1" t="s">
        <v>823</v>
      </c>
      <c r="B895" s="1" t="s">
        <v>26</v>
      </c>
      <c r="C895" s="1" t="s">
        <v>3034</v>
      </c>
      <c r="D895" s="1" t="s">
        <v>38</v>
      </c>
      <c r="E895" s="12">
        <f>F895/12</f>
        <v>11183.5</v>
      </c>
      <c r="F895" s="12">
        <f>Systems!H57</f>
        <v>134202</v>
      </c>
      <c r="G895" s="1" t="s">
        <v>39</v>
      </c>
      <c r="H895" s="1" t="s">
        <v>474</v>
      </c>
    </row>
    <row r="896" spans="1:8" ht="16.5">
      <c r="A896" s="1" t="s">
        <v>823</v>
      </c>
      <c r="B896" s="1" t="s">
        <v>26</v>
      </c>
      <c r="C896" s="1" t="s">
        <v>2936</v>
      </c>
      <c r="D896" s="1" t="s">
        <v>32</v>
      </c>
      <c r="E896" s="12">
        <f>F896</f>
        <v>5.6347273196841116E-2</v>
      </c>
      <c r="F896" s="12">
        <f>Systems!T57</f>
        <v>5.6347273196841116E-2</v>
      </c>
      <c r="G896" s="1" t="s">
        <v>33</v>
      </c>
      <c r="H896" s="1" t="s">
        <v>474</v>
      </c>
    </row>
    <row r="897" spans="1:8" ht="16.5">
      <c r="A897" s="1" t="s">
        <v>1018</v>
      </c>
      <c r="B897" s="1" t="s">
        <v>26</v>
      </c>
      <c r="C897" s="1" t="s">
        <v>2935</v>
      </c>
      <c r="D897" s="1" t="s">
        <v>32</v>
      </c>
      <c r="E897" s="12">
        <f>9*F897/76</f>
        <v>1.6137236842105263E-2</v>
      </c>
      <c r="F897" s="12">
        <f>Systems!P57</f>
        <v>0.13627</v>
      </c>
      <c r="G897" s="1" t="s">
        <v>33</v>
      </c>
      <c r="H897" s="1" t="s">
        <v>474</v>
      </c>
    </row>
    <row r="898" spans="1:8" ht="16.5">
      <c r="A898" s="1" t="s">
        <v>929</v>
      </c>
      <c r="B898" s="1" t="s">
        <v>26</v>
      </c>
      <c r="C898" s="1" t="s">
        <v>2935</v>
      </c>
      <c r="D898" s="1" t="s">
        <v>32</v>
      </c>
      <c r="E898" s="12">
        <f>F898</f>
        <v>0.13627</v>
      </c>
      <c r="F898" s="12">
        <f>Systems!P57</f>
        <v>0.13627</v>
      </c>
      <c r="G898" s="1" t="s">
        <v>33</v>
      </c>
      <c r="H898" s="1" t="s">
        <v>474</v>
      </c>
    </row>
    <row r="899" spans="1:8" ht="16.5">
      <c r="A899" s="1" t="s">
        <v>823</v>
      </c>
      <c r="B899" s="1" t="s">
        <v>26</v>
      </c>
      <c r="C899" s="1" t="s">
        <v>2935</v>
      </c>
      <c r="D899" s="1" t="s">
        <v>32</v>
      </c>
      <c r="E899" s="12">
        <f>4*F899/9</f>
        <v>6.0564444444444449E-2</v>
      </c>
      <c r="F899" s="12">
        <f>Systems!P57</f>
        <v>0.13627</v>
      </c>
      <c r="G899" s="1" t="s">
        <v>33</v>
      </c>
      <c r="H899" s="1" t="s">
        <v>474</v>
      </c>
    </row>
    <row r="900" spans="1:8" ht="16.5">
      <c r="A900" s="18" t="s">
        <v>1269</v>
      </c>
      <c r="B900" s="1" t="s">
        <v>26</v>
      </c>
      <c r="C900" s="1" t="s">
        <v>2935</v>
      </c>
      <c r="D900" s="1" t="s">
        <v>32</v>
      </c>
      <c r="E900" s="12">
        <f>F900/6</f>
        <v>2.2711666666666668E-2</v>
      </c>
      <c r="F900" s="12">
        <f>Systems!P57</f>
        <v>0.13627</v>
      </c>
      <c r="G900" s="1" t="s">
        <v>33</v>
      </c>
      <c r="H900" s="1" t="s">
        <v>474</v>
      </c>
    </row>
    <row r="901" spans="1:8">
      <c r="A901" s="18" t="s">
        <v>822</v>
      </c>
      <c r="B901" s="1" t="s">
        <v>26</v>
      </c>
      <c r="C901" s="1" t="s">
        <v>17</v>
      </c>
      <c r="D901" s="1" t="s">
        <v>20</v>
      </c>
      <c r="E901" s="12">
        <f>F901</f>
        <v>0.46089517464179997</v>
      </c>
      <c r="F901" s="12">
        <f>Systems!L57</f>
        <v>0.46089517464179997</v>
      </c>
      <c r="G901" s="1" t="s">
        <v>23</v>
      </c>
      <c r="H901" s="1" t="s">
        <v>474</v>
      </c>
    </row>
    <row r="902" spans="1:8">
      <c r="A902" s="252"/>
      <c r="B902" s="248"/>
      <c r="C902" s="248"/>
      <c r="D902" s="248"/>
      <c r="E902" s="250"/>
      <c r="F902" s="250"/>
      <c r="G902" s="248"/>
      <c r="H902" s="248"/>
    </row>
    <row r="903" spans="1:8">
      <c r="A903" s="1" t="s">
        <v>200</v>
      </c>
      <c r="B903" s="1" t="s">
        <v>6949</v>
      </c>
      <c r="C903" s="1" t="s">
        <v>3033</v>
      </c>
      <c r="D903" s="1" t="s">
        <v>19</v>
      </c>
      <c r="E903" s="12">
        <f>F903/2</f>
        <v>0.30480000000000002</v>
      </c>
      <c r="F903" s="12">
        <f>Systems!D58</f>
        <v>0.60960000000000003</v>
      </c>
      <c r="G903" s="1" t="s">
        <v>14</v>
      </c>
      <c r="H903" s="1" t="s">
        <v>443</v>
      </c>
    </row>
    <row r="904" spans="1:8">
      <c r="A904" s="1" t="s">
        <v>835</v>
      </c>
      <c r="B904" s="1" t="s">
        <v>26</v>
      </c>
      <c r="C904" s="1" t="s">
        <v>3033</v>
      </c>
      <c r="D904" s="1" t="s">
        <v>19</v>
      </c>
      <c r="E904" s="12">
        <f>F904</f>
        <v>0.60960000000000003</v>
      </c>
      <c r="F904" s="12">
        <f>Systems!D58</f>
        <v>0.60960000000000003</v>
      </c>
      <c r="G904" s="1" t="s">
        <v>14</v>
      </c>
      <c r="H904" s="1" t="s">
        <v>443</v>
      </c>
    </row>
    <row r="905" spans="1:8" ht="16.5">
      <c r="A905" s="1" t="s">
        <v>1542</v>
      </c>
      <c r="B905" s="1" t="s">
        <v>26</v>
      </c>
      <c r="C905" s="1" t="s">
        <v>3034</v>
      </c>
      <c r="D905" s="1" t="s">
        <v>38</v>
      </c>
      <c r="E905" s="12">
        <f>3600*F905</f>
        <v>1337.8037760000002</v>
      </c>
      <c r="F905" s="12">
        <f>POWER(Systems!D58,2)</f>
        <v>0.37161216000000002</v>
      </c>
      <c r="G905" s="1" t="s">
        <v>39</v>
      </c>
      <c r="H905" s="1" t="s">
        <v>443</v>
      </c>
    </row>
    <row r="906" spans="1:8" ht="16.5">
      <c r="A906" s="1" t="s">
        <v>1565</v>
      </c>
      <c r="B906" s="1" t="s">
        <v>26</v>
      </c>
      <c r="C906" s="1" t="s">
        <v>3034</v>
      </c>
      <c r="D906" s="1" t="s">
        <v>38</v>
      </c>
      <c r="E906" s="12">
        <f>3600*F906</f>
        <v>1337.8037760000002</v>
      </c>
      <c r="F906" s="12">
        <f>POWER(Systems!D58,2)</f>
        <v>0.37161216000000002</v>
      </c>
      <c r="G906" s="1" t="s">
        <v>39</v>
      </c>
      <c r="H906" s="1" t="s">
        <v>443</v>
      </c>
    </row>
    <row r="907" spans="1:8" ht="16.5">
      <c r="A907" s="1" t="s">
        <v>836</v>
      </c>
      <c r="B907" s="1" t="s">
        <v>26</v>
      </c>
      <c r="C907" s="1" t="s">
        <v>3034</v>
      </c>
      <c r="D907" s="1" t="s">
        <v>38</v>
      </c>
      <c r="E907" s="12">
        <f>F907</f>
        <v>1337.803776</v>
      </c>
      <c r="F907" s="12">
        <f>Systems!H58</f>
        <v>1337.803776</v>
      </c>
      <c r="G907" s="1" t="s">
        <v>39</v>
      </c>
      <c r="H907" s="1" t="s">
        <v>443</v>
      </c>
    </row>
    <row r="908" spans="1:8" ht="16.5">
      <c r="A908" s="1" t="s">
        <v>4346</v>
      </c>
      <c r="B908" s="1" t="s">
        <v>26</v>
      </c>
      <c r="C908" s="1" t="s">
        <v>2936</v>
      </c>
      <c r="D908" s="1" t="s">
        <v>32</v>
      </c>
      <c r="E908" s="12">
        <f>F908</f>
        <v>0.22653477273600003</v>
      </c>
      <c r="F908" s="12">
        <f>Systems!T58</f>
        <v>0.22653477273600003</v>
      </c>
      <c r="G908" s="1" t="s">
        <v>33</v>
      </c>
      <c r="H908" s="1" t="s">
        <v>443</v>
      </c>
    </row>
    <row r="909" spans="1:8" ht="16.5">
      <c r="A909" s="1" t="s">
        <v>1362</v>
      </c>
      <c r="B909" s="1" t="s">
        <v>26</v>
      </c>
      <c r="C909" s="1" t="s">
        <v>2935</v>
      </c>
      <c r="D909" s="1" t="s">
        <v>32</v>
      </c>
      <c r="E909" s="12">
        <f>3.7*F909</f>
        <v>4.7306350000000004E-3</v>
      </c>
      <c r="F909" s="12">
        <f>Systems!P58</f>
        <v>1.27855E-3</v>
      </c>
      <c r="G909" s="1" t="s">
        <v>33</v>
      </c>
      <c r="H909" s="1" t="s">
        <v>443</v>
      </c>
    </row>
    <row r="910" spans="1:8" ht="16.5">
      <c r="A910" s="1" t="s">
        <v>1686</v>
      </c>
      <c r="B910" s="1" t="s">
        <v>26</v>
      </c>
      <c r="C910" s="1" t="s">
        <v>2935</v>
      </c>
      <c r="D910" s="1" t="s">
        <v>32</v>
      </c>
      <c r="E910" s="12">
        <f>128*F910</f>
        <v>0.16365440000000001</v>
      </c>
      <c r="F910" s="12">
        <f>Systems!P58</f>
        <v>1.27855E-3</v>
      </c>
      <c r="G910" s="1" t="s">
        <v>33</v>
      </c>
      <c r="H910" s="1" t="s">
        <v>443</v>
      </c>
    </row>
    <row r="911" spans="1:8" ht="16.5">
      <c r="A911" s="1" t="s">
        <v>1813</v>
      </c>
      <c r="B911" s="1" t="s">
        <v>26</v>
      </c>
      <c r="C911" s="1" t="s">
        <v>2935</v>
      </c>
      <c r="D911" s="1" t="s">
        <v>32</v>
      </c>
      <c r="E911" s="12">
        <f>4*F911</f>
        <v>5.1142000000000002E-3</v>
      </c>
      <c r="F911" s="12">
        <f>Systems!P58</f>
        <v>1.27855E-3</v>
      </c>
      <c r="G911" s="1" t="s">
        <v>33</v>
      </c>
      <c r="H911" s="1" t="s">
        <v>443</v>
      </c>
    </row>
    <row r="912" spans="1:8" ht="16.5">
      <c r="A912" s="1" t="s">
        <v>1842</v>
      </c>
      <c r="B912" s="1" t="s">
        <v>26</v>
      </c>
      <c r="C912" s="1" t="s">
        <v>2935</v>
      </c>
      <c r="D912" s="1" t="s">
        <v>32</v>
      </c>
      <c r="E912" s="12">
        <f>28*F912</f>
        <v>3.5799400000000002E-2</v>
      </c>
      <c r="F912" s="12">
        <f>Systems!P58</f>
        <v>1.27855E-3</v>
      </c>
      <c r="G912" s="1" t="s">
        <v>33</v>
      </c>
      <c r="H912" s="1" t="s">
        <v>443</v>
      </c>
    </row>
    <row r="913" spans="1:8" ht="16.5">
      <c r="A913" s="1" t="s">
        <v>1882</v>
      </c>
      <c r="B913" s="1" t="s">
        <v>26</v>
      </c>
      <c r="C913" s="1" t="s">
        <v>2935</v>
      </c>
      <c r="D913" s="1" t="s">
        <v>32</v>
      </c>
      <c r="E913" s="12">
        <f>8*F913</f>
        <v>1.02284E-2</v>
      </c>
      <c r="F913" s="12">
        <f>Systems!P58</f>
        <v>1.27855E-3</v>
      </c>
      <c r="G913" s="1" t="s">
        <v>33</v>
      </c>
      <c r="H913" s="1" t="s">
        <v>443</v>
      </c>
    </row>
    <row r="914" spans="1:8" ht="16.5">
      <c r="A914" s="1" t="s">
        <v>2040</v>
      </c>
      <c r="B914" s="1" t="s">
        <v>26</v>
      </c>
      <c r="C914" s="1" t="s">
        <v>2935</v>
      </c>
      <c r="D914" s="1" t="s">
        <v>32</v>
      </c>
      <c r="E914" s="12">
        <f>56*F914</f>
        <v>7.1598800000000004E-2</v>
      </c>
      <c r="F914" s="12">
        <f>Systems!P58</f>
        <v>1.27855E-3</v>
      </c>
      <c r="G914" s="1" t="s">
        <v>33</v>
      </c>
      <c r="H914" s="1" t="s">
        <v>443</v>
      </c>
    </row>
    <row r="915" spans="1:8" ht="16.5">
      <c r="A915" s="1" t="s">
        <v>837</v>
      </c>
      <c r="B915" s="8" t="s">
        <v>26</v>
      </c>
      <c r="C915" s="1" t="s">
        <v>2935</v>
      </c>
      <c r="D915" s="1" t="s">
        <v>32</v>
      </c>
      <c r="E915" s="12">
        <f>F915</f>
        <v>1.27855E-3</v>
      </c>
      <c r="F915" s="12">
        <f>Systems!P58</f>
        <v>1.27855E-3</v>
      </c>
      <c r="G915" s="1" t="s">
        <v>33</v>
      </c>
      <c r="H915" s="1" t="s">
        <v>443</v>
      </c>
    </row>
    <row r="916" spans="1:8">
      <c r="A916" s="1" t="s">
        <v>1183</v>
      </c>
      <c r="B916" s="1" t="s">
        <v>26</v>
      </c>
      <c r="C916" s="1" t="s">
        <v>17</v>
      </c>
      <c r="D916" s="1" t="s">
        <v>20</v>
      </c>
      <c r="E916" s="12">
        <f>180*11*F916/25</f>
        <v>100.5886439712</v>
      </c>
      <c r="F916" s="12">
        <f>Systems!L58</f>
        <v>1.2700586359999999</v>
      </c>
      <c r="G916" s="1" t="s">
        <v>23</v>
      </c>
      <c r="H916" s="1" t="s">
        <v>443</v>
      </c>
    </row>
    <row r="917" spans="1:8">
      <c r="A917" s="1" t="s">
        <v>1550</v>
      </c>
      <c r="B917" s="1" t="s">
        <v>26</v>
      </c>
      <c r="C917" s="1" t="s">
        <v>17</v>
      </c>
      <c r="D917" s="1" t="s">
        <v>20</v>
      </c>
      <c r="E917" s="12">
        <f>F917/400</f>
        <v>3.1751465899999996E-3</v>
      </c>
      <c r="F917" s="12">
        <f>Systems!L58</f>
        <v>1.2700586359999999</v>
      </c>
      <c r="G917" s="1" t="s">
        <v>23</v>
      </c>
      <c r="H917" s="1" t="s">
        <v>443</v>
      </c>
    </row>
    <row r="918" spans="1:8">
      <c r="A918" s="1" t="s">
        <v>1805</v>
      </c>
      <c r="B918" s="1" t="s">
        <v>26</v>
      </c>
      <c r="C918" s="1" t="s">
        <v>17</v>
      </c>
      <c r="D918" s="1" t="s">
        <v>20</v>
      </c>
      <c r="E918" s="12">
        <f>44*F918</f>
        <v>55.882579983999996</v>
      </c>
      <c r="F918" s="12">
        <f>Systems!L58</f>
        <v>1.2700586359999999</v>
      </c>
      <c r="G918" s="1" t="s">
        <v>23</v>
      </c>
      <c r="H918" s="1" t="s">
        <v>443</v>
      </c>
    </row>
    <row r="919" spans="1:8">
      <c r="A919" s="1" t="s">
        <v>2105</v>
      </c>
      <c r="B919" s="1" t="s">
        <v>26</v>
      </c>
      <c r="C919" s="1" t="s">
        <v>17</v>
      </c>
      <c r="D919" s="1" t="s">
        <v>20</v>
      </c>
      <c r="E919" s="12">
        <f>5*F919</f>
        <v>6.3502931799999995</v>
      </c>
      <c r="F919" s="12">
        <f>Systems!L58</f>
        <v>1.2700586359999999</v>
      </c>
      <c r="G919" s="1" t="s">
        <v>23</v>
      </c>
      <c r="H919" s="1" t="s">
        <v>443</v>
      </c>
    </row>
    <row r="920" spans="1:8">
      <c r="A920" s="1" t="s">
        <v>837</v>
      </c>
      <c r="B920" s="8" t="s">
        <v>26</v>
      </c>
      <c r="C920" s="1" t="s">
        <v>17</v>
      </c>
      <c r="D920" s="1" t="s">
        <v>20</v>
      </c>
      <c r="E920" s="12">
        <f>F920</f>
        <v>1.2700586359999999</v>
      </c>
      <c r="F920" s="12">
        <f>Systems!L58</f>
        <v>1.2700586359999999</v>
      </c>
      <c r="G920" s="1" t="s">
        <v>23</v>
      </c>
      <c r="H920" s="1" t="s">
        <v>443</v>
      </c>
    </row>
    <row r="921" spans="1:8">
      <c r="A921" s="1" t="s">
        <v>828</v>
      </c>
      <c r="B921" s="1" t="s">
        <v>26</v>
      </c>
      <c r="C921" s="1" t="s">
        <v>17</v>
      </c>
      <c r="D921" s="1" t="s">
        <v>20</v>
      </c>
      <c r="E921" s="12">
        <f>11*F921/25</f>
        <v>0.55882579983999991</v>
      </c>
      <c r="F921" s="12">
        <f>Systems!L58</f>
        <v>1.2700586359999999</v>
      </c>
      <c r="G921" s="1" t="s">
        <v>23</v>
      </c>
      <c r="H921" s="1" t="s">
        <v>443</v>
      </c>
    </row>
    <row r="922" spans="1:8">
      <c r="A922" s="1" t="s">
        <v>2580</v>
      </c>
      <c r="B922" s="1" t="s">
        <v>26</v>
      </c>
      <c r="C922" s="1" t="s">
        <v>17</v>
      </c>
      <c r="D922" s="1" t="s">
        <v>20</v>
      </c>
      <c r="E922" s="12">
        <f>5*F922</f>
        <v>6.3502931799999995</v>
      </c>
      <c r="F922" s="12">
        <f>Systems!L58</f>
        <v>1.2700586359999999</v>
      </c>
      <c r="G922" s="1" t="s">
        <v>23</v>
      </c>
      <c r="H922" s="1" t="s">
        <v>443</v>
      </c>
    </row>
    <row r="923" spans="1:8">
      <c r="A923" s="1" t="s">
        <v>2677</v>
      </c>
      <c r="B923" s="1" t="s">
        <v>26</v>
      </c>
      <c r="C923" s="1" t="s">
        <v>17</v>
      </c>
      <c r="D923" s="1" t="s">
        <v>20</v>
      </c>
      <c r="E923" s="12">
        <f>800*F923</f>
        <v>1016.0469088</v>
      </c>
      <c r="F923" s="12">
        <f>Systems!L58</f>
        <v>1.2700586359999999</v>
      </c>
      <c r="G923" s="1" t="s">
        <v>23</v>
      </c>
      <c r="H923" s="1" t="s">
        <v>443</v>
      </c>
    </row>
    <row r="924" spans="1:8">
      <c r="A924" s="1" t="s">
        <v>2746</v>
      </c>
      <c r="B924" s="1" t="s">
        <v>26</v>
      </c>
      <c r="C924" s="1" t="s">
        <v>17</v>
      </c>
      <c r="D924" s="1" t="s">
        <v>20</v>
      </c>
      <c r="E924" s="12">
        <f>F924</f>
        <v>1.2700586359999999</v>
      </c>
      <c r="F924" s="12">
        <f>Systems!L58</f>
        <v>1.2700586359999999</v>
      </c>
      <c r="G924" s="1" t="s">
        <v>23</v>
      </c>
      <c r="H924" s="1" t="s">
        <v>443</v>
      </c>
    </row>
    <row r="925" spans="1:8">
      <c r="A925" s="248"/>
      <c r="B925" s="248"/>
      <c r="C925" s="248"/>
      <c r="D925" s="248"/>
      <c r="E925" s="250"/>
      <c r="F925" s="250"/>
      <c r="G925" s="248"/>
      <c r="H925" s="248"/>
    </row>
    <row r="926" spans="1:8">
      <c r="A926" s="1" t="s">
        <v>4515</v>
      </c>
      <c r="B926" s="1" t="s">
        <v>26</v>
      </c>
      <c r="C926" s="1" t="s">
        <v>3033</v>
      </c>
      <c r="D926" s="1" t="s">
        <v>19</v>
      </c>
      <c r="E926" s="12">
        <f>129*F926/20</f>
        <v>1.9091999999999998</v>
      </c>
      <c r="F926" s="12">
        <f>Systems!D59</f>
        <v>0.29599999999999999</v>
      </c>
      <c r="G926" s="1" t="s">
        <v>14</v>
      </c>
      <c r="H926" s="1" t="s">
        <v>544</v>
      </c>
    </row>
    <row r="927" spans="1:8">
      <c r="A927" s="1" t="s">
        <v>4516</v>
      </c>
      <c r="B927" s="1" t="s">
        <v>26</v>
      </c>
      <c r="C927" s="1" t="s">
        <v>3033</v>
      </c>
      <c r="D927" s="1" t="s">
        <v>19</v>
      </c>
      <c r="E927" s="12">
        <f>129*F927/20</f>
        <v>1.8317999999999999</v>
      </c>
      <c r="F927" s="12">
        <f>Systems!D61</f>
        <v>0.28399999999999997</v>
      </c>
      <c r="G927" s="1" t="s">
        <v>14</v>
      </c>
      <c r="H927" s="1" t="s">
        <v>544</v>
      </c>
    </row>
    <row r="928" spans="1:8">
      <c r="A928" s="1" t="s">
        <v>4517</v>
      </c>
      <c r="B928" s="1" t="s">
        <v>26</v>
      </c>
      <c r="C928" s="1" t="s">
        <v>3033</v>
      </c>
      <c r="D928" s="1" t="s">
        <v>19</v>
      </c>
      <c r="E928" s="12">
        <f>129*F928/20</f>
        <v>1.912425</v>
      </c>
      <c r="F928" s="12">
        <f>Systems!D60</f>
        <v>0.29649999999999999</v>
      </c>
      <c r="G928" s="1" t="s">
        <v>14</v>
      </c>
      <c r="H928" s="1" t="s">
        <v>544</v>
      </c>
    </row>
    <row r="929" spans="1:8">
      <c r="A929" s="1" t="s">
        <v>4518</v>
      </c>
      <c r="B929" s="1" t="s">
        <v>26</v>
      </c>
      <c r="C929" s="1" t="s">
        <v>3033</v>
      </c>
      <c r="D929" s="1" t="s">
        <v>19</v>
      </c>
      <c r="E929" s="12">
        <f>129*F929/20</f>
        <v>1.8672749999999998</v>
      </c>
      <c r="F929" s="12">
        <f>Systems!D62</f>
        <v>0.28949999999999998</v>
      </c>
      <c r="G929" s="1" t="s">
        <v>14</v>
      </c>
      <c r="H929" s="1" t="s">
        <v>544</v>
      </c>
    </row>
    <row r="930" spans="1:8">
      <c r="A930" s="1" t="s">
        <v>1947</v>
      </c>
      <c r="B930" s="1" t="s">
        <v>26</v>
      </c>
      <c r="C930" s="1" t="s">
        <v>3033</v>
      </c>
      <c r="D930" s="1" t="s">
        <v>19</v>
      </c>
      <c r="E930" s="12">
        <f>42*F930</f>
        <v>12.801600000000001</v>
      </c>
      <c r="F930" s="12">
        <f>Systems!D6</f>
        <v>0.30480000000000002</v>
      </c>
      <c r="G930" s="1" t="s">
        <v>14</v>
      </c>
      <c r="H930" s="1" t="s">
        <v>544</v>
      </c>
    </row>
    <row r="931" spans="1:8">
      <c r="A931" s="1" t="s">
        <v>4519</v>
      </c>
      <c r="B931" s="1" t="s">
        <v>26</v>
      </c>
      <c r="C931" s="1" t="s">
        <v>3033</v>
      </c>
      <c r="D931" s="1" t="s">
        <v>19</v>
      </c>
      <c r="E931" s="12">
        <f>2*F931</f>
        <v>0.59199999999999997</v>
      </c>
      <c r="F931" s="12">
        <f>Systems!D59</f>
        <v>0.29599999999999999</v>
      </c>
      <c r="G931" s="1" t="s">
        <v>14</v>
      </c>
      <c r="H931" s="1" t="s">
        <v>544</v>
      </c>
    </row>
    <row r="932" spans="1:8">
      <c r="A932" s="1" t="s">
        <v>4520</v>
      </c>
      <c r="B932" s="1" t="s">
        <v>26</v>
      </c>
      <c r="C932" s="1" t="s">
        <v>3033</v>
      </c>
      <c r="D932" s="1" t="s">
        <v>19</v>
      </c>
      <c r="E932" s="12">
        <f>2*F932</f>
        <v>0.56799999999999995</v>
      </c>
      <c r="F932" s="12">
        <f>Systems!D61</f>
        <v>0.28399999999999997</v>
      </c>
      <c r="G932" s="1" t="s">
        <v>14</v>
      </c>
      <c r="H932" s="1" t="s">
        <v>544</v>
      </c>
    </row>
    <row r="933" spans="1:8">
      <c r="A933" s="1" t="s">
        <v>4521</v>
      </c>
      <c r="B933" s="1" t="s">
        <v>26</v>
      </c>
      <c r="C933" s="1" t="s">
        <v>3033</v>
      </c>
      <c r="D933" s="1" t="s">
        <v>19</v>
      </c>
      <c r="E933" s="12">
        <f>2*F933</f>
        <v>0.59299999999999997</v>
      </c>
      <c r="F933" s="12">
        <f>Systems!D60</f>
        <v>0.29649999999999999</v>
      </c>
      <c r="G933" s="1" t="s">
        <v>14</v>
      </c>
      <c r="H933" s="1" t="s">
        <v>544</v>
      </c>
    </row>
    <row r="934" spans="1:8">
      <c r="A934" s="1" t="s">
        <v>4522</v>
      </c>
      <c r="B934" s="1" t="s">
        <v>26</v>
      </c>
      <c r="C934" s="1" t="s">
        <v>3033</v>
      </c>
      <c r="D934" s="1" t="s">
        <v>19</v>
      </c>
      <c r="E934" s="12">
        <f>2*F934</f>
        <v>0.57899999999999996</v>
      </c>
      <c r="F934" s="12">
        <f>Systems!D62</f>
        <v>0.28949999999999998</v>
      </c>
      <c r="G934" s="1" t="s">
        <v>14</v>
      </c>
      <c r="H934" s="1" t="s">
        <v>544</v>
      </c>
    </row>
    <row r="935" spans="1:8">
      <c r="A935" s="1" t="s">
        <v>4523</v>
      </c>
      <c r="B935" s="1" t="s">
        <v>26</v>
      </c>
      <c r="C935" s="1" t="s">
        <v>3033</v>
      </c>
      <c r="D935" s="1" t="s">
        <v>19</v>
      </c>
      <c r="E935" s="12">
        <f>23607*F935</f>
        <v>6987.6719999999996</v>
      </c>
      <c r="F935" s="12">
        <f>Systems!D59</f>
        <v>0.29599999999999999</v>
      </c>
      <c r="G935" s="1" t="s">
        <v>14</v>
      </c>
      <c r="H935" s="1" t="s">
        <v>544</v>
      </c>
    </row>
    <row r="936" spans="1:8">
      <c r="A936" s="1" t="s">
        <v>4524</v>
      </c>
      <c r="B936" s="1" t="s">
        <v>26</v>
      </c>
      <c r="C936" s="1" t="s">
        <v>3033</v>
      </c>
      <c r="D936" s="1" t="s">
        <v>19</v>
      </c>
      <c r="E936" s="12">
        <f>23607*F936</f>
        <v>6704.387999999999</v>
      </c>
      <c r="F936" s="12">
        <f>Systems!D61</f>
        <v>0.28399999999999997</v>
      </c>
      <c r="G936" s="1" t="s">
        <v>14</v>
      </c>
      <c r="H936" s="1" t="s">
        <v>544</v>
      </c>
    </row>
    <row r="937" spans="1:8">
      <c r="A937" s="1" t="s">
        <v>4525</v>
      </c>
      <c r="C937" s="1" t="s">
        <v>3033</v>
      </c>
      <c r="D937" s="1" t="s">
        <v>19</v>
      </c>
      <c r="E937" s="12">
        <f>23607*F937</f>
        <v>6999.4754999999996</v>
      </c>
      <c r="F937" s="12">
        <f>Systems!D60</f>
        <v>0.29649999999999999</v>
      </c>
      <c r="G937" s="1" t="s">
        <v>14</v>
      </c>
      <c r="H937" s="1" t="s">
        <v>544</v>
      </c>
    </row>
    <row r="938" spans="1:8">
      <c r="A938" s="1" t="s">
        <v>4526</v>
      </c>
      <c r="B938" s="1" t="s">
        <v>26</v>
      </c>
      <c r="C938" s="1" t="s">
        <v>3033</v>
      </c>
      <c r="D938" s="1" t="s">
        <v>19</v>
      </c>
      <c r="E938" s="12">
        <f>23607*F938</f>
        <v>6834.2264999999998</v>
      </c>
      <c r="F938" s="12">
        <f>Systems!D62</f>
        <v>0.28949999999999998</v>
      </c>
      <c r="G938" s="1" t="s">
        <v>14</v>
      </c>
      <c r="H938" s="1" t="s">
        <v>544</v>
      </c>
    </row>
    <row r="939" spans="1:8">
      <c r="A939" s="1" t="s">
        <v>4527</v>
      </c>
      <c r="B939" s="1" t="s">
        <v>26</v>
      </c>
      <c r="C939" s="1" t="s">
        <v>3033</v>
      </c>
      <c r="D939" s="1" t="s">
        <v>19</v>
      </c>
      <c r="E939" s="12">
        <f>6*F939</f>
        <v>1.7759999999999998</v>
      </c>
      <c r="F939" s="12">
        <f>Systems!D59</f>
        <v>0.29599999999999999</v>
      </c>
      <c r="G939" s="1" t="s">
        <v>14</v>
      </c>
      <c r="H939" s="1" t="s">
        <v>544</v>
      </c>
    </row>
    <row r="940" spans="1:8">
      <c r="A940" s="1" t="s">
        <v>4528</v>
      </c>
      <c r="B940" s="1" t="s">
        <v>26</v>
      </c>
      <c r="C940" s="1" t="s">
        <v>3033</v>
      </c>
      <c r="D940" s="1" t="s">
        <v>19</v>
      </c>
      <c r="E940" s="12">
        <f>6*F940</f>
        <v>1.7039999999999997</v>
      </c>
      <c r="F940" s="12">
        <f>Systems!D61</f>
        <v>0.28399999999999997</v>
      </c>
      <c r="G940" s="1" t="s">
        <v>14</v>
      </c>
      <c r="H940" s="1" t="s">
        <v>544</v>
      </c>
    </row>
    <row r="941" spans="1:8">
      <c r="A941" s="1" t="s">
        <v>4529</v>
      </c>
      <c r="B941" s="1" t="s">
        <v>26</v>
      </c>
      <c r="C941" s="1" t="s">
        <v>3033</v>
      </c>
      <c r="D941" s="1" t="s">
        <v>19</v>
      </c>
      <c r="E941" s="12">
        <f>6*F941</f>
        <v>1.7789999999999999</v>
      </c>
      <c r="F941" s="12">
        <f>Systems!D60</f>
        <v>0.29649999999999999</v>
      </c>
      <c r="G941" s="1" t="s">
        <v>14</v>
      </c>
      <c r="H941" s="1" t="s">
        <v>544</v>
      </c>
    </row>
    <row r="942" spans="1:8">
      <c r="A942" s="1" t="s">
        <v>4530</v>
      </c>
      <c r="B942" s="1" t="s">
        <v>26</v>
      </c>
      <c r="C942" s="1" t="s">
        <v>3033</v>
      </c>
      <c r="D942" s="1" t="s">
        <v>19</v>
      </c>
      <c r="E942" s="12">
        <f>6*F942</f>
        <v>1.7369999999999999</v>
      </c>
      <c r="F942" s="12">
        <f>Systems!D62</f>
        <v>0.28949999999999998</v>
      </c>
      <c r="G942" s="1" t="s">
        <v>14</v>
      </c>
      <c r="H942" s="1" t="s">
        <v>544</v>
      </c>
    </row>
    <row r="943" spans="1:8">
      <c r="A943" s="1" t="s">
        <v>4531</v>
      </c>
      <c r="B943" s="1" t="s">
        <v>26</v>
      </c>
      <c r="C943" s="1" t="s">
        <v>3033</v>
      </c>
      <c r="D943" s="1" t="s">
        <v>19</v>
      </c>
      <c r="E943" s="12">
        <f>F943</f>
        <v>0.29599999999999999</v>
      </c>
      <c r="F943" s="12">
        <f>Systems!D59</f>
        <v>0.29599999999999999</v>
      </c>
      <c r="G943" s="1" t="s">
        <v>14</v>
      </c>
      <c r="H943" s="1" t="s">
        <v>544</v>
      </c>
    </row>
    <row r="944" spans="1:8">
      <c r="A944" s="1" t="s">
        <v>4532</v>
      </c>
      <c r="B944" s="1" t="s">
        <v>26</v>
      </c>
      <c r="C944" s="1" t="s">
        <v>3033</v>
      </c>
      <c r="D944" s="1" t="s">
        <v>19</v>
      </c>
      <c r="E944" s="12">
        <v>0.28399999999999997</v>
      </c>
      <c r="F944" s="12">
        <f>Systems!D61</f>
        <v>0.28399999999999997</v>
      </c>
      <c r="G944" s="1" t="s">
        <v>14</v>
      </c>
      <c r="H944" s="1" t="s">
        <v>544</v>
      </c>
    </row>
    <row r="945" spans="1:8">
      <c r="A945" s="1" t="s">
        <v>4533</v>
      </c>
      <c r="B945" s="1" t="s">
        <v>26</v>
      </c>
      <c r="C945" s="1" t="s">
        <v>3033</v>
      </c>
      <c r="D945" s="1" t="s">
        <v>19</v>
      </c>
      <c r="E945" s="12">
        <f>F945</f>
        <v>0.29649999999999999</v>
      </c>
      <c r="F945" s="12">
        <f>Systems!D60</f>
        <v>0.29649999999999999</v>
      </c>
      <c r="G945" s="1" t="s">
        <v>14</v>
      </c>
      <c r="H945" s="1" t="s">
        <v>544</v>
      </c>
    </row>
    <row r="946" spans="1:8">
      <c r="A946" s="1" t="s">
        <v>4534</v>
      </c>
      <c r="B946" s="1" t="s">
        <v>26</v>
      </c>
      <c r="C946" s="1" t="s">
        <v>3033</v>
      </c>
      <c r="D946" s="1" t="s">
        <v>19</v>
      </c>
      <c r="E946" s="12">
        <f>F946</f>
        <v>0.28949999999999998</v>
      </c>
      <c r="F946" s="12">
        <f>Systems!D62</f>
        <v>0.28949999999999998</v>
      </c>
      <c r="G946" s="1" t="s">
        <v>14</v>
      </c>
      <c r="H946" s="1" t="s">
        <v>544</v>
      </c>
    </row>
    <row r="947" spans="1:8" ht="16.5">
      <c r="A947" s="1" t="s">
        <v>1775</v>
      </c>
      <c r="B947" s="1" t="s">
        <v>26</v>
      </c>
      <c r="C947" s="1" t="s">
        <v>3034</v>
      </c>
      <c r="D947" s="1" t="s">
        <v>38</v>
      </c>
      <c r="E947" s="12">
        <f>1439*F947/500</f>
        <v>5756</v>
      </c>
      <c r="F947" s="12">
        <f>Systems!H59</f>
        <v>2000</v>
      </c>
      <c r="G947" s="1" t="s">
        <v>39</v>
      </c>
      <c r="H947" s="1" t="s">
        <v>544</v>
      </c>
    </row>
    <row r="948" spans="1:8" ht="16.5">
      <c r="A948" s="1" t="s">
        <v>1874</v>
      </c>
      <c r="B948" s="1" t="s">
        <v>26</v>
      </c>
      <c r="C948" s="1" t="s">
        <v>3034</v>
      </c>
      <c r="D948" s="1" t="s">
        <v>38</v>
      </c>
      <c r="E948" s="12">
        <f>1439*F948/1000</f>
        <v>2878</v>
      </c>
      <c r="F948" s="12">
        <f>Systems!H59</f>
        <v>2000</v>
      </c>
      <c r="G948" s="1" t="s">
        <v>39</v>
      </c>
      <c r="H948" s="1" t="s">
        <v>544</v>
      </c>
    </row>
    <row r="949" spans="1:8" ht="16.5">
      <c r="A949" s="1" t="s">
        <v>1926</v>
      </c>
      <c r="B949" s="1" t="s">
        <v>26</v>
      </c>
      <c r="C949" s="1" t="s">
        <v>3034</v>
      </c>
      <c r="D949" s="1" t="s">
        <v>38</v>
      </c>
      <c r="E949" s="12">
        <f>4317*F949/50</f>
        <v>172680</v>
      </c>
      <c r="F949" s="12">
        <f>Systems!H59</f>
        <v>2000</v>
      </c>
      <c r="G949" s="1" t="s">
        <v>39</v>
      </c>
      <c r="H949" s="1" t="s">
        <v>544</v>
      </c>
    </row>
    <row r="950" spans="1:8" ht="16.5">
      <c r="A950" s="1" t="s">
        <v>845</v>
      </c>
      <c r="B950" s="1" t="s">
        <v>26</v>
      </c>
      <c r="C950" s="1" t="s">
        <v>3034</v>
      </c>
      <c r="D950" s="1" t="s">
        <v>38</v>
      </c>
      <c r="E950" s="12">
        <f>F950</f>
        <v>2000</v>
      </c>
      <c r="F950" s="12">
        <f>Systems!H59</f>
        <v>2000</v>
      </c>
      <c r="G950" s="1" t="s">
        <v>39</v>
      </c>
      <c r="H950" s="1" t="s">
        <v>544</v>
      </c>
    </row>
    <row r="951" spans="1:8" ht="16.5">
      <c r="A951" s="1" t="s">
        <v>2085</v>
      </c>
      <c r="B951" s="1" t="s">
        <v>26</v>
      </c>
      <c r="C951" s="1" t="s">
        <v>3034</v>
      </c>
      <c r="D951" s="1" t="s">
        <v>38</v>
      </c>
      <c r="E951" s="12">
        <f>1439*F951/1000</f>
        <v>2878</v>
      </c>
      <c r="F951" s="12">
        <f>Systems!H59</f>
        <v>2000</v>
      </c>
      <c r="G951" s="1" t="s">
        <v>39</v>
      </c>
      <c r="H951" s="1" t="s">
        <v>544</v>
      </c>
    </row>
    <row r="952" spans="1:8" ht="16.5">
      <c r="A952" s="1" t="s">
        <v>2585</v>
      </c>
      <c r="B952" s="1" t="s">
        <v>26</v>
      </c>
      <c r="C952" s="1" t="s">
        <v>3034</v>
      </c>
      <c r="D952" s="1" t="s">
        <v>38</v>
      </c>
      <c r="E952" s="12">
        <f>1439*F952/1000</f>
        <v>2878</v>
      </c>
      <c r="F952" s="12">
        <f>Systems!H59</f>
        <v>2000</v>
      </c>
      <c r="G952" s="1" t="s">
        <v>39</v>
      </c>
      <c r="H952" s="1" t="s">
        <v>544</v>
      </c>
    </row>
    <row r="953" spans="1:8" ht="16.5">
      <c r="A953" s="1" t="s">
        <v>4535</v>
      </c>
      <c r="B953" s="1" t="s">
        <v>26</v>
      </c>
      <c r="C953" s="1" t="s">
        <v>2936</v>
      </c>
      <c r="D953" s="1" t="s">
        <v>32</v>
      </c>
      <c r="E953" s="12">
        <f>F953</f>
        <v>2.5934335999999995E-2</v>
      </c>
      <c r="F953" s="12">
        <f>Systems!T59</f>
        <v>2.5934335999999995E-2</v>
      </c>
      <c r="G953" s="1" t="s">
        <v>33</v>
      </c>
      <c r="H953" s="1" t="s">
        <v>544</v>
      </c>
    </row>
    <row r="954" spans="1:8" ht="16.5">
      <c r="A954" s="1" t="s">
        <v>4536</v>
      </c>
      <c r="B954" s="1" t="s">
        <v>26</v>
      </c>
      <c r="C954" s="1" t="s">
        <v>2936</v>
      </c>
      <c r="D954" s="1" t="s">
        <v>32</v>
      </c>
      <c r="E954" s="12">
        <f>F954</f>
        <v>2.6065982124999998E-2</v>
      </c>
      <c r="F954" s="12">
        <f>Systems!T60</f>
        <v>2.6065982124999998E-2</v>
      </c>
      <c r="G954" s="1" t="s">
        <v>33</v>
      </c>
      <c r="H954" s="1" t="s">
        <v>544</v>
      </c>
    </row>
    <row r="955" spans="1:8" ht="16.5">
      <c r="A955" s="1" t="s">
        <v>6878</v>
      </c>
      <c r="B955" s="1" t="s">
        <v>26</v>
      </c>
      <c r="C955" s="1" t="s">
        <v>2936</v>
      </c>
      <c r="D955" s="1" t="s">
        <v>32</v>
      </c>
      <c r="E955" s="12">
        <f>F955</f>
        <v>2.2906303999999995E-2</v>
      </c>
      <c r="F955" s="12">
        <f>Systems!T61</f>
        <v>2.2906303999999995E-2</v>
      </c>
      <c r="G955" s="1" t="s">
        <v>33</v>
      </c>
      <c r="H955" s="1" t="s">
        <v>544</v>
      </c>
    </row>
    <row r="956" spans="1:8" ht="16.5">
      <c r="A956" s="1" t="s">
        <v>4537</v>
      </c>
      <c r="B956" s="1" t="s">
        <v>26</v>
      </c>
      <c r="C956" s="1" t="s">
        <v>2936</v>
      </c>
      <c r="D956" s="1" t="s">
        <v>32</v>
      </c>
      <c r="E956" s="12">
        <f>F956</f>
        <v>2.4263067374999996E-2</v>
      </c>
      <c r="F956" s="12">
        <f>Systems!T62</f>
        <v>2.4263067374999996E-2</v>
      </c>
      <c r="G956" s="1" t="s">
        <v>33</v>
      </c>
      <c r="H956" s="1" t="s">
        <v>544</v>
      </c>
    </row>
    <row r="957" spans="1:8" ht="16.5">
      <c r="A957" s="1" t="s">
        <v>1874</v>
      </c>
      <c r="B957" s="1" t="s">
        <v>26</v>
      </c>
      <c r="C957" s="1" t="s">
        <v>2935</v>
      </c>
      <c r="D957" s="1" t="s">
        <v>32</v>
      </c>
      <c r="E957" s="12">
        <f>53*F957/40</f>
        <v>9.3544999999999989E-2</v>
      </c>
      <c r="F957" s="12">
        <f>Systems!P59</f>
        <v>7.0599999999999996E-2</v>
      </c>
      <c r="G957" s="1" t="s">
        <v>33</v>
      </c>
      <c r="H957" s="1" t="s">
        <v>544</v>
      </c>
    </row>
    <row r="958" spans="1:8" ht="16.5">
      <c r="A958" s="1" t="s">
        <v>845</v>
      </c>
      <c r="B958" s="1" t="s">
        <v>26</v>
      </c>
      <c r="C958" s="1" t="s">
        <v>2935</v>
      </c>
      <c r="D958" s="1" t="s">
        <v>32</v>
      </c>
      <c r="E958" s="12">
        <f>F958</f>
        <v>7.0599999999999996E-2</v>
      </c>
      <c r="F958" s="12">
        <f>Systems!P59</f>
        <v>7.0599999999999996E-2</v>
      </c>
      <c r="G958" s="1" t="s">
        <v>33</v>
      </c>
      <c r="H958" s="1" t="s">
        <v>544</v>
      </c>
    </row>
    <row r="959" spans="1:8" ht="16.5">
      <c r="A959" s="1" t="s">
        <v>2585</v>
      </c>
      <c r="B959" s="1" t="s">
        <v>26</v>
      </c>
      <c r="C959" s="1" t="s">
        <v>2935</v>
      </c>
      <c r="D959" s="1" t="s">
        <v>32</v>
      </c>
      <c r="E959" s="12">
        <f>53*F959/40</f>
        <v>9.3544999999999989E-2</v>
      </c>
      <c r="F959" s="12">
        <f>Systems!P59</f>
        <v>7.0599999999999996E-2</v>
      </c>
      <c r="G959" s="1" t="s">
        <v>33</v>
      </c>
      <c r="H959" s="1" t="s">
        <v>544</v>
      </c>
    </row>
    <row r="960" spans="1:8">
      <c r="A960" s="1" t="s">
        <v>2357</v>
      </c>
      <c r="B960" s="1" t="s">
        <v>26</v>
      </c>
      <c r="C960" s="1" t="s">
        <v>17</v>
      </c>
      <c r="D960" s="1" t="s">
        <v>20</v>
      </c>
      <c r="E960" s="12">
        <f>F960</f>
        <v>50</v>
      </c>
      <c r="F960" s="12">
        <f>Systems!L59</f>
        <v>50</v>
      </c>
      <c r="G960" s="1" t="s">
        <v>23</v>
      </c>
      <c r="H960" s="1" t="s">
        <v>544</v>
      </c>
    </row>
    <row r="961" spans="1:8">
      <c r="A961" s="248"/>
      <c r="B961" s="248"/>
      <c r="C961" s="248"/>
      <c r="D961" s="248"/>
      <c r="E961" s="250"/>
      <c r="F961" s="250"/>
      <c r="G961" s="248"/>
      <c r="H961" s="248"/>
    </row>
    <row r="962" spans="1:8">
      <c r="A962" s="1" t="s">
        <v>1182</v>
      </c>
      <c r="B962" s="1" t="s">
        <v>26</v>
      </c>
      <c r="C962" s="1" t="s">
        <v>3033</v>
      </c>
      <c r="D962" s="1" t="s">
        <v>19</v>
      </c>
      <c r="E962" s="12">
        <f>2*F962</f>
        <v>0.62771399999999999</v>
      </c>
      <c r="F962" s="12">
        <f>Systems!D63</f>
        <v>0.313857</v>
      </c>
      <c r="G962" s="1" t="s">
        <v>14</v>
      </c>
      <c r="H962" s="1" t="s">
        <v>435</v>
      </c>
    </row>
    <row r="963" spans="1:8">
      <c r="A963" s="1" t="s">
        <v>1186</v>
      </c>
      <c r="B963" s="1" t="s">
        <v>26</v>
      </c>
      <c r="C963" s="1" t="s">
        <v>3033</v>
      </c>
      <c r="D963" s="1" t="s">
        <v>19</v>
      </c>
      <c r="E963" s="12">
        <f>2*F963</f>
        <v>0.62771399999999999</v>
      </c>
      <c r="F963" s="12">
        <f>Systems!D63</f>
        <v>0.313857</v>
      </c>
      <c r="G963" s="1" t="s">
        <v>14</v>
      </c>
      <c r="H963" s="1" t="s">
        <v>435</v>
      </c>
    </row>
    <row r="964" spans="1:8">
      <c r="A964" s="1" t="s">
        <v>956</v>
      </c>
      <c r="B964" s="1" t="s">
        <v>26</v>
      </c>
      <c r="C964" s="1" t="s">
        <v>3033</v>
      </c>
      <c r="D964" s="1" t="s">
        <v>19</v>
      </c>
      <c r="E964" s="12">
        <f>F964</f>
        <v>7532.5</v>
      </c>
      <c r="F964" s="12">
        <f>Systems!D64</f>
        <v>7532.5</v>
      </c>
      <c r="G964" s="1" t="s">
        <v>14</v>
      </c>
      <c r="H964" s="1" t="s">
        <v>435</v>
      </c>
    </row>
    <row r="965" spans="1:8">
      <c r="A965" s="1" t="s">
        <v>1602</v>
      </c>
      <c r="B965" s="1" t="s">
        <v>26</v>
      </c>
      <c r="C965" s="1" t="s">
        <v>3033</v>
      </c>
      <c r="D965" s="1" t="s">
        <v>19</v>
      </c>
      <c r="E965" s="12">
        <f>6*F965</f>
        <v>1.8831419999999999</v>
      </c>
      <c r="F965" s="12">
        <f>Systems!D63</f>
        <v>0.313857</v>
      </c>
      <c r="G965" s="1" t="s">
        <v>14</v>
      </c>
      <c r="H965" s="1" t="s">
        <v>435</v>
      </c>
    </row>
    <row r="966" spans="1:8">
      <c r="A966" s="1" t="s">
        <v>855</v>
      </c>
      <c r="B966" s="1" t="s">
        <v>26</v>
      </c>
      <c r="C966" s="1" t="s">
        <v>3033</v>
      </c>
      <c r="D966" s="1" t="s">
        <v>19</v>
      </c>
      <c r="E966" s="12">
        <f>F966</f>
        <v>0.313857</v>
      </c>
      <c r="F966" s="12">
        <f>Systems!D63</f>
        <v>0.313857</v>
      </c>
      <c r="G966" s="1" t="s">
        <v>14</v>
      </c>
      <c r="H966" s="1" t="s">
        <v>435</v>
      </c>
    </row>
    <row r="967" spans="1:8">
      <c r="A967" s="1" t="s">
        <v>1900</v>
      </c>
      <c r="B967" s="1" t="s">
        <v>26</v>
      </c>
      <c r="C967" s="1" t="s">
        <v>3033</v>
      </c>
      <c r="D967" s="1" t="s">
        <v>19</v>
      </c>
      <c r="E967" s="12">
        <f>F967/2</f>
        <v>0.1569285</v>
      </c>
      <c r="F967" s="12">
        <f>Systems!D63</f>
        <v>0.313857</v>
      </c>
      <c r="G967" s="1" t="s">
        <v>14</v>
      </c>
      <c r="H967" s="1" t="s">
        <v>435</v>
      </c>
    </row>
    <row r="968" spans="1:8">
      <c r="A968" s="1" t="s">
        <v>1968</v>
      </c>
      <c r="B968" s="1" t="s">
        <v>26</v>
      </c>
      <c r="C968" s="1" t="s">
        <v>3033</v>
      </c>
      <c r="D968" s="1" t="s">
        <v>19</v>
      </c>
      <c r="E968" s="12">
        <f>F968/144</f>
        <v>2.1795625000000001E-3</v>
      </c>
      <c r="F968" s="12">
        <f>Systems!D63</f>
        <v>0.313857</v>
      </c>
      <c r="G968" s="1" t="s">
        <v>14</v>
      </c>
      <c r="H968" s="1" t="s">
        <v>435</v>
      </c>
    </row>
    <row r="969" spans="1:8">
      <c r="A969" s="1" t="s">
        <v>2065</v>
      </c>
      <c r="B969" s="1" t="s">
        <v>26</v>
      </c>
      <c r="C969" s="1" t="s">
        <v>3033</v>
      </c>
      <c r="D969" s="1" t="s">
        <v>19</v>
      </c>
      <c r="E969" s="12">
        <f>24000*F969</f>
        <v>7532.5680000000002</v>
      </c>
      <c r="F969" s="12">
        <f>Systems!D63</f>
        <v>0.313857</v>
      </c>
      <c r="G969" s="1" t="s">
        <v>14</v>
      </c>
      <c r="H969" s="1" t="s">
        <v>435</v>
      </c>
    </row>
    <row r="970" spans="1:8">
      <c r="A970" s="1" t="s">
        <v>1484</v>
      </c>
      <c r="B970" s="1" t="s">
        <v>26</v>
      </c>
      <c r="C970" s="1" t="s">
        <v>3033</v>
      </c>
      <c r="D970" s="1" t="s">
        <v>19</v>
      </c>
      <c r="E970" s="12">
        <f>24000*F970</f>
        <v>7532.5680000000002</v>
      </c>
      <c r="F970" s="12">
        <f>Systems!D63</f>
        <v>0.313857</v>
      </c>
      <c r="G970" s="1" t="s">
        <v>14</v>
      </c>
      <c r="H970" s="1" t="s">
        <v>435</v>
      </c>
    </row>
    <row r="971" spans="1:8">
      <c r="A971" s="1" t="s">
        <v>2213</v>
      </c>
      <c r="B971" s="1" t="s">
        <v>26</v>
      </c>
      <c r="C971" s="1" t="s">
        <v>3033</v>
      </c>
      <c r="D971" s="1" t="s">
        <v>19</v>
      </c>
      <c r="E971" s="12">
        <f>625*F971/2214</f>
        <v>8.8600101626016267E-2</v>
      </c>
      <c r="F971" s="12">
        <f>Systems!D63</f>
        <v>0.313857</v>
      </c>
      <c r="G971" s="1" t="s">
        <v>14</v>
      </c>
      <c r="H971" s="1" t="s">
        <v>435</v>
      </c>
    </row>
    <row r="972" spans="1:8">
      <c r="A972" s="1" t="s">
        <v>2404</v>
      </c>
      <c r="B972" s="1" t="s">
        <v>26</v>
      </c>
      <c r="C972" s="1" t="s">
        <v>3033</v>
      </c>
      <c r="D972" s="1" t="s">
        <v>19</v>
      </c>
      <c r="E972" s="12">
        <f>16*F972</f>
        <v>5.021712</v>
      </c>
      <c r="F972" s="12">
        <f>Systems!D63</f>
        <v>0.313857</v>
      </c>
      <c r="G972" s="1" t="s">
        <v>14</v>
      </c>
      <c r="H972" s="1" t="s">
        <v>435</v>
      </c>
    </row>
    <row r="973" spans="1:8">
      <c r="A973" s="1" t="s">
        <v>2405</v>
      </c>
      <c r="B973" s="1" t="s">
        <v>26</v>
      </c>
      <c r="C973" s="1" t="s">
        <v>3033</v>
      </c>
      <c r="D973" s="1" t="s">
        <v>19</v>
      </c>
      <c r="E973" s="12">
        <f>12*F973</f>
        <v>3.7662839999999997</v>
      </c>
      <c r="F973" s="12">
        <f>Systems!D63</f>
        <v>0.313857</v>
      </c>
      <c r="G973" s="1" t="s">
        <v>14</v>
      </c>
      <c r="H973" s="1" t="s">
        <v>435</v>
      </c>
    </row>
    <row r="974" spans="1:8">
      <c r="A974" s="1" t="s">
        <v>2406</v>
      </c>
      <c r="B974" s="1" t="s">
        <v>26</v>
      </c>
      <c r="C974" s="1" t="s">
        <v>3033</v>
      </c>
      <c r="D974" s="1" t="s">
        <v>19</v>
      </c>
      <c r="E974" s="12">
        <f>12*F974</f>
        <v>3.7662839999999997</v>
      </c>
      <c r="F974" s="12">
        <f>Systems!D63</f>
        <v>0.313857</v>
      </c>
      <c r="G974" s="1" t="s">
        <v>14</v>
      </c>
      <c r="H974" s="1" t="s">
        <v>435</v>
      </c>
    </row>
    <row r="975" spans="1:8">
      <c r="A975" s="1" t="s">
        <v>2530</v>
      </c>
      <c r="B975" s="1" t="s">
        <v>26</v>
      </c>
      <c r="C975" s="1" t="s">
        <v>3033</v>
      </c>
      <c r="D975" s="1" t="s">
        <v>19</v>
      </c>
      <c r="E975" s="12">
        <f>F975/1728</f>
        <v>1.8163020833333334E-4</v>
      </c>
      <c r="F975" s="12">
        <f>Systems!D63</f>
        <v>0.313857</v>
      </c>
      <c r="G975" s="1" t="s">
        <v>14</v>
      </c>
      <c r="H975" s="1" t="s">
        <v>435</v>
      </c>
    </row>
    <row r="976" spans="1:8">
      <c r="A976" s="1" t="s">
        <v>2675</v>
      </c>
      <c r="B976" s="1" t="s">
        <v>26</v>
      </c>
      <c r="C976" s="1" t="s">
        <v>3033</v>
      </c>
      <c r="D976" s="1" t="s">
        <v>19</v>
      </c>
      <c r="E976" s="12">
        <f>F976/12</f>
        <v>2.6154750000000001E-2</v>
      </c>
      <c r="F976" s="12">
        <f>Systems!D63</f>
        <v>0.313857</v>
      </c>
      <c r="G976" s="1" t="s">
        <v>14</v>
      </c>
      <c r="H976" s="1" t="s">
        <v>435</v>
      </c>
    </row>
    <row r="977" spans="1:8" ht="16.5">
      <c r="A977" s="1" t="s">
        <v>1181</v>
      </c>
      <c r="B977" s="1" t="s">
        <v>26</v>
      </c>
      <c r="C977" s="1" t="s">
        <v>3034</v>
      </c>
      <c r="D977" s="1" t="s">
        <v>38</v>
      </c>
      <c r="E977" s="12">
        <f>144*F977*125/6</f>
        <v>295.51864934700001</v>
      </c>
      <c r="F977" s="12">
        <f>POWER(Systems!D63,2)</f>
        <v>9.8506216448999998E-2</v>
      </c>
      <c r="G977" s="1" t="s">
        <v>39</v>
      </c>
      <c r="H977" s="1" t="s">
        <v>435</v>
      </c>
    </row>
    <row r="978" spans="1:8" ht="16.5">
      <c r="A978" s="1" t="s">
        <v>1623</v>
      </c>
      <c r="B978" s="1" t="s">
        <v>26</v>
      </c>
      <c r="C978" s="1" t="s">
        <v>3034</v>
      </c>
      <c r="D978" s="1" t="s">
        <v>38</v>
      </c>
      <c r="E978" s="12">
        <f>125*F978/2</f>
        <v>886.55594804099997</v>
      </c>
      <c r="F978" s="12">
        <f>Systems!H63</f>
        <v>14.184895168655999</v>
      </c>
      <c r="G978" s="1" t="s">
        <v>39</v>
      </c>
      <c r="H978" s="1" t="s">
        <v>435</v>
      </c>
    </row>
    <row r="979" spans="1:8" ht="16.5">
      <c r="A979" s="1" t="s">
        <v>2245</v>
      </c>
      <c r="B979" s="1" t="s">
        <v>26</v>
      </c>
      <c r="C979" s="1" t="s">
        <v>3034</v>
      </c>
      <c r="D979" s="1" t="s">
        <v>38</v>
      </c>
      <c r="E979" s="12">
        <f>500*F979/87</f>
        <v>81.52238602675861</v>
      </c>
      <c r="F979" s="12">
        <f>Systems!H63</f>
        <v>14.184895168655999</v>
      </c>
      <c r="G979" s="1" t="s">
        <v>39</v>
      </c>
      <c r="H979" s="1" t="s">
        <v>435</v>
      </c>
    </row>
    <row r="980" spans="1:8" ht="16.5">
      <c r="A980" s="1" t="s">
        <v>2257</v>
      </c>
      <c r="B980" s="1" t="s">
        <v>26</v>
      </c>
      <c r="C980" s="1" t="s">
        <v>3034</v>
      </c>
      <c r="D980" s="1" t="s">
        <v>38</v>
      </c>
      <c r="E980" s="12">
        <f>64000*F980</f>
        <v>907833.29079398396</v>
      </c>
      <c r="F980" s="12">
        <f>Systems!H63</f>
        <v>14.184895168655999</v>
      </c>
      <c r="G980" s="1" t="s">
        <v>39</v>
      </c>
      <c r="H980" s="1" t="s">
        <v>435</v>
      </c>
    </row>
    <row r="981" spans="1:8" ht="16.5">
      <c r="A981" s="1" t="s">
        <v>2526</v>
      </c>
      <c r="B981" s="1" t="s">
        <v>26</v>
      </c>
      <c r="C981" s="1" t="s">
        <v>3034</v>
      </c>
      <c r="D981" s="1" t="s">
        <v>38</v>
      </c>
      <c r="E981" s="12">
        <f>250*F981</f>
        <v>3546.2237921639999</v>
      </c>
      <c r="F981" s="12">
        <f>Systems!H63</f>
        <v>14.184895168655999</v>
      </c>
      <c r="G981" s="1" t="s">
        <v>39</v>
      </c>
      <c r="H981" s="1" t="s">
        <v>435</v>
      </c>
    </row>
    <row r="982" spans="1:8" ht="16.5">
      <c r="A982" s="1" t="s">
        <v>4538</v>
      </c>
      <c r="B982" s="1" t="s">
        <v>26</v>
      </c>
      <c r="C982" s="1" t="s">
        <v>3034</v>
      </c>
      <c r="D982" s="1" t="s">
        <v>38</v>
      </c>
      <c r="E982" s="12">
        <f>F982</f>
        <v>14.184895168655999</v>
      </c>
      <c r="F982" s="12">
        <f>Systems!H63</f>
        <v>14.184895168655999</v>
      </c>
      <c r="G982" s="1" t="s">
        <v>39</v>
      </c>
      <c r="H982" s="1" t="s">
        <v>435</v>
      </c>
    </row>
    <row r="983" spans="1:8" ht="16.5">
      <c r="A983" s="1" t="s">
        <v>2680</v>
      </c>
      <c r="B983" s="1" t="s">
        <v>26</v>
      </c>
      <c r="C983" s="1" t="s">
        <v>3034</v>
      </c>
      <c r="D983" s="1" t="s">
        <v>38</v>
      </c>
      <c r="E983" s="12">
        <f>2000*F983</f>
        <v>28369.790337311999</v>
      </c>
      <c r="F983" s="12">
        <f>Systems!H63</f>
        <v>14.184895168655999</v>
      </c>
      <c r="G983" s="1" t="s">
        <v>39</v>
      </c>
      <c r="H983" s="1" t="s">
        <v>435</v>
      </c>
    </row>
    <row r="984" spans="1:8" ht="16.5">
      <c r="A984" s="1" t="s">
        <v>857</v>
      </c>
      <c r="B984" s="1" t="s">
        <v>26</v>
      </c>
      <c r="C984" s="1" t="s">
        <v>3034</v>
      </c>
      <c r="D984" s="1" t="s">
        <v>38</v>
      </c>
      <c r="E984" s="12">
        <f>F984</f>
        <v>5516.23</v>
      </c>
      <c r="F984" s="12">
        <f>Systems!H64</f>
        <v>5516.23</v>
      </c>
      <c r="G984" s="1" t="s">
        <v>39</v>
      </c>
      <c r="H984" s="1" t="s">
        <v>435</v>
      </c>
    </row>
    <row r="985" spans="1:8" ht="16.5">
      <c r="A985" s="1" t="s">
        <v>1160</v>
      </c>
      <c r="B985" s="1" t="s">
        <v>26</v>
      </c>
      <c r="C985" s="1" t="s">
        <v>2936</v>
      </c>
      <c r="D985" s="1" t="s">
        <v>32</v>
      </c>
      <c r="E985" s="12">
        <f>4.5*F985/64</f>
        <v>2.173842110814876E-3</v>
      </c>
      <c r="F985" s="12">
        <f>POWER(Systems!D63,3)</f>
        <v>3.0916865576033792E-2</v>
      </c>
      <c r="G985" s="1" t="s">
        <v>33</v>
      </c>
      <c r="H985" s="1" t="s">
        <v>435</v>
      </c>
    </row>
    <row r="986" spans="1:8" ht="16.5">
      <c r="A986" s="1" t="s">
        <v>4539</v>
      </c>
      <c r="B986" s="1" t="s">
        <v>26</v>
      </c>
      <c r="C986" s="1" t="s">
        <v>2936</v>
      </c>
      <c r="D986" s="1" t="s">
        <v>32</v>
      </c>
      <c r="E986" s="12">
        <f>F986</f>
        <v>3.0916865576033792E-2</v>
      </c>
      <c r="F986" s="12">
        <f>POWER(Systems!D63,3)</f>
        <v>3.0916865576033792E-2</v>
      </c>
      <c r="G986" s="1" t="s">
        <v>33</v>
      </c>
      <c r="H986" s="1" t="s">
        <v>435</v>
      </c>
    </row>
    <row r="987" spans="1:8" ht="16.5">
      <c r="A987" s="1" t="s">
        <v>1623</v>
      </c>
      <c r="B987" s="1" t="s">
        <v>26</v>
      </c>
      <c r="C987" s="1" t="s">
        <v>2936</v>
      </c>
      <c r="D987" s="1" t="s">
        <v>32</v>
      </c>
      <c r="E987" s="12">
        <f>F987/4</f>
        <v>3.4781473773038016E-2</v>
      </c>
      <c r="F987" s="12">
        <f>Systems!T63</f>
        <v>0.13912589509215206</v>
      </c>
      <c r="G987" s="1" t="s">
        <v>33</v>
      </c>
      <c r="H987" s="1" t="s">
        <v>435</v>
      </c>
    </row>
    <row r="988" spans="1:8" ht="16.5">
      <c r="A988" s="1" t="s">
        <v>856</v>
      </c>
      <c r="B988" s="1" t="s">
        <v>26</v>
      </c>
      <c r="C988" s="1" t="s">
        <v>2936</v>
      </c>
      <c r="D988" s="1" t="s">
        <v>32</v>
      </c>
      <c r="E988" s="12">
        <f>F988</f>
        <v>0.13912589509215206</v>
      </c>
      <c r="F988" s="12">
        <f>Systems!T63</f>
        <v>0.13912589509215206</v>
      </c>
      <c r="G988" s="1" t="s">
        <v>33</v>
      </c>
      <c r="H988" s="1" t="s">
        <v>435</v>
      </c>
    </row>
    <row r="989" spans="1:8" ht="16.5">
      <c r="A989" s="1" t="s">
        <v>1932</v>
      </c>
      <c r="B989" s="1" t="s">
        <v>26</v>
      </c>
      <c r="C989" s="1" t="s">
        <v>2936</v>
      </c>
      <c r="D989" s="1" t="s">
        <v>32</v>
      </c>
      <c r="E989" s="12">
        <f>22*F989</f>
        <v>3.0607696920273453</v>
      </c>
      <c r="F989" s="12">
        <f>Systems!T63</f>
        <v>0.13912589509215206</v>
      </c>
      <c r="G989" s="1" t="s">
        <v>33</v>
      </c>
      <c r="H989" s="1" t="s">
        <v>435</v>
      </c>
    </row>
    <row r="990" spans="1:8" ht="16.5">
      <c r="A990" s="1" t="s">
        <v>2187</v>
      </c>
      <c r="B990" s="1" t="s">
        <v>26</v>
      </c>
      <c r="C990" s="1" t="s">
        <v>2936</v>
      </c>
      <c r="D990" s="1" t="s">
        <v>32</v>
      </c>
      <c r="E990" s="12">
        <f>F990/8</f>
        <v>1.7390736886519008E-2</v>
      </c>
      <c r="F990" s="12">
        <f>Systems!T63</f>
        <v>0.13912589509215206</v>
      </c>
      <c r="G990" s="1" t="s">
        <v>33</v>
      </c>
      <c r="H990" s="1" t="s">
        <v>435</v>
      </c>
    </row>
    <row r="991" spans="1:8" ht="16.5">
      <c r="A991" s="1" t="s">
        <v>976</v>
      </c>
      <c r="B991" s="1" t="s">
        <v>26</v>
      </c>
      <c r="C991" s="1" t="s">
        <v>2936</v>
      </c>
      <c r="D991" s="1" t="s">
        <v>32</v>
      </c>
      <c r="E991" s="12">
        <f>F991/32</f>
        <v>9.6615204925105599E-4</v>
      </c>
      <c r="F991" s="12">
        <f>POWER(Systems!D63,3)</f>
        <v>3.0916865576033792E-2</v>
      </c>
      <c r="G991" s="1" t="s">
        <v>33</v>
      </c>
      <c r="H991" s="1" t="s">
        <v>435</v>
      </c>
    </row>
    <row r="992" spans="1:8" ht="16.5">
      <c r="A992" s="1" t="s">
        <v>2524</v>
      </c>
      <c r="B992" s="1" t="s">
        <v>26</v>
      </c>
      <c r="C992" s="1" t="s">
        <v>2936</v>
      </c>
      <c r="D992" s="1" t="s">
        <v>32</v>
      </c>
      <c r="E992" s="12">
        <f>F992/8</f>
        <v>1.7390736886519008E-2</v>
      </c>
      <c r="F992" s="12">
        <f>Systems!T63</f>
        <v>0.13912589509215206</v>
      </c>
      <c r="G992" s="1" t="s">
        <v>33</v>
      </c>
      <c r="H992" s="1" t="s">
        <v>435</v>
      </c>
    </row>
    <row r="993" spans="1:8" ht="16.5">
      <c r="A993" s="1" t="s">
        <v>2525</v>
      </c>
      <c r="B993" s="1" t="s">
        <v>26</v>
      </c>
      <c r="C993" s="1" t="s">
        <v>2936</v>
      </c>
      <c r="D993" s="1" t="s">
        <v>32</v>
      </c>
      <c r="E993" s="12">
        <f>F993/8</f>
        <v>1.7390736886519008E-2</v>
      </c>
      <c r="F993" s="12">
        <f>Systems!T63</f>
        <v>0.13912589509215206</v>
      </c>
      <c r="G993" s="1" t="s">
        <v>33</v>
      </c>
      <c r="H993" s="1" t="s">
        <v>435</v>
      </c>
    </row>
    <row r="994" spans="1:8" ht="16.5">
      <c r="A994" s="1" t="s">
        <v>2557</v>
      </c>
      <c r="B994" s="1" t="s">
        <v>603</v>
      </c>
      <c r="C994" s="1" t="s">
        <v>2936</v>
      </c>
      <c r="D994" s="1" t="s">
        <v>32</v>
      </c>
      <c r="E994" s="12">
        <f>165*F994</f>
        <v>4.6722796876800006</v>
      </c>
      <c r="F994" s="12">
        <f>POWER(Systems!D6,3)</f>
        <v>2.8316846592000004E-2</v>
      </c>
      <c r="G994" s="1" t="s">
        <v>33</v>
      </c>
      <c r="H994" s="1" t="s">
        <v>435</v>
      </c>
    </row>
    <row r="995" spans="1:8" ht="16.5">
      <c r="A995" s="1" t="s">
        <v>2774</v>
      </c>
      <c r="B995" s="1" t="s">
        <v>26</v>
      </c>
      <c r="C995" s="1" t="s">
        <v>2936</v>
      </c>
      <c r="D995" s="1" t="s">
        <v>32</v>
      </c>
      <c r="E995" s="12">
        <f>F995/32</f>
        <v>4.347684221629752E-3</v>
      </c>
      <c r="F995" s="12">
        <f>Systems!T63</f>
        <v>0.13912589509215206</v>
      </c>
      <c r="G995" s="1" t="s">
        <v>33</v>
      </c>
      <c r="H995" s="1" t="s">
        <v>435</v>
      </c>
    </row>
    <row r="996" spans="1:8" ht="16.5">
      <c r="A996" s="1" t="s">
        <v>1215</v>
      </c>
      <c r="B996" s="1" t="s">
        <v>26</v>
      </c>
      <c r="C996" s="1" t="s">
        <v>2935</v>
      </c>
      <c r="D996" s="1" t="s">
        <v>32</v>
      </c>
      <c r="E996" s="12">
        <f>5*F996/4</f>
        <v>3.864608197004224E-2</v>
      </c>
      <c r="F996" s="12">
        <f>POWER(Systems!D63,3)</f>
        <v>3.0916865576033792E-2</v>
      </c>
      <c r="G996" s="1" t="s">
        <v>33</v>
      </c>
      <c r="H996" s="1" t="s">
        <v>435</v>
      </c>
    </row>
    <row r="997" spans="1:8" ht="16.5">
      <c r="A997" s="1" t="s">
        <v>4539</v>
      </c>
      <c r="B997" s="1" t="s">
        <v>26</v>
      </c>
      <c r="C997" s="1" t="s">
        <v>2935</v>
      </c>
      <c r="D997" s="1" t="s">
        <v>32</v>
      </c>
      <c r="E997" s="12">
        <f>F997</f>
        <v>3.0916865576033792E-2</v>
      </c>
      <c r="F997" s="12">
        <f>POWER(Systems!D63,3)</f>
        <v>3.0916865576033792E-2</v>
      </c>
      <c r="G997" s="1" t="s">
        <v>33</v>
      </c>
      <c r="H997" s="1" t="s">
        <v>435</v>
      </c>
    </row>
    <row r="998" spans="1:8" ht="16.5">
      <c r="A998" s="1" t="s">
        <v>1637</v>
      </c>
      <c r="B998" s="1" t="s">
        <v>26</v>
      </c>
      <c r="C998" s="1" t="s">
        <v>2935</v>
      </c>
      <c r="D998" s="1" t="s">
        <v>32</v>
      </c>
      <c r="E998" s="12">
        <f>30*F998</f>
        <v>0.92750596728101375</v>
      </c>
      <c r="F998" s="12">
        <f>POWER(Systems!D63,3)</f>
        <v>3.0916865576033792E-2</v>
      </c>
      <c r="G998" s="1" t="s">
        <v>33</v>
      </c>
      <c r="H998" s="1" t="s">
        <v>435</v>
      </c>
    </row>
    <row r="999" spans="1:8" ht="16.5">
      <c r="A999" s="1" t="s">
        <v>1798</v>
      </c>
      <c r="B999" s="1" t="s">
        <v>26</v>
      </c>
      <c r="C999" s="1" t="s">
        <v>2935</v>
      </c>
      <c r="D999" s="1" t="s">
        <v>32</v>
      </c>
      <c r="E999" s="12">
        <f>F999/16</f>
        <v>1.932304098502112E-3</v>
      </c>
      <c r="F999" s="12">
        <f>POWER(Systems!D63,3)</f>
        <v>3.0916865576033792E-2</v>
      </c>
      <c r="G999" s="1" t="s">
        <v>33</v>
      </c>
      <c r="H999" s="1" t="s">
        <v>435</v>
      </c>
    </row>
    <row r="1000" spans="1:8" ht="16.5">
      <c r="A1000" s="1" t="s">
        <v>314</v>
      </c>
      <c r="B1000" s="1" t="s">
        <v>26</v>
      </c>
      <c r="C1000" s="1" t="s">
        <v>2935</v>
      </c>
      <c r="D1000" s="1" t="s">
        <v>32</v>
      </c>
      <c r="E1000" s="12">
        <f>5*F1000</f>
        <v>0.15458432788016896</v>
      </c>
      <c r="F1000" s="12">
        <f>POWER(Systems!D63,3)</f>
        <v>3.0916865576033792E-2</v>
      </c>
      <c r="G1000" s="1" t="s">
        <v>33</v>
      </c>
      <c r="H1000" s="1" t="s">
        <v>435</v>
      </c>
    </row>
    <row r="1001" spans="1:8" ht="16.5">
      <c r="A1001" s="1" t="s">
        <v>2196</v>
      </c>
      <c r="B1001" s="1" t="s">
        <v>26</v>
      </c>
      <c r="C1001" s="1" t="s">
        <v>2935</v>
      </c>
      <c r="D1001" s="1" t="s">
        <v>32</v>
      </c>
      <c r="E1001" s="12">
        <f>15*F1001/2</f>
        <v>0.23187649182025344</v>
      </c>
      <c r="F1001" s="12">
        <f>POWER(Systems!D63,3)</f>
        <v>3.0916865576033792E-2</v>
      </c>
      <c r="G1001" s="1" t="s">
        <v>33</v>
      </c>
      <c r="H1001" s="1" t="s">
        <v>435</v>
      </c>
    </row>
    <row r="1002" spans="1:8" ht="16.5">
      <c r="A1002" s="1" t="s">
        <v>2202</v>
      </c>
      <c r="B1002" s="1" t="s">
        <v>26</v>
      </c>
      <c r="C1002" s="1" t="s">
        <v>2935</v>
      </c>
      <c r="D1002" s="1" t="s">
        <v>32</v>
      </c>
      <c r="E1002" s="12">
        <f>F1002/128</f>
        <v>2.41538012312764E-4</v>
      </c>
      <c r="F1002" s="12">
        <f>POWER(Systems!D63,3)</f>
        <v>3.0916865576033792E-2</v>
      </c>
      <c r="G1002" s="1" t="s">
        <v>33</v>
      </c>
      <c r="H1002" s="1" t="s">
        <v>435</v>
      </c>
    </row>
    <row r="1003" spans="1:8" ht="16.5">
      <c r="A1003" s="1" t="s">
        <v>2255</v>
      </c>
      <c r="B1003" s="1" t="s">
        <v>26</v>
      </c>
      <c r="C1003" s="1" t="s">
        <v>2935</v>
      </c>
      <c r="D1003" s="1" t="s">
        <v>32</v>
      </c>
      <c r="E1003" s="12">
        <f>15*F1003</f>
        <v>0.46375298364050688</v>
      </c>
      <c r="F1003" s="12">
        <f>POWER(Systems!D63,3)</f>
        <v>3.0916865576033792E-2</v>
      </c>
      <c r="G1003" s="1" t="s">
        <v>33</v>
      </c>
      <c r="H1003" s="1" t="s">
        <v>435</v>
      </c>
    </row>
    <row r="1004" spans="1:8" ht="16.5">
      <c r="A1004" s="1" t="s">
        <v>579</v>
      </c>
      <c r="B1004" s="1" t="s">
        <v>26</v>
      </c>
      <c r="C1004" s="1" t="s">
        <v>2935</v>
      </c>
      <c r="D1004" s="1" t="s">
        <v>32</v>
      </c>
      <c r="E1004" s="12">
        <f>0.967*F1004</f>
        <v>9.6700000000000019E-4</v>
      </c>
      <c r="F1004" s="12">
        <f>POWER('Physical Definitions'!E25,3)</f>
        <v>1.0000000000000002E-3</v>
      </c>
      <c r="G1004" s="1" t="s">
        <v>33</v>
      </c>
      <c r="H1004" s="1" t="s">
        <v>435</v>
      </c>
    </row>
    <row r="1005" spans="1:8" ht="16.5">
      <c r="A1005" s="1" t="s">
        <v>976</v>
      </c>
      <c r="B1005" s="1" t="s">
        <v>26</v>
      </c>
      <c r="C1005" s="1" t="s">
        <v>2935</v>
      </c>
      <c r="D1005" s="1" t="s">
        <v>32</v>
      </c>
      <c r="E1005" s="12">
        <f>F1005/32</f>
        <v>9.6615204925105599E-4</v>
      </c>
      <c r="F1005" s="12">
        <f>POWER(Systems!D63,3)</f>
        <v>3.0916865576033792E-2</v>
      </c>
      <c r="G1005" s="1" t="s">
        <v>33</v>
      </c>
      <c r="H1005" s="1" t="s">
        <v>435</v>
      </c>
    </row>
    <row r="1006" spans="1:8" ht="16.5">
      <c r="A1006" s="1" t="s">
        <v>2295</v>
      </c>
      <c r="B1006" s="1" t="s">
        <v>26</v>
      </c>
      <c r="C1006" s="1" t="s">
        <v>2935</v>
      </c>
      <c r="D1006" s="1" t="s">
        <v>32</v>
      </c>
      <c r="E1006" s="12">
        <f>F1006/32</f>
        <v>9.6615204925105599E-4</v>
      </c>
      <c r="F1006" s="12">
        <f>POWER(Systems!D63,3)</f>
        <v>3.0916865576033792E-2</v>
      </c>
      <c r="G1006" s="1" t="s">
        <v>33</v>
      </c>
      <c r="H1006" s="1" t="s">
        <v>435</v>
      </c>
    </row>
    <row r="1007" spans="1:8" ht="16.5">
      <c r="A1007" s="1" t="s">
        <v>2534</v>
      </c>
      <c r="B1007" s="1" t="s">
        <v>26</v>
      </c>
      <c r="C1007" s="1" t="s">
        <v>2935</v>
      </c>
      <c r="D1007" s="1" t="s">
        <v>32</v>
      </c>
      <c r="E1007" s="12">
        <f>136*F1007</f>
        <v>0.13139667869814362</v>
      </c>
      <c r="F1007" s="12">
        <f>Systems!P63</f>
        <v>9.6615204925105599E-4</v>
      </c>
      <c r="G1007" s="1" t="s">
        <v>33</v>
      </c>
      <c r="H1007" s="1" t="s">
        <v>435</v>
      </c>
    </row>
    <row r="1008" spans="1:8" ht="16.5">
      <c r="A1008" s="1" t="s">
        <v>2586</v>
      </c>
      <c r="B1008" s="1" t="s">
        <v>26</v>
      </c>
      <c r="C1008" s="1" t="s">
        <v>2935</v>
      </c>
      <c r="D1008" s="1" t="s">
        <v>32</v>
      </c>
      <c r="E1008" s="12">
        <f>F1008/8</f>
        <v>3.864608197004224E-3</v>
      </c>
      <c r="F1008" s="12">
        <f>POWER(Systems!D63,3)</f>
        <v>3.0916865576033792E-2</v>
      </c>
      <c r="G1008" s="1" t="s">
        <v>33</v>
      </c>
      <c r="H1008" s="1" t="s">
        <v>435</v>
      </c>
    </row>
    <row r="1009" spans="1:8" ht="16.5">
      <c r="A1009" s="1" t="s">
        <v>2680</v>
      </c>
      <c r="B1009" s="1" t="s">
        <v>26</v>
      </c>
      <c r="C1009" s="1" t="s">
        <v>2935</v>
      </c>
      <c r="D1009" s="1" t="s">
        <v>32</v>
      </c>
      <c r="E1009" s="12">
        <f>144*F1009</f>
        <v>0.13912589509215206</v>
      </c>
      <c r="F1009" s="12">
        <f>Systems!P63</f>
        <v>9.6615204925105599E-4</v>
      </c>
      <c r="G1009" s="1" t="s">
        <v>33</v>
      </c>
      <c r="H1009" s="1" t="s">
        <v>435</v>
      </c>
    </row>
    <row r="1010" spans="1:8" ht="16.5">
      <c r="A1010" s="1" t="s">
        <v>2774</v>
      </c>
      <c r="B1010" s="1" t="s">
        <v>26</v>
      </c>
      <c r="C1010" s="1" t="s">
        <v>2935</v>
      </c>
      <c r="D1010" s="1" t="s">
        <v>32</v>
      </c>
      <c r="E1010" s="12">
        <f>8*F1010</f>
        <v>7.729216394008448E-3</v>
      </c>
      <c r="F1010" s="12">
        <f>Systems!P63</f>
        <v>9.6615204925105599E-4</v>
      </c>
      <c r="G1010" s="1" t="s">
        <v>33</v>
      </c>
      <c r="H1010" s="1" t="s">
        <v>435</v>
      </c>
    </row>
    <row r="1011" spans="1:8">
      <c r="A1011" s="1" t="s">
        <v>1297</v>
      </c>
      <c r="B1011" s="1" t="s">
        <v>26</v>
      </c>
      <c r="C1011" s="1" t="s">
        <v>17</v>
      </c>
      <c r="D1011" s="1" t="s">
        <v>20</v>
      </c>
      <c r="E1011" s="12">
        <f>12*F1011</f>
        <v>6</v>
      </c>
      <c r="F1011" s="12">
        <f>Systems!L63</f>
        <v>0.5</v>
      </c>
      <c r="G1011" s="1" t="s">
        <v>23</v>
      </c>
      <c r="H1011" s="1" t="s">
        <v>435</v>
      </c>
    </row>
    <row r="1012" spans="1:8">
      <c r="A1012" s="1" t="s">
        <v>1376</v>
      </c>
      <c r="B1012" s="1" t="s">
        <v>26</v>
      </c>
      <c r="C1012" s="1" t="s">
        <v>17</v>
      </c>
      <c r="D1012" s="1" t="s">
        <v>20</v>
      </c>
      <c r="E1012" s="12">
        <f>100*F1012</f>
        <v>50</v>
      </c>
      <c r="F1012" s="12">
        <f>Systems!L63</f>
        <v>0.5</v>
      </c>
      <c r="G1012" s="1" t="s">
        <v>23</v>
      </c>
      <c r="H1012" s="1" t="s">
        <v>435</v>
      </c>
    </row>
    <row r="1013" spans="1:8">
      <c r="A1013" s="1" t="s">
        <v>1580</v>
      </c>
      <c r="B1013" s="1" t="s">
        <v>26</v>
      </c>
      <c r="C1013" s="1" t="s">
        <v>17</v>
      </c>
      <c r="D1013" s="1" t="s">
        <v>20</v>
      </c>
      <c r="E1013" s="12">
        <f>F1013/9152</f>
        <v>5.4632867132867133E-5</v>
      </c>
      <c r="F1013" s="12">
        <f>Systems!L63</f>
        <v>0.5</v>
      </c>
      <c r="G1013" s="1" t="s">
        <v>23</v>
      </c>
      <c r="H1013" s="1" t="s">
        <v>435</v>
      </c>
    </row>
    <row r="1014" spans="1:8">
      <c r="A1014" s="1" t="s">
        <v>1973</v>
      </c>
      <c r="B1014" s="1" t="s">
        <v>26</v>
      </c>
      <c r="C1014" s="1" t="s">
        <v>17</v>
      </c>
      <c r="D1014" s="1" t="s">
        <v>20</v>
      </c>
      <c r="E1014" s="12">
        <f>16*F1014</f>
        <v>8</v>
      </c>
      <c r="F1014" s="12">
        <f>Systems!L63</f>
        <v>0.5</v>
      </c>
      <c r="G1014" s="1" t="s">
        <v>23</v>
      </c>
      <c r="H1014" s="1" t="s">
        <v>435</v>
      </c>
    </row>
    <row r="1015" spans="1:8">
      <c r="A1015" s="1" t="s">
        <v>1988</v>
      </c>
      <c r="B1015" s="1" t="s">
        <v>26</v>
      </c>
      <c r="C1015" s="1" t="s">
        <v>17</v>
      </c>
      <c r="D1015" s="1" t="s">
        <v>20</v>
      </c>
      <c r="E1015" s="12">
        <f>F1015/32</f>
        <v>1.5625E-2</v>
      </c>
      <c r="F1015" s="12">
        <f>Systems!L63</f>
        <v>0.5</v>
      </c>
      <c r="G1015" s="1" t="s">
        <v>23</v>
      </c>
      <c r="H1015" s="1" t="s">
        <v>435</v>
      </c>
    </row>
    <row r="1016" spans="1:8">
      <c r="A1016" s="1" t="s">
        <v>2021</v>
      </c>
      <c r="B1016" s="1" t="s">
        <v>26</v>
      </c>
      <c r="C1016" s="1" t="s">
        <v>17</v>
      </c>
      <c r="D1016" s="1" t="s">
        <v>20</v>
      </c>
      <c r="E1016" s="12">
        <f>F1016/2</f>
        <v>0.25</v>
      </c>
      <c r="F1016" s="12">
        <f>Systems!L63</f>
        <v>0.5</v>
      </c>
      <c r="G1016" s="1" t="s">
        <v>23</v>
      </c>
      <c r="H1016" s="1" t="s">
        <v>435</v>
      </c>
    </row>
    <row r="1017" spans="1:8">
      <c r="A1017" s="1" t="s">
        <v>2180</v>
      </c>
      <c r="B1017" s="1" t="s">
        <v>26</v>
      </c>
      <c r="C1017" s="1" t="s">
        <v>17</v>
      </c>
      <c r="D1017" s="1" t="s">
        <v>20</v>
      </c>
      <c r="E1017" s="12">
        <f>F1017/512</f>
        <v>9.765625E-4</v>
      </c>
      <c r="F1017" s="12">
        <f>Systems!L63</f>
        <v>0.5</v>
      </c>
      <c r="G1017" s="1" t="s">
        <v>23</v>
      </c>
      <c r="H1017" s="1" t="s">
        <v>435</v>
      </c>
    </row>
    <row r="1018" spans="1:8">
      <c r="A1018" s="1" t="s">
        <v>858</v>
      </c>
      <c r="B1018" s="1" t="s">
        <v>26</v>
      </c>
      <c r="C1018" s="1" t="s">
        <v>17</v>
      </c>
      <c r="D1018" s="1" t="s">
        <v>20</v>
      </c>
      <c r="E1018" s="12">
        <f>F1018</f>
        <v>0.5</v>
      </c>
      <c r="F1018" s="12">
        <f>Systems!L63</f>
        <v>0.5</v>
      </c>
      <c r="G1018" s="1" t="s">
        <v>23</v>
      </c>
      <c r="H1018" s="1" t="s">
        <v>435</v>
      </c>
    </row>
    <row r="1019" spans="1:8">
      <c r="A1019" s="1" t="s">
        <v>2359</v>
      </c>
      <c r="B1019" s="1" t="s">
        <v>26</v>
      </c>
      <c r="C1019" s="1" t="s">
        <v>17</v>
      </c>
      <c r="D1019" s="1" t="s">
        <v>20</v>
      </c>
      <c r="E1019" s="12">
        <f>F1019/128</f>
        <v>3.90625E-3</v>
      </c>
      <c r="F1019" s="12">
        <f>Systems!L63</f>
        <v>0.5</v>
      </c>
      <c r="G1019" s="1" t="s">
        <v>23</v>
      </c>
      <c r="H1019" s="1" t="s">
        <v>435</v>
      </c>
    </row>
    <row r="1020" spans="1:8">
      <c r="A1020" s="1" t="s">
        <v>1275</v>
      </c>
      <c r="B1020" s="1" t="s">
        <v>26</v>
      </c>
      <c r="C1020" s="1" t="s">
        <v>17</v>
      </c>
      <c r="D1020" s="1" t="s">
        <v>20</v>
      </c>
      <c r="E1020" s="12">
        <f>320*F1020</f>
        <v>160</v>
      </c>
      <c r="F1020" s="12">
        <f>Systems!L63</f>
        <v>0.5</v>
      </c>
      <c r="G1020" s="1" t="s">
        <v>23</v>
      </c>
      <c r="H1020" s="1" t="s">
        <v>435</v>
      </c>
    </row>
    <row r="1021" spans="1:8">
      <c r="A1021" s="1" t="s">
        <v>2533</v>
      </c>
      <c r="B1021" s="1" t="s">
        <v>26</v>
      </c>
      <c r="C1021" s="1" t="s">
        <v>17</v>
      </c>
      <c r="D1021" s="1" t="s">
        <v>20</v>
      </c>
      <c r="E1021" s="12">
        <f>5200*F1021</f>
        <v>2600</v>
      </c>
      <c r="F1021" s="12">
        <f>Systems!L63</f>
        <v>0.5</v>
      </c>
      <c r="G1021" s="1" t="s">
        <v>23</v>
      </c>
      <c r="H1021" s="1" t="s">
        <v>435</v>
      </c>
    </row>
    <row r="1022" spans="1:8">
      <c r="A1022" s="1" t="s">
        <v>2744</v>
      </c>
      <c r="B1022" s="1" t="s">
        <v>26</v>
      </c>
      <c r="C1022" s="1" t="s">
        <v>17</v>
      </c>
      <c r="D1022" s="1" t="s">
        <v>20</v>
      </c>
      <c r="E1022" s="12">
        <f>F1022/16</f>
        <v>3.125E-2</v>
      </c>
      <c r="F1022" s="12">
        <f>Systems!L63</f>
        <v>0.5</v>
      </c>
      <c r="G1022" s="1" t="s">
        <v>23</v>
      </c>
      <c r="H1022" s="1" t="s">
        <v>435</v>
      </c>
    </row>
    <row r="1023" spans="1:8">
      <c r="A1023" s="1" t="s">
        <v>2783</v>
      </c>
      <c r="B1023" s="1" t="s">
        <v>26</v>
      </c>
      <c r="C1023" s="1" t="s">
        <v>17</v>
      </c>
      <c r="D1023" s="1" t="s">
        <v>20</v>
      </c>
      <c r="E1023" s="12">
        <f>36*F1023</f>
        <v>18</v>
      </c>
      <c r="F1023" s="12">
        <f>Systems!L63</f>
        <v>0.5</v>
      </c>
      <c r="G1023" s="1" t="s">
        <v>23</v>
      </c>
      <c r="H1023" s="1" t="s">
        <v>435</v>
      </c>
    </row>
    <row r="1024" spans="1:8">
      <c r="A1024" s="248"/>
      <c r="B1024" s="248"/>
      <c r="C1024" s="248"/>
      <c r="D1024" s="248"/>
      <c r="E1024" s="250"/>
      <c r="F1024" s="250"/>
      <c r="G1024" s="248"/>
      <c r="H1024" s="248"/>
    </row>
    <row r="1025" spans="1:8">
      <c r="A1025" s="1" t="s">
        <v>1561</v>
      </c>
      <c r="B1025" s="1" t="s">
        <v>26</v>
      </c>
      <c r="C1025" s="1" t="s">
        <v>3033</v>
      </c>
      <c r="D1025" s="1" t="s">
        <v>19</v>
      </c>
      <c r="E1025" s="12">
        <f>F1025/12</f>
        <v>2.3588283333333335E-2</v>
      </c>
      <c r="F1025" s="12">
        <f>Systems!D65</f>
        <v>0.28305940000000002</v>
      </c>
      <c r="G1025" s="1" t="s">
        <v>14</v>
      </c>
      <c r="H1025" s="1" t="s">
        <v>35</v>
      </c>
    </row>
    <row r="1026" spans="1:8">
      <c r="A1026" s="1" t="s">
        <v>4540</v>
      </c>
      <c r="B1026" s="1" t="s">
        <v>26</v>
      </c>
      <c r="C1026" s="1" t="s">
        <v>3033</v>
      </c>
      <c r="D1026" s="1" t="s">
        <v>19</v>
      </c>
      <c r="E1026" s="12">
        <f>F1026/100</f>
        <v>0.01</v>
      </c>
      <c r="F1026" s="12">
        <f>SI!E3</f>
        <v>1</v>
      </c>
      <c r="G1026" s="1" t="s">
        <v>14</v>
      </c>
      <c r="H1026" s="1" t="s">
        <v>35</v>
      </c>
    </row>
    <row r="1027" spans="1:8">
      <c r="A1027" s="1" t="s">
        <v>1562</v>
      </c>
      <c r="B1027" s="1" t="s">
        <v>26</v>
      </c>
      <c r="C1027" s="1" t="s">
        <v>3033</v>
      </c>
      <c r="D1027" s="1" t="s">
        <v>19</v>
      </c>
      <c r="E1027" s="12">
        <f>F1027/12</f>
        <v>2.3588283333333335E-2</v>
      </c>
      <c r="F1027" s="12">
        <f>Systems!D65</f>
        <v>0.28305940000000002</v>
      </c>
      <c r="G1027" s="1" t="s">
        <v>14</v>
      </c>
      <c r="H1027" s="1" t="s">
        <v>35</v>
      </c>
    </row>
    <row r="1028" spans="1:8">
      <c r="A1028" s="1" t="s">
        <v>4541</v>
      </c>
      <c r="B1028" s="1" t="s">
        <v>26</v>
      </c>
      <c r="C1028" s="1" t="s">
        <v>3033</v>
      </c>
      <c r="D1028" s="1" t="s">
        <v>19</v>
      </c>
      <c r="E1028" s="12">
        <f>F1028</f>
        <v>1</v>
      </c>
      <c r="F1028" s="12">
        <f>SI!E3</f>
        <v>1</v>
      </c>
      <c r="G1028" s="1" t="s">
        <v>14</v>
      </c>
      <c r="H1028" s="1" t="s">
        <v>35</v>
      </c>
    </row>
    <row r="1029" spans="1:8">
      <c r="A1029" s="1" t="s">
        <v>838</v>
      </c>
      <c r="B1029" s="1" t="s">
        <v>26</v>
      </c>
      <c r="C1029" s="1" t="s">
        <v>3033</v>
      </c>
      <c r="D1029" s="1" t="s">
        <v>19</v>
      </c>
      <c r="E1029" s="12">
        <f>2.5*F1029</f>
        <v>0.70764850000000001</v>
      </c>
      <c r="F1029" s="12">
        <f>Systems!D65</f>
        <v>0.28305940000000002</v>
      </c>
      <c r="G1029" s="1" t="s">
        <v>14</v>
      </c>
      <c r="H1029" s="1" t="s">
        <v>35</v>
      </c>
    </row>
    <row r="1030" spans="1:8">
      <c r="A1030" s="1" t="s">
        <v>4542</v>
      </c>
      <c r="B1030" s="1" t="s">
        <v>26</v>
      </c>
      <c r="C1030" s="1" t="s">
        <v>3033</v>
      </c>
      <c r="D1030" s="1" t="s">
        <v>19</v>
      </c>
      <c r="E1030" s="12">
        <f>F1030</f>
        <v>1</v>
      </c>
      <c r="F1030" s="12">
        <f>SI!E3</f>
        <v>1</v>
      </c>
      <c r="G1030" s="1" t="s">
        <v>14</v>
      </c>
      <c r="H1030" s="1" t="s">
        <v>35</v>
      </c>
    </row>
    <row r="1031" spans="1:8">
      <c r="A1031" s="1" t="s">
        <v>875</v>
      </c>
      <c r="B1031" s="1" t="s">
        <v>26</v>
      </c>
      <c r="C1031" s="1" t="s">
        <v>3033</v>
      </c>
      <c r="D1031" s="1" t="s">
        <v>19</v>
      </c>
      <c r="E1031" s="12">
        <f>2.5*F1031</f>
        <v>0.70764850000000001</v>
      </c>
      <c r="F1031" s="12">
        <f>Systems!D65</f>
        <v>0.28305940000000002</v>
      </c>
      <c r="G1031" s="1" t="s">
        <v>14</v>
      </c>
      <c r="H1031" s="1" t="s">
        <v>35</v>
      </c>
    </row>
    <row r="1032" spans="1:8">
      <c r="A1032" s="1" t="s">
        <v>2980</v>
      </c>
      <c r="B1032" s="1" t="s">
        <v>26</v>
      </c>
      <c r="C1032" s="1" t="s">
        <v>3033</v>
      </c>
      <c r="D1032" s="1" t="s">
        <v>19</v>
      </c>
      <c r="E1032" s="12">
        <f>9.6*F1032</f>
        <v>9.6000000000000002E-2</v>
      </c>
      <c r="F1032" s="12">
        <f>'Physical Definitions'!E22</f>
        <v>0.01</v>
      </c>
      <c r="G1032" s="1" t="s">
        <v>14</v>
      </c>
      <c r="H1032" s="1" t="s">
        <v>35</v>
      </c>
    </row>
    <row r="1033" spans="1:8">
      <c r="A1033" s="1" t="s">
        <v>1716</v>
      </c>
      <c r="B1033" s="1" t="s">
        <v>26</v>
      </c>
      <c r="C1033" s="1" t="s">
        <v>3033</v>
      </c>
      <c r="D1033" s="1" t="s">
        <v>19</v>
      </c>
      <c r="E1033" s="12">
        <f>F1033/10</f>
        <v>0.1</v>
      </c>
      <c r="F1033" s="12">
        <f>SI!E3</f>
        <v>1</v>
      </c>
      <c r="G1033" s="1" t="s">
        <v>14</v>
      </c>
      <c r="H1033" s="1" t="s">
        <v>35</v>
      </c>
    </row>
    <row r="1034" spans="1:8">
      <c r="A1034" s="1" t="s">
        <v>7527</v>
      </c>
      <c r="B1034" s="1" t="s">
        <v>26</v>
      </c>
      <c r="C1034" s="1" t="s">
        <v>3033</v>
      </c>
      <c r="D1034" s="1" t="s">
        <v>19</v>
      </c>
      <c r="E1034" s="12">
        <f>F1034/144</f>
        <v>1.9656902777777777E-3</v>
      </c>
      <c r="F1034" s="12">
        <f>Systems!D65</f>
        <v>0.28305940000000002</v>
      </c>
      <c r="G1034" s="1" t="s">
        <v>14</v>
      </c>
      <c r="H1034" s="1" t="s">
        <v>35</v>
      </c>
    </row>
    <row r="1035" spans="1:8">
      <c r="A1035" s="1" t="s">
        <v>2981</v>
      </c>
      <c r="B1035" s="1" t="s">
        <v>26</v>
      </c>
      <c r="C1035" s="1" t="s">
        <v>3033</v>
      </c>
      <c r="D1035" s="1" t="s">
        <v>19</v>
      </c>
      <c r="E1035" s="12">
        <f>3*F1035</f>
        <v>0.03</v>
      </c>
      <c r="F1035" s="12">
        <f>'Physical Definitions'!E22</f>
        <v>0.01</v>
      </c>
      <c r="G1035" s="1" t="s">
        <v>14</v>
      </c>
      <c r="H1035" s="1" t="s">
        <v>35</v>
      </c>
    </row>
    <row r="1036" spans="1:8">
      <c r="A1036" s="1" t="s">
        <v>4543</v>
      </c>
      <c r="B1036" s="1" t="s">
        <v>26</v>
      </c>
      <c r="C1036" s="1" t="s">
        <v>3033</v>
      </c>
      <c r="D1036" s="1" t="s">
        <v>19</v>
      </c>
      <c r="E1036" s="12">
        <f>F1036/1000</f>
        <v>1E-3</v>
      </c>
      <c r="F1036" s="12">
        <f>SI!E3</f>
        <v>1</v>
      </c>
      <c r="G1036" s="1" t="s">
        <v>14</v>
      </c>
      <c r="H1036" s="1" t="s">
        <v>35</v>
      </c>
    </row>
    <row r="1037" spans="1:8">
      <c r="A1037" s="1" t="s">
        <v>2066</v>
      </c>
      <c r="B1037" s="1" t="s">
        <v>26</v>
      </c>
      <c r="C1037" s="1" t="s">
        <v>3033</v>
      </c>
      <c r="D1037" s="1" t="s">
        <v>19</v>
      </c>
      <c r="E1037" s="12">
        <f>17665*F1037</f>
        <v>5000.2443010000006</v>
      </c>
      <c r="F1037" s="12">
        <f>Systems!D65</f>
        <v>0.28305940000000002</v>
      </c>
      <c r="G1037" s="1" t="s">
        <v>14</v>
      </c>
      <c r="H1037" s="1" t="s">
        <v>35</v>
      </c>
    </row>
    <row r="1038" spans="1:8">
      <c r="A1038" s="1" t="s">
        <v>4544</v>
      </c>
      <c r="B1038" s="1" t="s">
        <v>26</v>
      </c>
      <c r="C1038" s="1" t="s">
        <v>3033</v>
      </c>
      <c r="D1038" s="1" t="s">
        <v>19</v>
      </c>
      <c r="E1038" s="12">
        <f>1000*F1038</f>
        <v>1000</v>
      </c>
      <c r="F1038" s="12">
        <f>SI!E3</f>
        <v>1</v>
      </c>
      <c r="G1038" s="1" t="s">
        <v>14</v>
      </c>
      <c r="H1038" s="1" t="s">
        <v>35</v>
      </c>
    </row>
    <row r="1039" spans="1:8">
      <c r="A1039" s="1" t="s">
        <v>980</v>
      </c>
      <c r="B1039" s="1" t="s">
        <v>26</v>
      </c>
      <c r="C1039" s="1" t="s">
        <v>3033</v>
      </c>
      <c r="D1039" s="1" t="s">
        <v>19</v>
      </c>
      <c r="E1039" s="12">
        <f>3533*F1039</f>
        <v>1000.0488602</v>
      </c>
      <c r="F1039" s="12">
        <f>Systems!D65</f>
        <v>0.28305940000000002</v>
      </c>
      <c r="G1039" s="1" t="s">
        <v>14</v>
      </c>
      <c r="H1039" s="1" t="s">
        <v>35</v>
      </c>
    </row>
    <row r="1040" spans="1:8">
      <c r="A1040" s="1" t="s">
        <v>4545</v>
      </c>
      <c r="B1040" s="1" t="s">
        <v>26</v>
      </c>
      <c r="C1040" s="1" t="s">
        <v>3033</v>
      </c>
      <c r="D1040" s="1" t="s">
        <v>19</v>
      </c>
      <c r="E1040" s="12">
        <f>F1040/10</f>
        <v>0.1</v>
      </c>
      <c r="F1040" s="12">
        <f>SI!E3</f>
        <v>1</v>
      </c>
      <c r="G1040" s="1" t="s">
        <v>14</v>
      </c>
      <c r="H1040" s="1" t="s">
        <v>35</v>
      </c>
    </row>
    <row r="1041" spans="1:8">
      <c r="A1041" s="1" t="s">
        <v>2388</v>
      </c>
      <c r="B1041" s="1" t="s">
        <v>26</v>
      </c>
      <c r="C1041" s="1" t="s">
        <v>3033</v>
      </c>
      <c r="D1041" s="1" t="s">
        <v>19</v>
      </c>
      <c r="E1041" s="12">
        <f>13*F1041</f>
        <v>3.6797722000000004</v>
      </c>
      <c r="F1041" s="12">
        <f>Systems!D65</f>
        <v>0.28305940000000002</v>
      </c>
      <c r="G1041" s="1" t="s">
        <v>14</v>
      </c>
      <c r="H1041" s="1" t="s">
        <v>35</v>
      </c>
    </row>
    <row r="1042" spans="1:8">
      <c r="A1042" s="1" t="s">
        <v>4546</v>
      </c>
      <c r="B1042" s="1" t="s">
        <v>26</v>
      </c>
      <c r="C1042" s="1" t="s">
        <v>3033</v>
      </c>
      <c r="D1042" s="1" t="s">
        <v>19</v>
      </c>
      <c r="E1042" s="12">
        <f>10*F1042</f>
        <v>10</v>
      </c>
      <c r="F1042" s="12">
        <f>SI!E3</f>
        <v>1</v>
      </c>
      <c r="G1042" s="1" t="s">
        <v>14</v>
      </c>
      <c r="H1042" s="1" t="s">
        <v>35</v>
      </c>
    </row>
    <row r="1043" spans="1:8">
      <c r="A1043" s="1" t="s">
        <v>2389</v>
      </c>
      <c r="B1043" s="1" t="s">
        <v>26</v>
      </c>
      <c r="C1043" s="1" t="s">
        <v>3033</v>
      </c>
      <c r="D1043" s="1" t="s">
        <v>19</v>
      </c>
      <c r="E1043" s="12">
        <f>13*F1043</f>
        <v>3.6797722000000004</v>
      </c>
      <c r="F1043" s="12">
        <f>Systems!D65</f>
        <v>0.28305940000000002</v>
      </c>
      <c r="G1043" s="1" t="s">
        <v>14</v>
      </c>
      <c r="H1043" s="1" t="s">
        <v>35</v>
      </c>
    </row>
    <row r="1044" spans="1:8">
      <c r="A1044" s="1" t="s">
        <v>4547</v>
      </c>
      <c r="B1044" s="1" t="s">
        <v>26</v>
      </c>
      <c r="C1044" s="1" t="s">
        <v>3033</v>
      </c>
      <c r="D1044" s="1" t="s">
        <v>19</v>
      </c>
      <c r="E1044" s="12">
        <f>10*F1044</f>
        <v>10</v>
      </c>
      <c r="F1044" s="12">
        <f>SI!E3</f>
        <v>1</v>
      </c>
      <c r="G1044" s="1" t="s">
        <v>14</v>
      </c>
      <c r="H1044" s="1" t="s">
        <v>35</v>
      </c>
    </row>
    <row r="1045" spans="1:8">
      <c r="A1045" s="1" t="s">
        <v>4548</v>
      </c>
      <c r="B1045" s="1" t="s">
        <v>26</v>
      </c>
      <c r="C1045" s="1" t="s">
        <v>3033</v>
      </c>
      <c r="D1045" s="1" t="s">
        <v>19</v>
      </c>
      <c r="E1045" s="12">
        <f>F1045/1000</f>
        <v>1E-3</v>
      </c>
      <c r="F1045" s="12">
        <f>SI!E3</f>
        <v>1</v>
      </c>
      <c r="G1045" s="1" t="s">
        <v>14</v>
      </c>
      <c r="H1045" s="1" t="s">
        <v>35</v>
      </c>
    </row>
    <row r="1046" spans="1:8">
      <c r="A1046" s="1" t="s">
        <v>2747</v>
      </c>
      <c r="B1046" s="1" t="s">
        <v>26</v>
      </c>
      <c r="C1046" s="1" t="s">
        <v>3033</v>
      </c>
      <c r="D1046" s="1" t="s">
        <v>19</v>
      </c>
      <c r="E1046" s="12">
        <f>17665*F1046</f>
        <v>5000.2443010000006</v>
      </c>
      <c r="F1046" s="12">
        <f>Systems!D65</f>
        <v>0.28305940000000002</v>
      </c>
      <c r="G1046" s="1" t="s">
        <v>14</v>
      </c>
      <c r="H1046" s="1" t="s">
        <v>35</v>
      </c>
    </row>
    <row r="1047" spans="1:8">
      <c r="A1047" s="1" t="s">
        <v>2779</v>
      </c>
      <c r="B1047" s="1" t="s">
        <v>26</v>
      </c>
      <c r="C1047" s="1" t="s">
        <v>3033</v>
      </c>
      <c r="D1047" s="1" t="s">
        <v>19</v>
      </c>
      <c r="E1047" s="12">
        <f>F1047</f>
        <v>0.28305940000000002</v>
      </c>
      <c r="F1047" s="12">
        <f>Systems!D65</f>
        <v>0.28305940000000002</v>
      </c>
      <c r="G1047" s="1" t="s">
        <v>14</v>
      </c>
      <c r="H1047" s="1" t="s">
        <v>35</v>
      </c>
    </row>
    <row r="1048" spans="1:8">
      <c r="A1048" s="1" t="s">
        <v>852</v>
      </c>
      <c r="B1048" s="1" t="s">
        <v>26</v>
      </c>
      <c r="C1048" s="1" t="s">
        <v>3033</v>
      </c>
      <c r="D1048" s="1" t="s">
        <v>19</v>
      </c>
      <c r="E1048" s="12">
        <f>F1048</f>
        <v>0.28305940000000002</v>
      </c>
      <c r="F1048" s="12">
        <f>Systems!D65</f>
        <v>0.28305940000000002</v>
      </c>
      <c r="G1048" s="1" t="s">
        <v>14</v>
      </c>
      <c r="H1048" s="1" t="s">
        <v>35</v>
      </c>
    </row>
    <row r="1049" spans="1:8" ht="16.5">
      <c r="A1049" s="1" t="s">
        <v>1321</v>
      </c>
      <c r="B1049" s="1" t="s">
        <v>26</v>
      </c>
      <c r="C1049" s="1" t="s">
        <v>3034</v>
      </c>
      <c r="D1049" s="1" t="s">
        <v>38</v>
      </c>
      <c r="E1049" s="12">
        <f>10000*F1049</f>
        <v>10000</v>
      </c>
      <c r="F1049" s="12">
        <f>POWER(SI!E3,2)</f>
        <v>1</v>
      </c>
      <c r="G1049" s="1" t="s">
        <v>39</v>
      </c>
      <c r="H1049" s="1" t="s">
        <v>35</v>
      </c>
    </row>
    <row r="1050" spans="1:8" ht="16.5">
      <c r="A1050" s="1" t="s">
        <v>1755</v>
      </c>
      <c r="B1050" s="1" t="s">
        <v>26</v>
      </c>
      <c r="C1050" s="1" t="s">
        <v>3034</v>
      </c>
      <c r="D1050" s="1" t="s">
        <v>38</v>
      </c>
      <c r="E1050" s="12">
        <f>100*F1050</f>
        <v>1354.0723443892841</v>
      </c>
      <c r="F1050" s="12">
        <f>POWER(13*Systems!D65,2)</f>
        <v>13.540723443892842</v>
      </c>
      <c r="G1050" s="1" t="s">
        <v>39</v>
      </c>
      <c r="H1050" s="1" t="s">
        <v>35</v>
      </c>
    </row>
    <row r="1051" spans="1:8" ht="16.5">
      <c r="A1051" s="1" t="s">
        <v>973</v>
      </c>
      <c r="B1051" s="1" t="s">
        <v>26</v>
      </c>
      <c r="C1051" s="1" t="s">
        <v>3034</v>
      </c>
      <c r="D1051" s="1" t="s">
        <v>38</v>
      </c>
      <c r="E1051" s="12">
        <f>F1051</f>
        <v>8244.3459999999995</v>
      </c>
      <c r="F1051" s="12">
        <f>Systems!H65</f>
        <v>8244.3459999999995</v>
      </c>
      <c r="G1051" s="1" t="s">
        <v>39</v>
      </c>
      <c r="H1051" s="1" t="s">
        <v>35</v>
      </c>
    </row>
    <row r="1052" spans="1:8" ht="16.5">
      <c r="A1052" s="1" t="s">
        <v>2388</v>
      </c>
      <c r="B1052" s="1" t="s">
        <v>26</v>
      </c>
      <c r="C1052" s="1" t="s">
        <v>3034</v>
      </c>
      <c r="D1052" s="1" t="s">
        <v>38</v>
      </c>
      <c r="E1052" s="12">
        <f>F1052</f>
        <v>13.540723443892842</v>
      </c>
      <c r="F1052" s="12">
        <f>POWER(13*Systems!D65,2)</f>
        <v>13.540723443892842</v>
      </c>
      <c r="G1052" s="1" t="s">
        <v>39</v>
      </c>
      <c r="H1052" s="1" t="s">
        <v>35</v>
      </c>
    </row>
    <row r="1053" spans="1:8" ht="16.5">
      <c r="A1053" s="1" t="s">
        <v>4549</v>
      </c>
      <c r="B1053" s="1" t="s">
        <v>26</v>
      </c>
      <c r="C1053" s="1" t="s">
        <v>3034</v>
      </c>
      <c r="D1053" s="1" t="s">
        <v>38</v>
      </c>
      <c r="E1053" s="12">
        <f>100*F1053</f>
        <v>100</v>
      </c>
      <c r="F1053" s="12">
        <f>POWER(SI!E3,2)</f>
        <v>1</v>
      </c>
      <c r="G1053" s="1" t="s">
        <v>39</v>
      </c>
      <c r="H1053" s="1" t="s">
        <v>35</v>
      </c>
    </row>
    <row r="1054" spans="1:8" ht="16.5">
      <c r="A1054" s="1" t="s">
        <v>2779</v>
      </c>
      <c r="B1054" s="1" t="s">
        <v>26</v>
      </c>
      <c r="C1054" s="1" t="s">
        <v>3034</v>
      </c>
      <c r="D1054" s="1" t="s">
        <v>38</v>
      </c>
      <c r="E1054" s="12">
        <f>F1054</f>
        <v>8.0122623928360004E-2</v>
      </c>
      <c r="F1054" s="12">
        <f>POWER(Systems!D65,2)</f>
        <v>8.0122623928360004E-2</v>
      </c>
      <c r="G1054" s="1" t="s">
        <v>39</v>
      </c>
      <c r="H1054" s="1" t="s">
        <v>35</v>
      </c>
    </row>
    <row r="1055" spans="1:8" ht="16.5">
      <c r="A1055" s="1" t="s">
        <v>1872</v>
      </c>
      <c r="B1055" s="1" t="s">
        <v>26</v>
      </c>
      <c r="C1055" s="1" t="s">
        <v>2936</v>
      </c>
      <c r="D1055" s="1" t="s">
        <v>32</v>
      </c>
      <c r="E1055" s="12">
        <f>F1055/32</f>
        <v>8.5187499999999998E-4</v>
      </c>
      <c r="F1055" s="12">
        <f>Systems!T65</f>
        <v>2.726E-2</v>
      </c>
      <c r="G1055" s="1" t="s">
        <v>33</v>
      </c>
      <c r="H1055" s="1" t="s">
        <v>35</v>
      </c>
    </row>
    <row r="1056" spans="1:8" ht="16.5">
      <c r="A1056" s="1" t="s">
        <v>4550</v>
      </c>
      <c r="B1056" s="1" t="s">
        <v>26</v>
      </c>
      <c r="C1056" s="1" t="s">
        <v>2936</v>
      </c>
      <c r="D1056" s="1" t="s">
        <v>32</v>
      </c>
      <c r="E1056" s="12">
        <f>F1056/1000</f>
        <v>1E-3</v>
      </c>
      <c r="F1056" s="12">
        <f>POWER(SI!E3,3)</f>
        <v>1</v>
      </c>
      <c r="G1056" s="1" t="s">
        <v>33</v>
      </c>
      <c r="H1056" s="1" t="s">
        <v>35</v>
      </c>
    </row>
    <row r="1057" spans="1:8" ht="16.5">
      <c r="A1057" s="1" t="s">
        <v>1932</v>
      </c>
      <c r="B1057" s="1" t="s">
        <v>26</v>
      </c>
      <c r="C1057" s="1" t="s">
        <v>2936</v>
      </c>
      <c r="D1057" s="1" t="s">
        <v>32</v>
      </c>
      <c r="E1057" s="12">
        <f>108*F1057</f>
        <v>2.94408</v>
      </c>
      <c r="F1057" s="12">
        <f>Systems!T65</f>
        <v>2.726E-2</v>
      </c>
      <c r="G1057" s="1" t="s">
        <v>33</v>
      </c>
      <c r="H1057" s="1" t="s">
        <v>35</v>
      </c>
    </row>
    <row r="1058" spans="1:8" ht="16.5">
      <c r="A1058" s="1" t="s">
        <v>4551</v>
      </c>
      <c r="B1058" s="1" t="s">
        <v>26</v>
      </c>
      <c r="C1058" s="1" t="s">
        <v>2936</v>
      </c>
      <c r="D1058" s="1" t="s">
        <v>32</v>
      </c>
      <c r="E1058" s="12">
        <f>0.0001*F1058</f>
        <v>1E-4</v>
      </c>
      <c r="F1058" s="12">
        <f>POWER(SI!E3,3)</f>
        <v>1</v>
      </c>
      <c r="G1058" s="1" t="s">
        <v>33</v>
      </c>
      <c r="H1058" s="1" t="s">
        <v>35</v>
      </c>
    </row>
    <row r="1059" spans="1:8" ht="16.5">
      <c r="A1059" s="1" t="s">
        <v>884</v>
      </c>
      <c r="B1059" s="1" t="s">
        <v>26</v>
      </c>
      <c r="C1059" s="1" t="s">
        <v>2936</v>
      </c>
      <c r="D1059" s="1" t="s">
        <v>32</v>
      </c>
      <c r="E1059" s="12">
        <f>4*F1059</f>
        <v>0.10904</v>
      </c>
      <c r="F1059" s="12">
        <f>Systems!T65</f>
        <v>2.726E-2</v>
      </c>
      <c r="G1059" s="1" t="s">
        <v>33</v>
      </c>
      <c r="H1059" s="1" t="s">
        <v>35</v>
      </c>
    </row>
    <row r="1060" spans="1:8" ht="16.5">
      <c r="A1060" s="1" t="s">
        <v>4552</v>
      </c>
      <c r="B1060" s="1" t="s">
        <v>26</v>
      </c>
      <c r="C1060" s="1" t="s">
        <v>2936</v>
      </c>
      <c r="D1060" s="1" t="s">
        <v>32</v>
      </c>
      <c r="E1060" s="12">
        <f>F1060/10</f>
        <v>0.1</v>
      </c>
      <c r="F1060" s="12">
        <f>POWER(SI!E3,3)</f>
        <v>1</v>
      </c>
      <c r="G1060" s="1" t="s">
        <v>33</v>
      </c>
      <c r="H1060" s="1" t="s">
        <v>35</v>
      </c>
    </row>
    <row r="1061" spans="1:8" ht="16.5">
      <c r="A1061" s="1" t="s">
        <v>853</v>
      </c>
      <c r="B1061" s="1" t="s">
        <v>26</v>
      </c>
      <c r="C1061" s="1" t="s">
        <v>2936</v>
      </c>
      <c r="D1061" s="1" t="s">
        <v>32</v>
      </c>
      <c r="E1061" s="12">
        <f>F1061</f>
        <v>2.726E-2</v>
      </c>
      <c r="F1061" s="12">
        <f>Systems!T65</f>
        <v>2.726E-2</v>
      </c>
      <c r="G1061" s="1" t="s">
        <v>33</v>
      </c>
      <c r="H1061" s="1" t="s">
        <v>35</v>
      </c>
    </row>
    <row r="1062" spans="1:8" ht="16.5">
      <c r="A1062" s="1" t="s">
        <v>4553</v>
      </c>
      <c r="B1062" s="1" t="s">
        <v>26</v>
      </c>
      <c r="C1062" s="1" t="s">
        <v>2936</v>
      </c>
      <c r="D1062" s="1" t="s">
        <v>32</v>
      </c>
      <c r="E1062" s="12">
        <f>F1062</f>
        <v>1</v>
      </c>
      <c r="F1062" s="12">
        <f>POWER(SI!E3,3)</f>
        <v>1</v>
      </c>
      <c r="G1062" s="1" t="s">
        <v>33</v>
      </c>
      <c r="H1062" s="1" t="s">
        <v>35</v>
      </c>
    </row>
    <row r="1063" spans="1:8" ht="16.5">
      <c r="A1063" s="1" t="s">
        <v>2771</v>
      </c>
      <c r="B1063" s="1" t="s">
        <v>26</v>
      </c>
      <c r="C1063" s="1" t="s">
        <v>2936</v>
      </c>
      <c r="D1063" s="1" t="s">
        <v>32</v>
      </c>
      <c r="E1063" s="12">
        <f>F1063/4</f>
        <v>6.8149999999999999E-3</v>
      </c>
      <c r="F1063" s="12">
        <f>Systems!T65</f>
        <v>2.726E-2</v>
      </c>
      <c r="G1063" s="1" t="s">
        <v>33</v>
      </c>
      <c r="H1063" s="1" t="s">
        <v>35</v>
      </c>
    </row>
    <row r="1064" spans="1:8" ht="16.5">
      <c r="A1064" s="1" t="s">
        <v>4554</v>
      </c>
      <c r="B1064" s="1" t="s">
        <v>26</v>
      </c>
      <c r="C1064" s="1" t="s">
        <v>2936</v>
      </c>
      <c r="D1064" s="1" t="s">
        <v>32</v>
      </c>
      <c r="E1064" s="12">
        <f>0.00001*F1064</f>
        <v>1.0000000000000001E-5</v>
      </c>
      <c r="F1064" s="12">
        <f>POWER(SI!E3,3)</f>
        <v>1</v>
      </c>
      <c r="G1064" s="1" t="s">
        <v>33</v>
      </c>
      <c r="H1064" s="1" t="s">
        <v>35</v>
      </c>
    </row>
    <row r="1065" spans="1:8" ht="16.5">
      <c r="A1065" s="1" t="s">
        <v>4555</v>
      </c>
      <c r="B1065" s="1" t="s">
        <v>26</v>
      </c>
      <c r="C1065" s="1" t="s">
        <v>2936</v>
      </c>
      <c r="D1065" s="1" t="s">
        <v>32</v>
      </c>
      <c r="E1065" s="12">
        <f>F1065</f>
        <v>1</v>
      </c>
      <c r="F1065" s="12">
        <f>POWER(SI!E3,3)</f>
        <v>1</v>
      </c>
      <c r="G1065" s="1" t="s">
        <v>33</v>
      </c>
      <c r="H1065" s="1" t="s">
        <v>35</v>
      </c>
    </row>
    <row r="1066" spans="1:8" ht="16.5">
      <c r="A1066" s="1" t="s">
        <v>2815</v>
      </c>
      <c r="B1066" s="1" t="s">
        <v>26</v>
      </c>
      <c r="C1066" s="1" t="s">
        <v>2936</v>
      </c>
      <c r="D1066" s="1" t="s">
        <v>32</v>
      </c>
      <c r="E1066" s="12">
        <f>3*F1066</f>
        <v>8.1779999999999992E-2</v>
      </c>
      <c r="F1066" s="12">
        <f>Systems!T65</f>
        <v>2.726E-2</v>
      </c>
      <c r="G1066" s="1" t="s">
        <v>33</v>
      </c>
      <c r="H1066" s="1" t="s">
        <v>35</v>
      </c>
    </row>
    <row r="1067" spans="1:8" ht="16.5">
      <c r="A1067" s="1" t="s">
        <v>1173</v>
      </c>
      <c r="B1067" s="1" t="s">
        <v>26</v>
      </c>
      <c r="C1067" s="1" t="s">
        <v>2935</v>
      </c>
      <c r="D1067" s="1" t="s">
        <v>32</v>
      </c>
      <c r="E1067" s="12">
        <f>128*F1067</f>
        <v>0.15359999999999999</v>
      </c>
      <c r="F1067" s="12">
        <f>Systems!P65</f>
        <v>1.1999999999999999E-3</v>
      </c>
      <c r="G1067" s="1" t="s">
        <v>33</v>
      </c>
      <c r="H1067" s="1" t="s">
        <v>35</v>
      </c>
    </row>
    <row r="1068" spans="1:8" ht="16.5">
      <c r="A1068" s="1" t="s">
        <v>1215</v>
      </c>
      <c r="B1068" s="1" t="s">
        <v>26</v>
      </c>
      <c r="C1068" s="1" t="s">
        <v>2935</v>
      </c>
      <c r="D1068" s="1" t="s">
        <v>32</v>
      </c>
      <c r="E1068" s="12">
        <f>32*F1068</f>
        <v>3.8399999999999997E-2</v>
      </c>
      <c r="F1068" s="12">
        <f>Systems!P65</f>
        <v>1.1999999999999999E-3</v>
      </c>
      <c r="G1068" s="1" t="s">
        <v>33</v>
      </c>
      <c r="H1068" s="1" t="s">
        <v>35</v>
      </c>
    </row>
    <row r="1069" spans="1:8" ht="16.5">
      <c r="A1069" s="1" t="s">
        <v>2083</v>
      </c>
      <c r="B1069" s="1" t="s">
        <v>26</v>
      </c>
      <c r="C1069" s="1" t="s">
        <v>2935</v>
      </c>
      <c r="D1069" s="1" t="s">
        <v>32</v>
      </c>
      <c r="E1069" s="12">
        <f>F1069</f>
        <v>1.1999999999999999E-3</v>
      </c>
      <c r="F1069" s="12">
        <f>Systems!P65</f>
        <v>1.1999999999999999E-3</v>
      </c>
      <c r="G1069" s="1" t="s">
        <v>33</v>
      </c>
      <c r="H1069" s="1" t="s">
        <v>35</v>
      </c>
    </row>
    <row r="1070" spans="1:8" ht="16.5">
      <c r="A1070" s="1" t="s">
        <v>854</v>
      </c>
      <c r="B1070" s="1" t="s">
        <v>26</v>
      </c>
      <c r="C1070" s="1" t="s">
        <v>2935</v>
      </c>
      <c r="D1070" s="1" t="s">
        <v>32</v>
      </c>
      <c r="E1070" s="12">
        <f>F1070</f>
        <v>1.1999999999999999E-3</v>
      </c>
      <c r="F1070" s="12">
        <f>Systems!P65</f>
        <v>1.1999999999999999E-3</v>
      </c>
      <c r="G1070" s="1" t="s">
        <v>33</v>
      </c>
      <c r="H1070" s="1" t="s">
        <v>35</v>
      </c>
    </row>
    <row r="1071" spans="1:8" ht="16.5">
      <c r="A1071" s="1" t="s">
        <v>2112</v>
      </c>
      <c r="B1071" s="1" t="s">
        <v>26</v>
      </c>
      <c r="C1071" s="1" t="s">
        <v>2935</v>
      </c>
      <c r="D1071" s="1" t="s">
        <v>32</v>
      </c>
      <c r="E1071" s="12">
        <f>F1071/8</f>
        <v>1.4999999999999999E-4</v>
      </c>
      <c r="F1071" s="12">
        <f>Systems!P65</f>
        <v>1.1999999999999999E-3</v>
      </c>
      <c r="G1071" s="1" t="s">
        <v>33</v>
      </c>
      <c r="H1071" s="1" t="s">
        <v>35</v>
      </c>
    </row>
    <row r="1072" spans="1:8" ht="16.5">
      <c r="A1072" s="1" t="s">
        <v>2197</v>
      </c>
      <c r="B1072" s="1" t="s">
        <v>26</v>
      </c>
      <c r="C1072" s="1" t="s">
        <v>2935</v>
      </c>
      <c r="D1072" s="1" t="s">
        <v>32</v>
      </c>
      <c r="E1072" s="12">
        <f>192*F1072</f>
        <v>0.23039999999999999</v>
      </c>
      <c r="F1072" s="12">
        <f>Systems!P65</f>
        <v>1.1999999999999999E-3</v>
      </c>
      <c r="G1072" s="1" t="s">
        <v>33</v>
      </c>
      <c r="H1072" s="1" t="s">
        <v>35</v>
      </c>
    </row>
    <row r="1073" spans="1:8" ht="16.5">
      <c r="A1073" s="1" t="s">
        <v>2198</v>
      </c>
      <c r="B1073" s="1" t="s">
        <v>26</v>
      </c>
      <c r="C1073" s="1" t="s">
        <v>2935</v>
      </c>
      <c r="D1073" s="1" t="s">
        <v>32</v>
      </c>
      <c r="E1073" s="12">
        <f>192*F1073</f>
        <v>0.23039999999999999</v>
      </c>
      <c r="F1073" s="12">
        <f>Systems!P65</f>
        <v>1.1999999999999999E-3</v>
      </c>
      <c r="G1073" s="1" t="s">
        <v>33</v>
      </c>
      <c r="H1073" s="1" t="s">
        <v>35</v>
      </c>
    </row>
    <row r="1074" spans="1:8" ht="16.5">
      <c r="A1074" s="1" t="s">
        <v>2275</v>
      </c>
      <c r="B1074" s="1" t="s">
        <v>26</v>
      </c>
      <c r="C1074" s="1" t="s">
        <v>2935</v>
      </c>
      <c r="D1074" s="1" t="s">
        <v>32</v>
      </c>
      <c r="E1074" s="12">
        <f>F1074/2</f>
        <v>5.9999999999999995E-4</v>
      </c>
      <c r="F1074" s="12">
        <f>Systems!P65</f>
        <v>1.1999999999999999E-3</v>
      </c>
      <c r="G1074" s="1" t="s">
        <v>33</v>
      </c>
      <c r="H1074" s="1" t="s">
        <v>35</v>
      </c>
    </row>
    <row r="1075" spans="1:8" ht="16.5">
      <c r="A1075" s="1" t="s">
        <v>2568</v>
      </c>
      <c r="B1075" s="1" t="s">
        <v>26</v>
      </c>
      <c r="C1075" s="1" t="s">
        <v>2935</v>
      </c>
      <c r="D1075" s="1" t="s">
        <v>32</v>
      </c>
      <c r="E1075" s="12">
        <f>16*F1075</f>
        <v>1.9199999999999998E-2</v>
      </c>
      <c r="F1075" s="12">
        <f>Systems!P65</f>
        <v>1.1999999999999999E-3</v>
      </c>
      <c r="G1075" s="1" t="s">
        <v>33</v>
      </c>
      <c r="H1075" s="1" t="s">
        <v>35</v>
      </c>
    </row>
    <row r="1076" spans="1:8" ht="16.5">
      <c r="A1076" s="1" t="s">
        <v>2581</v>
      </c>
      <c r="B1076" s="1" t="s">
        <v>26</v>
      </c>
      <c r="C1076" s="1" t="s">
        <v>2935</v>
      </c>
      <c r="D1076" s="1" t="s">
        <v>32</v>
      </c>
      <c r="E1076" s="12">
        <f>2*F1076</f>
        <v>2.3999999999999998E-3</v>
      </c>
      <c r="F1076" s="12">
        <f>Systems!P65</f>
        <v>1.1999999999999999E-3</v>
      </c>
      <c r="G1076" s="1" t="s">
        <v>33</v>
      </c>
      <c r="H1076" s="1" t="s">
        <v>35</v>
      </c>
    </row>
    <row r="1077" spans="1:8" ht="16.5">
      <c r="A1077" s="1" t="s">
        <v>2760</v>
      </c>
      <c r="B1077" s="1" t="s">
        <v>26</v>
      </c>
      <c r="C1077" s="1" t="s">
        <v>2935</v>
      </c>
      <c r="D1077" s="1" t="s">
        <v>32</v>
      </c>
      <c r="E1077" s="12">
        <f>768*F1077</f>
        <v>0.92159999999999997</v>
      </c>
      <c r="F1077" s="12">
        <f>Systems!P65</f>
        <v>1.1999999999999999E-3</v>
      </c>
      <c r="G1077" s="1" t="s">
        <v>33</v>
      </c>
      <c r="H1077" s="1" t="s">
        <v>35</v>
      </c>
    </row>
    <row r="1078" spans="1:8" ht="16.5">
      <c r="A1078" s="1" t="s">
        <v>2815</v>
      </c>
      <c r="B1078" s="1" t="s">
        <v>26</v>
      </c>
      <c r="C1078" s="1" t="s">
        <v>2935</v>
      </c>
      <c r="D1078" s="1" t="s">
        <v>32</v>
      </c>
      <c r="E1078" s="12">
        <f>100*F1078</f>
        <v>0.10000000000000002</v>
      </c>
      <c r="F1078" s="12">
        <f>POWER('Physical Definitions'!E25,3)</f>
        <v>1.0000000000000002E-3</v>
      </c>
      <c r="G1078" s="1" t="s">
        <v>33</v>
      </c>
      <c r="H1078" s="1" t="s">
        <v>35</v>
      </c>
    </row>
    <row r="1079" spans="1:8">
      <c r="A1079" s="1" t="s">
        <v>1550</v>
      </c>
      <c r="B1079" s="1" t="s">
        <v>26</v>
      </c>
      <c r="C1079" s="1" t="s">
        <v>17</v>
      </c>
      <c r="D1079" s="1" t="s">
        <v>20</v>
      </c>
      <c r="E1079" s="12">
        <f>F1079/128</f>
        <v>3.8450603124999998E-3</v>
      </c>
      <c r="F1079" s="12">
        <f>Systems!L66</f>
        <v>0.49216771999999998</v>
      </c>
      <c r="G1079" s="1" t="s">
        <v>23</v>
      </c>
      <c r="H1079" s="1" t="s">
        <v>35</v>
      </c>
    </row>
    <row r="1080" spans="1:8">
      <c r="A1080" s="1" t="s">
        <v>4412</v>
      </c>
      <c r="B1080" s="1" t="s">
        <v>26</v>
      </c>
      <c r="C1080" s="1" t="s">
        <v>17</v>
      </c>
      <c r="D1080" s="1" t="s">
        <v>20</v>
      </c>
      <c r="E1080" s="12">
        <f>F1080/96</f>
        <v>3.8450603125000002E-3</v>
      </c>
      <c r="F1080" s="12">
        <f>Systems!L67</f>
        <v>0.36912579000000001</v>
      </c>
      <c r="G1080" s="1" t="s">
        <v>23</v>
      </c>
      <c r="H1080" s="1" t="s">
        <v>35</v>
      </c>
    </row>
    <row r="1081" spans="1:8">
      <c r="A1081" s="1" t="s">
        <v>1576</v>
      </c>
      <c r="B1081" s="1" t="s">
        <v>26</v>
      </c>
      <c r="C1081" s="1" t="s">
        <v>17</v>
      </c>
      <c r="D1081" s="1" t="s">
        <v>20</v>
      </c>
      <c r="E1081" s="12">
        <f>F1081/320</f>
        <v>1.538024125E-3</v>
      </c>
      <c r="F1081" s="12">
        <f>Systems!L66</f>
        <v>0.49216771999999998</v>
      </c>
      <c r="G1081" s="1" t="s">
        <v>23</v>
      </c>
      <c r="H1081" s="1" t="s">
        <v>35</v>
      </c>
    </row>
    <row r="1082" spans="1:8">
      <c r="A1082" s="1" t="s">
        <v>1697</v>
      </c>
      <c r="B1082" s="1" t="s">
        <v>26</v>
      </c>
      <c r="C1082" s="1" t="s">
        <v>17</v>
      </c>
      <c r="D1082" s="1" t="s">
        <v>20</v>
      </c>
      <c r="E1082" s="12">
        <f>F1082/7680</f>
        <v>6.408433854166667E-5</v>
      </c>
      <c r="F1082" s="12">
        <f>Systems!L66</f>
        <v>0.49216771999999998</v>
      </c>
      <c r="G1082" s="1" t="s">
        <v>23</v>
      </c>
      <c r="H1082" s="1" t="s">
        <v>35</v>
      </c>
    </row>
    <row r="1083" spans="1:8">
      <c r="A1083" s="1" t="s">
        <v>4556</v>
      </c>
      <c r="B1083" s="1" t="s">
        <v>26</v>
      </c>
      <c r="C1083" s="1" t="s">
        <v>17</v>
      </c>
      <c r="D1083" s="1" t="s">
        <v>20</v>
      </c>
      <c r="E1083" s="12">
        <f>F1083/5760</f>
        <v>6.408433854166667E-5</v>
      </c>
      <c r="F1083" s="12">
        <f>Systems!L67</f>
        <v>0.36912579000000001</v>
      </c>
      <c r="G1083" s="1" t="s">
        <v>23</v>
      </c>
      <c r="H1083" s="1" t="s">
        <v>35</v>
      </c>
    </row>
    <row r="1084" spans="1:8">
      <c r="A1084" s="1" t="s">
        <v>4557</v>
      </c>
      <c r="B1084" s="1" t="s">
        <v>26</v>
      </c>
      <c r="C1084" s="1" t="s">
        <v>17</v>
      </c>
      <c r="D1084" s="1" t="s">
        <v>20</v>
      </c>
      <c r="E1084" s="12">
        <f>F1084/10000</f>
        <v>1E-4</v>
      </c>
      <c r="F1084" s="12">
        <f>SI!E2</f>
        <v>1</v>
      </c>
      <c r="G1084" s="1" t="s">
        <v>23</v>
      </c>
      <c r="H1084" s="1" t="s">
        <v>35</v>
      </c>
    </row>
    <row r="1085" spans="1:8">
      <c r="A1085" s="1" t="s">
        <v>1932</v>
      </c>
      <c r="B1085" s="1" t="s">
        <v>26</v>
      </c>
      <c r="C1085" s="1" t="s">
        <v>17</v>
      </c>
      <c r="D1085" s="1" t="s">
        <v>20</v>
      </c>
      <c r="E1085" s="12">
        <f>4000*F1085</f>
        <v>1976.3612800000001</v>
      </c>
      <c r="F1085" s="12">
        <f>Systems!L65</f>
        <v>0.49409032000000003</v>
      </c>
      <c r="G1085" s="1" t="s">
        <v>23</v>
      </c>
      <c r="H1085" s="1" t="s">
        <v>35</v>
      </c>
    </row>
    <row r="1086" spans="1:8">
      <c r="A1086" s="1" t="s">
        <v>4558</v>
      </c>
      <c r="B1086" s="1" t="s">
        <v>26</v>
      </c>
      <c r="C1086" s="1" t="s">
        <v>17</v>
      </c>
      <c r="D1086" s="1" t="s">
        <v>20</v>
      </c>
      <c r="E1086" s="12">
        <f>F1086/100</f>
        <v>0.01</v>
      </c>
      <c r="F1086" s="12">
        <f>SI!E2</f>
        <v>1</v>
      </c>
      <c r="G1086" s="1" t="s">
        <v>23</v>
      </c>
      <c r="H1086" s="1" t="s">
        <v>35</v>
      </c>
    </row>
    <row r="1087" spans="1:8">
      <c r="A1087" s="1" t="s">
        <v>2021</v>
      </c>
      <c r="B1087" s="1" t="s">
        <v>26</v>
      </c>
      <c r="C1087" s="1" t="s">
        <v>17</v>
      </c>
      <c r="D1087" s="1" t="s">
        <v>20</v>
      </c>
      <c r="E1087" s="12">
        <f>F1087/2</f>
        <v>0.24608385999999999</v>
      </c>
      <c r="F1087" s="12">
        <f>Systems!L66</f>
        <v>0.49216771999999998</v>
      </c>
      <c r="G1087" s="1" t="s">
        <v>23</v>
      </c>
      <c r="H1087" s="1" t="s">
        <v>35</v>
      </c>
    </row>
    <row r="1088" spans="1:8">
      <c r="A1088" s="1" t="s">
        <v>2173</v>
      </c>
      <c r="B1088" s="1" t="s">
        <v>26</v>
      </c>
      <c r="C1088" s="1" t="s">
        <v>17</v>
      </c>
      <c r="D1088" s="1" t="s">
        <v>20</v>
      </c>
      <c r="E1088" s="12">
        <f>F1088/16</f>
        <v>3.0760482499999998E-2</v>
      </c>
      <c r="F1088" s="12">
        <f>Systems!L66</f>
        <v>0.49216771999999998</v>
      </c>
      <c r="G1088" s="1" t="s">
        <v>23</v>
      </c>
      <c r="H1088" s="1" t="s">
        <v>35</v>
      </c>
    </row>
    <row r="1089" spans="1:8">
      <c r="A1089" s="1" t="s">
        <v>4559</v>
      </c>
      <c r="B1089" s="1" t="s">
        <v>26</v>
      </c>
      <c r="C1089" s="1" t="s">
        <v>17</v>
      </c>
      <c r="D1089" s="1" t="s">
        <v>20</v>
      </c>
      <c r="E1089" s="12">
        <f>F1089/12</f>
        <v>3.0760482500000002E-2</v>
      </c>
      <c r="F1089" s="12">
        <f>Systems!L67</f>
        <v>0.36912579000000001</v>
      </c>
      <c r="G1089" s="1" t="s">
        <v>23</v>
      </c>
      <c r="H1089" s="1" t="s">
        <v>35</v>
      </c>
    </row>
    <row r="1090" spans="1:8">
      <c r="A1090" s="1" t="s">
        <v>4560</v>
      </c>
      <c r="B1090" s="1" t="s">
        <v>26</v>
      </c>
      <c r="C1090" s="1" t="s">
        <v>17</v>
      </c>
      <c r="D1090" s="1" t="s">
        <v>20</v>
      </c>
      <c r="E1090" s="12">
        <f>F1090/10</f>
        <v>0.1</v>
      </c>
      <c r="F1090" s="12">
        <f>SI!E2</f>
        <v>1</v>
      </c>
      <c r="G1090" s="1" t="s">
        <v>23</v>
      </c>
      <c r="H1090" s="1" t="s">
        <v>35</v>
      </c>
    </row>
    <row r="1091" spans="1:8">
      <c r="A1091" s="1" t="s">
        <v>1019</v>
      </c>
      <c r="B1091" s="1" t="s">
        <v>26</v>
      </c>
      <c r="C1091" s="1" t="s">
        <v>17</v>
      </c>
      <c r="D1091" s="1" t="s">
        <v>20</v>
      </c>
      <c r="E1091" s="12">
        <f>F1091</f>
        <v>0.49216771999999998</v>
      </c>
      <c r="F1091" s="12">
        <f>Systems!L66</f>
        <v>0.49216771999999998</v>
      </c>
      <c r="G1091" s="1" t="s">
        <v>23</v>
      </c>
      <c r="H1091" s="1" t="s">
        <v>35</v>
      </c>
    </row>
    <row r="1092" spans="1:8">
      <c r="A1092" s="1" t="s">
        <v>4561</v>
      </c>
      <c r="B1092" s="1" t="s">
        <v>26</v>
      </c>
      <c r="C1092" s="1" t="s">
        <v>17</v>
      </c>
      <c r="D1092" s="1" t="s">
        <v>20</v>
      </c>
      <c r="E1092" s="12">
        <f>F1092</f>
        <v>0.49409032000000003</v>
      </c>
      <c r="F1092" s="12">
        <f>Systems!L65</f>
        <v>0.49409032000000003</v>
      </c>
      <c r="G1092" s="1" t="s">
        <v>23</v>
      </c>
      <c r="H1092" s="1" t="s">
        <v>35</v>
      </c>
    </row>
    <row r="1093" spans="1:8">
      <c r="A1093" s="1" t="s">
        <v>4562</v>
      </c>
      <c r="B1093" s="1" t="s">
        <v>26</v>
      </c>
      <c r="C1093" s="1" t="s">
        <v>17</v>
      </c>
      <c r="D1093" s="1" t="s">
        <v>20</v>
      </c>
      <c r="E1093" s="12">
        <f>F1093</f>
        <v>0.36912579000000001</v>
      </c>
      <c r="F1093" s="12">
        <f>Systems!L67</f>
        <v>0.36912579000000001</v>
      </c>
      <c r="G1093" s="1" t="s">
        <v>23</v>
      </c>
      <c r="H1093" s="1" t="s">
        <v>35</v>
      </c>
    </row>
    <row r="1094" spans="1:8">
      <c r="A1094" s="1" t="s">
        <v>4563</v>
      </c>
      <c r="B1094" s="1" t="s">
        <v>26</v>
      </c>
      <c r="C1094" s="1" t="s">
        <v>17</v>
      </c>
      <c r="D1094" s="1" t="s">
        <v>20</v>
      </c>
      <c r="E1094" s="12">
        <f>F1094</f>
        <v>1</v>
      </c>
      <c r="F1094" s="12">
        <f>SI!E2</f>
        <v>1</v>
      </c>
      <c r="G1094" s="1" t="s">
        <v>23</v>
      </c>
      <c r="H1094" s="1" t="s">
        <v>35</v>
      </c>
    </row>
    <row r="1095" spans="1:8">
      <c r="A1095" s="1" t="s">
        <v>2443</v>
      </c>
      <c r="B1095" s="1" t="s">
        <v>26</v>
      </c>
      <c r="C1095" s="1" t="s">
        <v>17</v>
      </c>
      <c r="D1095" s="1" t="s">
        <v>20</v>
      </c>
      <c r="E1095" s="12">
        <f>4000*F1095</f>
        <v>1976.3612800000001</v>
      </c>
      <c r="F1095" s="12">
        <f>Systems!L65</f>
        <v>0.49409032000000003</v>
      </c>
      <c r="G1095" s="1" t="s">
        <v>23</v>
      </c>
      <c r="H1095" s="1" t="s">
        <v>35</v>
      </c>
    </row>
    <row r="1096" spans="1:8">
      <c r="A1096" s="1" t="s">
        <v>4564</v>
      </c>
      <c r="B1096" s="1" t="s">
        <v>26</v>
      </c>
      <c r="C1096" s="1" t="s">
        <v>17</v>
      </c>
      <c r="D1096" s="1" t="s">
        <v>20</v>
      </c>
      <c r="E1096" s="12">
        <f>F1096/288</f>
        <v>1.2816867708333333E-3</v>
      </c>
      <c r="F1096" s="12">
        <f>Systems!L67</f>
        <v>0.36912579000000001</v>
      </c>
      <c r="G1096" s="1" t="s">
        <v>23</v>
      </c>
      <c r="H1096" s="1" t="s">
        <v>35</v>
      </c>
    </row>
    <row r="1097" spans="1:8">
      <c r="A1097" s="1" t="s">
        <v>2744</v>
      </c>
      <c r="B1097" s="1" t="s">
        <v>26</v>
      </c>
      <c r="C1097" s="1" t="s">
        <v>17</v>
      </c>
      <c r="D1097" s="1" t="s">
        <v>20</v>
      </c>
      <c r="E1097" s="12">
        <f>F1097/16</f>
        <v>3.0760482499999998E-2</v>
      </c>
      <c r="F1097" s="12">
        <f>Systems!L66</f>
        <v>0.49216771999999998</v>
      </c>
      <c r="G1097" s="1" t="s">
        <v>23</v>
      </c>
      <c r="H1097" s="1" t="s">
        <v>35</v>
      </c>
    </row>
    <row r="1098" spans="1:8">
      <c r="A1098" s="1" t="s">
        <v>2773</v>
      </c>
      <c r="B1098" s="1" t="s">
        <v>26</v>
      </c>
      <c r="C1098" s="1" t="s">
        <v>17</v>
      </c>
      <c r="D1098" s="1" t="s">
        <v>20</v>
      </c>
      <c r="E1098" s="12">
        <f>F1098/1280</f>
        <v>3.8450603124999999E-4</v>
      </c>
      <c r="F1098" s="12">
        <f>Systems!L66</f>
        <v>0.49216771999999998</v>
      </c>
      <c r="G1098" s="1" t="s">
        <v>23</v>
      </c>
      <c r="H1098" s="1" t="s">
        <v>35</v>
      </c>
    </row>
    <row r="1099" spans="1:8">
      <c r="A1099" s="1" t="s">
        <v>4565</v>
      </c>
      <c r="B1099" s="1" t="s">
        <v>26</v>
      </c>
      <c r="C1099" s="1" t="s">
        <v>17</v>
      </c>
      <c r="D1099" s="1" t="s">
        <v>20</v>
      </c>
      <c r="E1099" s="12">
        <f>F1099/1000</f>
        <v>1E-3</v>
      </c>
      <c r="F1099" s="12">
        <f>SI!E2</f>
        <v>1</v>
      </c>
      <c r="G1099" s="1" t="s">
        <v>23</v>
      </c>
      <c r="H1099" s="1" t="s">
        <v>35</v>
      </c>
    </row>
    <row r="1100" spans="1:8">
      <c r="A1100" s="248"/>
      <c r="B1100" s="248"/>
      <c r="C1100" s="248"/>
      <c r="D1100" s="248"/>
      <c r="E1100" s="250"/>
      <c r="F1100" s="250"/>
      <c r="G1100" s="249"/>
      <c r="H1100" s="248"/>
    </row>
    <row r="1101" spans="1:8">
      <c r="A1101" s="1" t="s">
        <v>578</v>
      </c>
      <c r="B1101" s="1" t="s">
        <v>26</v>
      </c>
      <c r="C1101" s="1" t="s">
        <v>3033</v>
      </c>
      <c r="D1101" s="1" t="s">
        <v>19</v>
      </c>
      <c r="E1101" s="12">
        <f>F1101</f>
        <v>0.57799999999999996</v>
      </c>
      <c r="F1101" s="12">
        <f>Systems!D98</f>
        <v>0.57799999999999996</v>
      </c>
      <c r="G1101" s="1" t="s">
        <v>14</v>
      </c>
      <c r="H1101" s="1" t="s">
        <v>7423</v>
      </c>
    </row>
    <row r="1102" spans="1:8">
      <c r="A1102" s="248"/>
      <c r="B1102" s="248"/>
      <c r="C1102" s="248"/>
      <c r="D1102" s="248"/>
      <c r="E1102" s="250"/>
      <c r="F1102" s="250"/>
      <c r="G1102" s="248"/>
      <c r="H1102" s="248"/>
    </row>
    <row r="1103" spans="1:8">
      <c r="A1103" s="1" t="s">
        <v>1151</v>
      </c>
      <c r="B1103" s="1" t="s">
        <v>26</v>
      </c>
      <c r="C1103" s="1" t="s">
        <v>3033</v>
      </c>
      <c r="D1103" s="1" t="s">
        <v>19</v>
      </c>
      <c r="E1103" s="12">
        <f>F1103/6</f>
        <v>9.6666666666666665E-2</v>
      </c>
      <c r="F1103" s="12">
        <f>Systems!D69</f>
        <v>0.57999999999999996</v>
      </c>
      <c r="G1103" s="1" t="s">
        <v>14</v>
      </c>
      <c r="H1103" s="1" t="s">
        <v>64</v>
      </c>
    </row>
    <row r="1104" spans="1:8">
      <c r="A1104" s="1" t="s">
        <v>1241</v>
      </c>
      <c r="B1104" s="1" t="s">
        <v>26</v>
      </c>
      <c r="C1104" s="1" t="s">
        <v>3033</v>
      </c>
      <c r="D1104" s="1" t="s">
        <v>19</v>
      </c>
      <c r="E1104" s="12">
        <f>10000*F1104</f>
        <v>5235</v>
      </c>
      <c r="F1104" s="12">
        <f>Systems!D68</f>
        <v>0.52349999999999997</v>
      </c>
      <c r="G1104" s="1" t="s">
        <v>14</v>
      </c>
      <c r="H1104" s="1" t="s">
        <v>64</v>
      </c>
    </row>
    <row r="1105" spans="1:8">
      <c r="A1105" s="1" t="s">
        <v>4566</v>
      </c>
      <c r="B1105" s="1" t="s">
        <v>26</v>
      </c>
      <c r="C1105" s="1" t="s">
        <v>3033</v>
      </c>
      <c r="D1105" s="1" t="s">
        <v>19</v>
      </c>
      <c r="E1105" s="12">
        <f>20000*F1105</f>
        <v>10470</v>
      </c>
      <c r="F1105" s="12">
        <f>Systems!D68</f>
        <v>0.52349999999999997</v>
      </c>
      <c r="G1105" s="1" t="s">
        <v>14</v>
      </c>
      <c r="H1105" s="1" t="s">
        <v>64</v>
      </c>
    </row>
    <row r="1106" spans="1:8">
      <c r="A1106" s="1" t="s">
        <v>1351</v>
      </c>
      <c r="B1106" s="1" t="s">
        <v>26</v>
      </c>
      <c r="C1106" s="1" t="s">
        <v>3033</v>
      </c>
      <c r="D1106" s="1" t="s">
        <v>19</v>
      </c>
      <c r="E1106" s="12">
        <f>70*F1106/9</f>
        <v>4.0716666666666663</v>
      </c>
      <c r="F1106" s="12">
        <f>Systems!D68</f>
        <v>0.52349999999999997</v>
      </c>
      <c r="G1106" s="1" t="s">
        <v>14</v>
      </c>
      <c r="H1106" s="1" t="s">
        <v>64</v>
      </c>
    </row>
    <row r="1107" spans="1:8">
      <c r="A1107" s="1" t="s">
        <v>1413</v>
      </c>
      <c r="B1107" s="1" t="s">
        <v>26</v>
      </c>
      <c r="C1107" s="1" t="s">
        <v>3033</v>
      </c>
      <c r="D1107" s="1" t="s">
        <v>19</v>
      </c>
      <c r="E1107" s="12">
        <f>F1107/6</f>
        <v>8.7249999999999994E-2</v>
      </c>
      <c r="F1107" s="12">
        <f>Systems!D68</f>
        <v>0.52349999999999997</v>
      </c>
      <c r="G1107" s="1" t="s">
        <v>14</v>
      </c>
      <c r="H1107" s="1" t="s">
        <v>64</v>
      </c>
    </row>
    <row r="1108" spans="1:8">
      <c r="A1108" s="1" t="s">
        <v>1508</v>
      </c>
      <c r="B1108" s="1" t="s">
        <v>26</v>
      </c>
      <c r="C1108" s="1" t="s">
        <v>3033</v>
      </c>
      <c r="D1108" s="1" t="s">
        <v>19</v>
      </c>
      <c r="E1108" s="12">
        <f>F1108</f>
        <v>0.44957999999999998</v>
      </c>
      <c r="F1108" s="12">
        <f>Systems!D70</f>
        <v>0.44957999999999998</v>
      </c>
      <c r="G1108" s="1" t="s">
        <v>14</v>
      </c>
      <c r="H1108" s="1" t="s">
        <v>64</v>
      </c>
    </row>
    <row r="1109" spans="1:8">
      <c r="A1109" s="1" t="s">
        <v>4567</v>
      </c>
      <c r="B1109" s="1" t="s">
        <v>26</v>
      </c>
      <c r="C1109" s="1" t="s">
        <v>3033</v>
      </c>
      <c r="D1109" s="1" t="s">
        <v>19</v>
      </c>
      <c r="E1109" s="12">
        <f>F1109</f>
        <v>0.52349999999999997</v>
      </c>
      <c r="F1109" s="12">
        <f>Systems!D68</f>
        <v>0.52349999999999997</v>
      </c>
      <c r="G1109" s="1" t="s">
        <v>14</v>
      </c>
      <c r="H1109" s="1" t="s">
        <v>64</v>
      </c>
    </row>
    <row r="1110" spans="1:8">
      <c r="A1110" s="1" t="s">
        <v>1523</v>
      </c>
      <c r="B1110" s="1" t="s">
        <v>26</v>
      </c>
      <c r="C1110" s="1" t="s">
        <v>3033</v>
      </c>
      <c r="D1110" s="1" t="s">
        <v>19</v>
      </c>
      <c r="E1110" s="12">
        <f>F1110/3</f>
        <v>0.17449999999999999</v>
      </c>
      <c r="F1110" s="12">
        <f>Systems!D68</f>
        <v>0.52349999999999997</v>
      </c>
      <c r="G1110" s="1" t="s">
        <v>14</v>
      </c>
      <c r="H1110" s="1" t="s">
        <v>64</v>
      </c>
    </row>
    <row r="1111" spans="1:8">
      <c r="A1111" s="1" t="s">
        <v>1526</v>
      </c>
      <c r="B1111" s="1" t="s">
        <v>26</v>
      </c>
      <c r="C1111" s="1" t="s">
        <v>3033</v>
      </c>
      <c r="D1111" s="1" t="s">
        <v>19</v>
      </c>
      <c r="E1111" s="12">
        <f>F1111/48</f>
        <v>1.0906249999999999E-2</v>
      </c>
      <c r="F1111" s="12">
        <f>Systems!D68</f>
        <v>0.52349999999999997</v>
      </c>
      <c r="G1111" s="1" t="s">
        <v>14</v>
      </c>
      <c r="H1111" s="1" t="s">
        <v>64</v>
      </c>
    </row>
    <row r="1112" spans="1:8">
      <c r="A1112" s="1" t="s">
        <v>892</v>
      </c>
      <c r="B1112" s="1" t="s">
        <v>26</v>
      </c>
      <c r="C1112" s="1" t="s">
        <v>3033</v>
      </c>
      <c r="D1112" s="1" t="s">
        <v>19</v>
      </c>
      <c r="E1112" s="12">
        <f>F1112</f>
        <v>0.57999999999999996</v>
      </c>
      <c r="F1112" s="12">
        <f>Systems!D69</f>
        <v>0.57999999999999996</v>
      </c>
      <c r="G1112" s="1" t="s">
        <v>14</v>
      </c>
      <c r="H1112" s="1" t="s">
        <v>64</v>
      </c>
    </row>
    <row r="1113" spans="1:8">
      <c r="A1113" s="1" t="s">
        <v>4568</v>
      </c>
      <c r="B1113" s="1" t="s">
        <v>26</v>
      </c>
      <c r="C1113" s="1" t="s">
        <v>3033</v>
      </c>
      <c r="D1113" s="1" t="s">
        <v>19</v>
      </c>
      <c r="E1113" s="12">
        <f>F1113</f>
        <v>0.74034079990231527</v>
      </c>
      <c r="F1113" s="12">
        <f>Systems!D68*SQRT(2)</f>
        <v>0.74034079990231527</v>
      </c>
      <c r="G1113" s="1" t="s">
        <v>14</v>
      </c>
      <c r="H1113" s="1" t="s">
        <v>64</v>
      </c>
    </row>
    <row r="1114" spans="1:8">
      <c r="A1114" s="1" t="s">
        <v>902</v>
      </c>
      <c r="B1114" s="1" t="s">
        <v>26</v>
      </c>
      <c r="C1114" s="1" t="s">
        <v>3033</v>
      </c>
      <c r="D1114" s="1" t="s">
        <v>19</v>
      </c>
      <c r="E1114" s="12">
        <f>3000*F1114</f>
        <v>1739.9999999999998</v>
      </c>
      <c r="F1114" s="12">
        <f>Systems!D69</f>
        <v>0.57999999999999996</v>
      </c>
      <c r="G1114" s="1" t="s">
        <v>14</v>
      </c>
      <c r="H1114" s="1" t="s">
        <v>64</v>
      </c>
    </row>
    <row r="1115" spans="1:8">
      <c r="A1115" s="1" t="s">
        <v>1238</v>
      </c>
      <c r="B1115" s="1" t="s">
        <v>26</v>
      </c>
      <c r="C1115" s="1" t="s">
        <v>3033</v>
      </c>
      <c r="D1115" s="1" t="s">
        <v>19</v>
      </c>
      <c r="E1115" s="12">
        <f>F1115/24</f>
        <v>2.1812499999999999E-2</v>
      </c>
      <c r="F1115" s="12">
        <f>Systems!D68</f>
        <v>0.52349999999999997</v>
      </c>
      <c r="G1115" s="1" t="s">
        <v>14</v>
      </c>
      <c r="H1115" s="1" t="s">
        <v>64</v>
      </c>
    </row>
    <row r="1116" spans="1:8">
      <c r="A1116" s="1" t="s">
        <v>200</v>
      </c>
      <c r="B1116" s="1" t="s">
        <v>6949</v>
      </c>
      <c r="C1116" s="1" t="s">
        <v>3033</v>
      </c>
      <c r="D1116" s="1" t="s">
        <v>19</v>
      </c>
      <c r="E1116" s="12">
        <f>2*F1116/3</f>
        <v>0.34899999999999998</v>
      </c>
      <c r="F1116" s="12">
        <f>Systems!D68</f>
        <v>0.52349999999999997</v>
      </c>
      <c r="G1116" s="1" t="s">
        <v>14</v>
      </c>
      <c r="H1116" s="1" t="s">
        <v>64</v>
      </c>
    </row>
    <row r="1117" spans="1:8">
      <c r="A1117" s="1" t="s">
        <v>1658</v>
      </c>
      <c r="B1117" s="1" t="s">
        <v>26</v>
      </c>
      <c r="C1117" s="1" t="s">
        <v>3033</v>
      </c>
      <c r="D1117" s="1" t="s">
        <v>19</v>
      </c>
      <c r="E1117" s="12">
        <f>4*F1117</f>
        <v>2.3199999999999998</v>
      </c>
      <c r="F1117" s="12">
        <f>Systems!D69</f>
        <v>0.57999999999999996</v>
      </c>
      <c r="G1117" s="1" t="s">
        <v>14</v>
      </c>
      <c r="H1117" s="1" t="s">
        <v>64</v>
      </c>
    </row>
    <row r="1118" spans="1:8">
      <c r="A1118" s="1" t="s">
        <v>1790</v>
      </c>
      <c r="B1118" s="1" t="s">
        <v>26</v>
      </c>
      <c r="C1118" s="1" t="s">
        <v>3033</v>
      </c>
      <c r="D1118" s="1" t="s">
        <v>19</v>
      </c>
      <c r="E1118" s="12">
        <f>F1118/2</f>
        <v>0.28999999999999998</v>
      </c>
      <c r="F1118" s="12">
        <f>Systems!D69</f>
        <v>0.57999999999999996</v>
      </c>
      <c r="G1118" s="1" t="s">
        <v>14</v>
      </c>
      <c r="H1118" s="1" t="s">
        <v>64</v>
      </c>
    </row>
    <row r="1119" spans="1:8">
      <c r="A1119" s="1" t="s">
        <v>1815</v>
      </c>
      <c r="B1119" s="1" t="s">
        <v>26</v>
      </c>
      <c r="C1119" s="1" t="s">
        <v>3033</v>
      </c>
      <c r="D1119" s="1" t="s">
        <v>19</v>
      </c>
      <c r="E1119" s="12">
        <f>6*F1119</f>
        <v>3.4799999999999995</v>
      </c>
      <c r="F1119" s="12">
        <f>Systems!D69</f>
        <v>0.57999999999999996</v>
      </c>
      <c r="G1119" s="1" t="s">
        <v>14</v>
      </c>
      <c r="H1119" s="1" t="s">
        <v>64</v>
      </c>
    </row>
    <row r="1120" spans="1:8">
      <c r="A1120" s="1" t="s">
        <v>1853</v>
      </c>
      <c r="B1120" s="1" t="s">
        <v>26</v>
      </c>
      <c r="C1120" s="1" t="s">
        <v>3033</v>
      </c>
      <c r="D1120" s="1" t="s">
        <v>19</v>
      </c>
      <c r="E1120" s="12">
        <f>F1120/24</f>
        <v>2.4166666666666666E-2</v>
      </c>
      <c r="F1120" s="12">
        <f>Systems!D69</f>
        <v>0.57999999999999996</v>
      </c>
      <c r="G1120" s="1" t="s">
        <v>14</v>
      </c>
      <c r="H1120" s="1" t="s">
        <v>64</v>
      </c>
    </row>
    <row r="1121" spans="1:8">
      <c r="A1121" s="1" t="s">
        <v>6922</v>
      </c>
      <c r="B1121" s="1" t="s">
        <v>26</v>
      </c>
      <c r="C1121" s="1" t="s">
        <v>3033</v>
      </c>
      <c r="D1121" s="1" t="s">
        <v>19</v>
      </c>
      <c r="E1121" s="12">
        <f>4*F1121/3</f>
        <v>0.69799999999999995</v>
      </c>
      <c r="F1121" s="12">
        <f>Systems!D68</f>
        <v>0.52349999999999997</v>
      </c>
      <c r="G1121" s="1" t="s">
        <v>14</v>
      </c>
      <c r="H1121" s="1" t="s">
        <v>64</v>
      </c>
    </row>
    <row r="1122" spans="1:8">
      <c r="A1122" s="1" t="s">
        <v>6923</v>
      </c>
      <c r="B1122" s="1" t="s">
        <v>26</v>
      </c>
      <c r="C1122" s="1" t="s">
        <v>3033</v>
      </c>
      <c r="D1122" s="1" t="s">
        <v>19</v>
      </c>
      <c r="E1122" s="12">
        <f>1000*F1122</f>
        <v>580</v>
      </c>
      <c r="F1122" s="12">
        <f>Systems!D69</f>
        <v>0.57999999999999996</v>
      </c>
      <c r="G1122" s="1" t="s">
        <v>14</v>
      </c>
      <c r="H1122" s="1" t="s">
        <v>64</v>
      </c>
    </row>
    <row r="1123" spans="1:8">
      <c r="A1123" s="1" t="s">
        <v>2072</v>
      </c>
      <c r="B1123" s="1" t="s">
        <v>26</v>
      </c>
      <c r="C1123" s="1" t="s">
        <v>3033</v>
      </c>
      <c r="D1123" s="1" t="s">
        <v>19</v>
      </c>
      <c r="E1123" s="12">
        <f>10000*F1123/3</f>
        <v>1745</v>
      </c>
      <c r="F1123" s="12">
        <f>Systems!D68</f>
        <v>0.52349999999999997</v>
      </c>
      <c r="G1123" s="1" t="s">
        <v>14</v>
      </c>
      <c r="H1123" s="1" t="s">
        <v>64</v>
      </c>
    </row>
    <row r="1124" spans="1:8">
      <c r="A1124" s="1" t="s">
        <v>2177</v>
      </c>
      <c r="B1124" s="1" t="s">
        <v>26</v>
      </c>
      <c r="C1124" s="1" t="s">
        <v>3033</v>
      </c>
      <c r="D1124" s="1" t="s">
        <v>19</v>
      </c>
      <c r="E1124" s="12">
        <f>4*F1124</f>
        <v>2.0939999999999999</v>
      </c>
      <c r="F1124" s="12">
        <f>Systems!D68</f>
        <v>0.52349999999999997</v>
      </c>
      <c r="G1124" s="1" t="s">
        <v>14</v>
      </c>
      <c r="H1124" s="1" t="s">
        <v>64</v>
      </c>
    </row>
    <row r="1125" spans="1:8">
      <c r="A1125" s="1" t="s">
        <v>4569</v>
      </c>
      <c r="B1125" s="1" t="s">
        <v>26</v>
      </c>
      <c r="C1125" s="1" t="s">
        <v>3033</v>
      </c>
      <c r="D1125" s="1" t="s">
        <v>19</v>
      </c>
      <c r="E1125" s="12">
        <f>F1125</f>
        <v>7.4857142860000003E-2</v>
      </c>
      <c r="F1125" s="12">
        <f>Systems!D71</f>
        <v>7.4857142860000003E-2</v>
      </c>
      <c r="G1125" s="1" t="s">
        <v>14</v>
      </c>
      <c r="H1125" s="1" t="s">
        <v>64</v>
      </c>
    </row>
    <row r="1126" spans="1:8">
      <c r="A1126" s="1" t="s">
        <v>2228</v>
      </c>
      <c r="B1126" s="1" t="s">
        <v>26</v>
      </c>
      <c r="C1126" s="1" t="s">
        <v>3033</v>
      </c>
      <c r="D1126" s="1" t="s">
        <v>19</v>
      </c>
      <c r="E1126" s="12">
        <f>40000*F1126/3</f>
        <v>6980</v>
      </c>
      <c r="F1126" s="12">
        <f>Systems!D68</f>
        <v>0.52349999999999997</v>
      </c>
      <c r="G1126" s="1" t="s">
        <v>14</v>
      </c>
      <c r="H1126" s="1" t="s">
        <v>64</v>
      </c>
    </row>
    <row r="1127" spans="1:8">
      <c r="A1127" s="1" t="s">
        <v>835</v>
      </c>
      <c r="B1127" s="1" t="s">
        <v>26</v>
      </c>
      <c r="C1127" s="1" t="s">
        <v>3033</v>
      </c>
      <c r="D1127" s="1" t="s">
        <v>19</v>
      </c>
      <c r="E1127" s="12">
        <f>F1127</f>
        <v>0.57999999999999996</v>
      </c>
      <c r="F1127" s="12">
        <f>Systems!D69</f>
        <v>0.57999999999999996</v>
      </c>
      <c r="G1127" s="1" t="s">
        <v>14</v>
      </c>
      <c r="H1127" s="1" t="s">
        <v>64</v>
      </c>
    </row>
    <row r="1128" spans="1:8">
      <c r="A1128" s="1" t="s">
        <v>2265</v>
      </c>
      <c r="B1128" s="1" t="s">
        <v>26</v>
      </c>
      <c r="C1128" s="1" t="s">
        <v>3033</v>
      </c>
      <c r="D1128" s="1" t="s">
        <v>19</v>
      </c>
      <c r="E1128" s="12">
        <f>5*F1128/6</f>
        <v>0.43624999999999997</v>
      </c>
      <c r="F1128" s="12">
        <f>Systems!D68</f>
        <v>0.52349999999999997</v>
      </c>
      <c r="G1128" s="1" t="s">
        <v>14</v>
      </c>
      <c r="H1128" s="1" t="s">
        <v>64</v>
      </c>
    </row>
    <row r="1129" spans="1:8">
      <c r="A1129" s="1" t="s">
        <v>2478</v>
      </c>
      <c r="B1129" s="1" t="s">
        <v>26</v>
      </c>
      <c r="C1129" s="1" t="s">
        <v>3033</v>
      </c>
      <c r="D1129" s="1" t="s">
        <v>19</v>
      </c>
      <c r="E1129" s="12">
        <f>100*F1129</f>
        <v>52.349999999999994</v>
      </c>
      <c r="F1129" s="12">
        <f>Systems!D68</f>
        <v>0.52349999999999997</v>
      </c>
      <c r="G1129" s="1" t="s">
        <v>14</v>
      </c>
      <c r="H1129" s="1" t="s">
        <v>64</v>
      </c>
    </row>
    <row r="1130" spans="1:8">
      <c r="A1130" s="1" t="s">
        <v>2507</v>
      </c>
      <c r="B1130" s="1" t="s">
        <v>26</v>
      </c>
      <c r="C1130" s="1" t="s">
        <v>3033</v>
      </c>
      <c r="D1130" s="1" t="s">
        <v>19</v>
      </c>
      <c r="E1130" s="12">
        <f>12000*F1130</f>
        <v>6282</v>
      </c>
      <c r="F1130" s="12">
        <f>Systems!D68</f>
        <v>0.52349999999999997</v>
      </c>
      <c r="G1130" s="1" t="s">
        <v>14</v>
      </c>
      <c r="H1130" s="1" t="s">
        <v>64</v>
      </c>
    </row>
    <row r="1131" spans="1:8">
      <c r="A1131" s="1" t="s">
        <v>2547</v>
      </c>
      <c r="B1131" s="1" t="s">
        <v>26</v>
      </c>
      <c r="C1131" s="1" t="s">
        <v>3033</v>
      </c>
      <c r="D1131" s="1" t="s">
        <v>19</v>
      </c>
      <c r="E1131" s="12">
        <f>F1131/2</f>
        <v>0.26174999999999998</v>
      </c>
      <c r="F1131" s="12">
        <f>Systems!D68</f>
        <v>0.52349999999999997</v>
      </c>
      <c r="G1131" s="1" t="s">
        <v>14</v>
      </c>
      <c r="H1131" s="1" t="s">
        <v>64</v>
      </c>
    </row>
    <row r="1132" spans="1:8">
      <c r="A1132" s="1" t="s">
        <v>2553</v>
      </c>
      <c r="B1132" s="1" t="s">
        <v>26</v>
      </c>
      <c r="C1132" s="1" t="s">
        <v>3033</v>
      </c>
      <c r="D1132" s="1" t="s">
        <v>19</v>
      </c>
      <c r="E1132" s="12">
        <f>400*F1132</f>
        <v>209.39999999999998</v>
      </c>
      <c r="F1132" s="12">
        <f>Systems!D68</f>
        <v>0.52349999999999997</v>
      </c>
      <c r="G1132" s="1" t="s">
        <v>14</v>
      </c>
      <c r="H1132" s="1" t="s">
        <v>64</v>
      </c>
    </row>
    <row r="1133" spans="1:8">
      <c r="A1133" s="1" t="s">
        <v>2647</v>
      </c>
      <c r="B1133" s="1" t="s">
        <v>26</v>
      </c>
      <c r="C1133" s="1" t="s">
        <v>3033</v>
      </c>
      <c r="D1133" s="1" t="s">
        <v>19</v>
      </c>
      <c r="E1133" s="12">
        <f>F1133/20</f>
        <v>2.6174999999999997E-2</v>
      </c>
      <c r="F1133" s="12">
        <f>Systems!D68</f>
        <v>0.52349999999999997</v>
      </c>
      <c r="G1133" s="1" t="s">
        <v>14</v>
      </c>
      <c r="H1133" s="1" t="s">
        <v>64</v>
      </c>
    </row>
    <row r="1134" spans="1:8">
      <c r="A1134" s="1" t="s">
        <v>2800</v>
      </c>
      <c r="B1134" s="1" t="s">
        <v>26</v>
      </c>
      <c r="C1134" s="1" t="s">
        <v>3033</v>
      </c>
      <c r="D1134" s="1" t="s">
        <v>19</v>
      </c>
      <c r="E1134" s="12">
        <f>3*F1134</f>
        <v>1.5705</v>
      </c>
      <c r="F1134" s="12">
        <f>Systems!D68</f>
        <v>0.52349999999999997</v>
      </c>
      <c r="G1134" s="1" t="s">
        <v>14</v>
      </c>
      <c r="H1134" s="1" t="s">
        <v>64</v>
      </c>
    </row>
    <row r="1135" spans="1:8">
      <c r="A1135" s="1" t="s">
        <v>800</v>
      </c>
      <c r="B1135" s="1" t="s">
        <v>26</v>
      </c>
      <c r="C1135" s="1" t="s">
        <v>3033</v>
      </c>
      <c r="D1135" s="1" t="s">
        <v>19</v>
      </c>
      <c r="E1135" s="12">
        <f>2*F1135/3</f>
        <v>0.34899999999999998</v>
      </c>
      <c r="F1135" s="12">
        <f>Systems!D68</f>
        <v>0.52349999999999997</v>
      </c>
      <c r="G1135" s="1" t="s">
        <v>14</v>
      </c>
      <c r="H1135" s="1" t="s">
        <v>64</v>
      </c>
    </row>
    <row r="1136" spans="1:8" ht="16.5">
      <c r="A1136" s="1" t="s">
        <v>1242</v>
      </c>
      <c r="B1136" s="1" t="s">
        <v>26</v>
      </c>
      <c r="C1136" s="1" t="s">
        <v>3034</v>
      </c>
      <c r="D1136" s="1" t="s">
        <v>38</v>
      </c>
      <c r="E1136" s="12">
        <f>100*F1136</f>
        <v>2740.5224999999996</v>
      </c>
      <c r="F1136" s="12">
        <f>100*Systems!D68*Systems!D68</f>
        <v>27.405224999999994</v>
      </c>
      <c r="G1136" s="1" t="s">
        <v>39</v>
      </c>
      <c r="H1136" s="1" t="s">
        <v>64</v>
      </c>
    </row>
    <row r="1137" spans="1:8" ht="16.5">
      <c r="A1137" s="1" t="s">
        <v>4570</v>
      </c>
      <c r="B1137" s="1" t="s">
        <v>26</v>
      </c>
      <c r="C1137" s="1" t="s">
        <v>3034</v>
      </c>
      <c r="D1137" s="1" t="s">
        <v>38</v>
      </c>
      <c r="E1137" s="12">
        <f>F1137</f>
        <v>4200.08</v>
      </c>
      <c r="F1137" s="12">
        <f>Systems!H69</f>
        <v>4200.08</v>
      </c>
      <c r="G1137" s="1" t="s">
        <v>39</v>
      </c>
      <c r="H1137" s="1" t="s">
        <v>64</v>
      </c>
    </row>
    <row r="1138" spans="1:8" ht="16.5">
      <c r="A1138" s="1" t="s">
        <v>4571</v>
      </c>
      <c r="B1138" s="1" t="s">
        <v>26</v>
      </c>
      <c r="C1138" s="1" t="s">
        <v>3034</v>
      </c>
      <c r="D1138" s="1" t="s">
        <v>38</v>
      </c>
      <c r="E1138" s="12">
        <f>F1138/24</f>
        <v>175.00333333333333</v>
      </c>
      <c r="F1138" s="12">
        <f>Systems!H69</f>
        <v>4200.08</v>
      </c>
      <c r="G1138" s="1" t="s">
        <v>39</v>
      </c>
      <c r="H1138" s="1" t="s">
        <v>64</v>
      </c>
    </row>
    <row r="1139" spans="1:8" ht="16.5">
      <c r="A1139" s="1" t="s">
        <v>796</v>
      </c>
      <c r="B1139" s="1" t="s">
        <v>26</v>
      </c>
      <c r="C1139" s="1" t="s">
        <v>3034</v>
      </c>
      <c r="D1139" s="1" t="s">
        <v>38</v>
      </c>
      <c r="E1139" s="12">
        <f>F1139</f>
        <v>27.405224999999994</v>
      </c>
      <c r="F1139" s="12">
        <f>Systems!H68</f>
        <v>27.405224999999994</v>
      </c>
      <c r="G1139" s="1" t="s">
        <v>39</v>
      </c>
      <c r="H1139" s="1" t="s">
        <v>64</v>
      </c>
    </row>
    <row r="1140" spans="1:8" ht="16.5">
      <c r="A1140" s="1" t="s">
        <v>2373</v>
      </c>
      <c r="B1140" s="1" t="s">
        <v>26</v>
      </c>
      <c r="C1140" s="1" t="s">
        <v>3034</v>
      </c>
      <c r="D1140" s="1" t="s">
        <v>38</v>
      </c>
      <c r="E1140" s="12">
        <f>50*F1140</f>
        <v>1370.2612499999998</v>
      </c>
      <c r="F1140" s="12">
        <f>Systems!H68</f>
        <v>27.405224999999994</v>
      </c>
      <c r="G1140" s="1" t="s">
        <v>39</v>
      </c>
      <c r="H1140" s="1" t="s">
        <v>64</v>
      </c>
    </row>
    <row r="1141" spans="1:8" ht="16.5">
      <c r="A1141" s="1" t="s">
        <v>2419</v>
      </c>
      <c r="B1141" s="1" t="s">
        <v>26</v>
      </c>
      <c r="C1141" s="1" t="s">
        <v>3034</v>
      </c>
      <c r="D1141" s="1" t="s">
        <v>38</v>
      </c>
      <c r="E1141" s="12">
        <f>F1141/576</f>
        <v>7.2918055555555554</v>
      </c>
      <c r="F1141" s="12">
        <f>Systems!H69</f>
        <v>4200.08</v>
      </c>
      <c r="G1141" s="1" t="s">
        <v>39</v>
      </c>
      <c r="H1141" s="1" t="s">
        <v>64</v>
      </c>
    </row>
    <row r="1142" spans="1:8" ht="16.5">
      <c r="A1142" s="1" t="s">
        <v>2488</v>
      </c>
      <c r="B1142" s="1" t="s">
        <v>26</v>
      </c>
      <c r="C1142" s="1" t="s">
        <v>3034</v>
      </c>
      <c r="D1142" s="1" t="s">
        <v>38</v>
      </c>
      <c r="E1142" s="12">
        <f>1000*F1142</f>
        <v>27405.224999999995</v>
      </c>
      <c r="F1142" s="12">
        <f>Systems!H68</f>
        <v>27.405224999999994</v>
      </c>
      <c r="G1142" s="1" t="s">
        <v>39</v>
      </c>
      <c r="H1142" s="1" t="s">
        <v>64</v>
      </c>
    </row>
    <row r="1143" spans="1:8" ht="16.5">
      <c r="A1143" s="1" t="s">
        <v>4395</v>
      </c>
      <c r="B1143" s="1" t="s">
        <v>26</v>
      </c>
      <c r="C1143" s="1" t="s">
        <v>3034</v>
      </c>
      <c r="D1143" s="1" t="s">
        <v>38</v>
      </c>
      <c r="E1143" s="12">
        <f>F1143/100</f>
        <v>0.27405224999999994</v>
      </c>
      <c r="F1143" s="12">
        <f>Systems!H68</f>
        <v>27.405224999999994</v>
      </c>
      <c r="G1143" s="1" t="s">
        <v>39</v>
      </c>
      <c r="H1143" s="1" t="s">
        <v>64</v>
      </c>
    </row>
    <row r="1144" spans="1:8" ht="16.5">
      <c r="A1144" s="1" t="s">
        <v>2588</v>
      </c>
      <c r="B1144" s="1" t="s">
        <v>26</v>
      </c>
      <c r="C1144" s="1" t="s">
        <v>3034</v>
      </c>
      <c r="D1144" s="1" t="s">
        <v>38</v>
      </c>
      <c r="E1144" s="12">
        <f>25*F1144/4</f>
        <v>171.28265624999997</v>
      </c>
      <c r="F1144" s="12">
        <f>Systems!H68</f>
        <v>27.405224999999994</v>
      </c>
      <c r="G1144" s="1" t="s">
        <v>39</v>
      </c>
      <c r="H1144" s="1" t="s">
        <v>64</v>
      </c>
    </row>
    <row r="1145" spans="1:8" ht="16.5">
      <c r="A1145" s="1" t="s">
        <v>2631</v>
      </c>
      <c r="B1145" s="1" t="s">
        <v>26</v>
      </c>
      <c r="C1145" s="1" t="s">
        <v>3034</v>
      </c>
      <c r="D1145" s="1" t="s">
        <v>38</v>
      </c>
      <c r="E1145" s="12">
        <f>10*F1145</f>
        <v>274.05224999999996</v>
      </c>
      <c r="F1145" s="12">
        <f>Systems!H68</f>
        <v>27.405224999999994</v>
      </c>
      <c r="G1145" s="1" t="s">
        <v>39</v>
      </c>
      <c r="H1145" s="1" t="s">
        <v>64</v>
      </c>
    </row>
    <row r="1146" spans="1:8" ht="16.5">
      <c r="A1146" s="1" t="s">
        <v>1219</v>
      </c>
      <c r="B1146" s="1" t="s">
        <v>26</v>
      </c>
      <c r="C1146" s="1" t="s">
        <v>2936</v>
      </c>
      <c r="D1146" s="1" t="s">
        <v>32</v>
      </c>
      <c r="E1146" s="12">
        <f>F1146/4</f>
        <v>8.5000000000000006E-3</v>
      </c>
      <c r="F1146" s="12">
        <f>Systems!T68</f>
        <v>3.4000000000000002E-2</v>
      </c>
      <c r="G1146" s="1" t="s">
        <v>33</v>
      </c>
      <c r="H1146" s="1" t="s">
        <v>64</v>
      </c>
    </row>
    <row r="1147" spans="1:8" ht="16.5">
      <c r="A1147" s="1" t="s">
        <v>1234</v>
      </c>
      <c r="B1147" s="1" t="s">
        <v>26</v>
      </c>
      <c r="C1147" s="1" t="s">
        <v>2936</v>
      </c>
      <c r="D1147" s="1" t="s">
        <v>32</v>
      </c>
      <c r="E1147" s="12">
        <f>3*F1147/2</f>
        <v>5.1000000000000004E-2</v>
      </c>
      <c r="F1147" s="12">
        <f>Systems!T68</f>
        <v>3.4000000000000002E-2</v>
      </c>
      <c r="G1147" s="1" t="s">
        <v>33</v>
      </c>
      <c r="H1147" s="1" t="s">
        <v>64</v>
      </c>
    </row>
    <row r="1148" spans="1:8" ht="16.5">
      <c r="A1148" s="1" t="s">
        <v>1728</v>
      </c>
      <c r="B1148" s="1" t="s">
        <v>26</v>
      </c>
      <c r="C1148" s="1" t="s">
        <v>2936</v>
      </c>
      <c r="D1148" s="1" t="s">
        <v>32</v>
      </c>
      <c r="E1148" s="12">
        <f>F1148/16</f>
        <v>2.1250000000000002E-3</v>
      </c>
      <c r="F1148" s="12">
        <f>Systems!T68</f>
        <v>3.4000000000000002E-2</v>
      </c>
      <c r="G1148" s="1" t="s">
        <v>33</v>
      </c>
      <c r="H1148" s="1" t="s">
        <v>64</v>
      </c>
    </row>
    <row r="1149" spans="1:8" ht="16.5">
      <c r="A1149" s="1" t="s">
        <v>1826</v>
      </c>
      <c r="B1149" s="1" t="s">
        <v>26</v>
      </c>
      <c r="C1149" s="1" t="s">
        <v>2936</v>
      </c>
      <c r="D1149" s="1" t="s">
        <v>32</v>
      </c>
      <c r="E1149" s="12">
        <f>F1149</f>
        <v>3.4000000000000002E-2</v>
      </c>
      <c r="F1149" s="12">
        <f>Systems!T68</f>
        <v>3.4000000000000002E-2</v>
      </c>
      <c r="G1149" s="1" t="s">
        <v>33</v>
      </c>
      <c r="H1149" s="1" t="s">
        <v>64</v>
      </c>
    </row>
    <row r="1150" spans="1:8" ht="16.5">
      <c r="A1150" s="1" t="s">
        <v>798</v>
      </c>
      <c r="B1150" s="1" t="s">
        <v>26</v>
      </c>
      <c r="C1150" s="1" t="s">
        <v>2936</v>
      </c>
      <c r="D1150" s="1" t="s">
        <v>32</v>
      </c>
      <c r="E1150" s="12">
        <f>F1150</f>
        <v>3.4000000000000002E-2</v>
      </c>
      <c r="F1150" s="12">
        <f>Systems!T68</f>
        <v>3.4000000000000002E-2</v>
      </c>
      <c r="G1150" s="1" t="s">
        <v>33</v>
      </c>
      <c r="H1150" s="1" t="s">
        <v>64</v>
      </c>
    </row>
    <row r="1151" spans="1:8" ht="16.5">
      <c r="A1151" s="1" t="s">
        <v>1949</v>
      </c>
      <c r="B1151" s="1" t="s">
        <v>26</v>
      </c>
      <c r="C1151" s="1" t="s">
        <v>2936</v>
      </c>
      <c r="D1151" s="1" t="s">
        <v>32</v>
      </c>
      <c r="E1151" s="12">
        <f>135*F1151/32</f>
        <v>0.14343750000000002</v>
      </c>
      <c r="F1151" s="12">
        <f>Systems!T68</f>
        <v>3.4000000000000002E-2</v>
      </c>
      <c r="G1151" s="1" t="s">
        <v>33</v>
      </c>
      <c r="H1151" s="1" t="s">
        <v>64</v>
      </c>
    </row>
    <row r="1152" spans="1:8" ht="16.5">
      <c r="A1152" s="1" t="s">
        <v>2006</v>
      </c>
      <c r="B1152" s="1" t="s">
        <v>26</v>
      </c>
      <c r="C1152" s="1" t="s">
        <v>2936</v>
      </c>
      <c r="D1152" s="1" t="s">
        <v>32</v>
      </c>
      <c r="E1152" s="12">
        <f>F1152/40</f>
        <v>8.5000000000000006E-4</v>
      </c>
      <c r="F1152" s="12">
        <f>Systems!T68</f>
        <v>3.4000000000000002E-2</v>
      </c>
      <c r="G1152" s="1" t="s">
        <v>33</v>
      </c>
      <c r="H1152" s="1" t="s">
        <v>64</v>
      </c>
    </row>
    <row r="1153" spans="1:8" ht="16.5">
      <c r="A1153" s="1" t="s">
        <v>7504</v>
      </c>
      <c r="B1153" s="1" t="s">
        <v>26</v>
      </c>
      <c r="C1153" s="1" t="s">
        <v>2936</v>
      </c>
      <c r="D1153" s="1" t="s">
        <v>32</v>
      </c>
      <c r="E1153" s="12">
        <f>5*F1153/4</f>
        <v>4.2500000000000003E-2</v>
      </c>
      <c r="F1153" s="12">
        <f>Systems!T68</f>
        <v>3.4000000000000002E-2</v>
      </c>
      <c r="G1153" s="1" t="s">
        <v>33</v>
      </c>
      <c r="H1153" s="1" t="s">
        <v>64</v>
      </c>
    </row>
    <row r="1154" spans="1:8" ht="16.5">
      <c r="A1154" s="1" t="s">
        <v>1998</v>
      </c>
      <c r="B1154" s="1" t="s">
        <v>26</v>
      </c>
      <c r="C1154" s="1" t="s">
        <v>2936</v>
      </c>
      <c r="D1154" s="1" t="s">
        <v>32</v>
      </c>
      <c r="E1154" s="12">
        <f>F1154/40</f>
        <v>8.5000000000000006E-4</v>
      </c>
      <c r="F1154" s="12">
        <f>Systems!T68</f>
        <v>3.4000000000000002E-2</v>
      </c>
      <c r="G1154" s="1" t="s">
        <v>33</v>
      </c>
      <c r="H1154" s="1" t="s">
        <v>64</v>
      </c>
    </row>
    <row r="1155" spans="1:8" ht="16.5">
      <c r="A1155" s="1" t="s">
        <v>2193</v>
      </c>
      <c r="B1155" s="1" t="s">
        <v>26</v>
      </c>
      <c r="C1155" s="1" t="s">
        <v>2936</v>
      </c>
      <c r="D1155" s="1" t="s">
        <v>32</v>
      </c>
      <c r="E1155" s="12">
        <f>F1155/160</f>
        <v>2.1250000000000002E-4</v>
      </c>
      <c r="F1155" s="12">
        <f>Systems!T68</f>
        <v>3.4000000000000002E-2</v>
      </c>
      <c r="G1155" s="1" t="s">
        <v>33</v>
      </c>
      <c r="H1155" s="1" t="s">
        <v>64</v>
      </c>
    </row>
    <row r="1156" spans="1:8" ht="16.5">
      <c r="A1156" s="1" t="s">
        <v>1224</v>
      </c>
      <c r="B1156" s="1" t="s">
        <v>26</v>
      </c>
      <c r="C1156" s="1" t="s">
        <v>2935</v>
      </c>
      <c r="D1156" s="1" t="s">
        <v>32</v>
      </c>
      <c r="E1156" s="12">
        <f>96*F1156</f>
        <v>0.19800000000000001</v>
      </c>
      <c r="F1156" s="12">
        <f>Systems!P69</f>
        <v>2.0625000000000001E-3</v>
      </c>
      <c r="G1156" s="1" t="s">
        <v>33</v>
      </c>
      <c r="H1156" s="1" t="s">
        <v>64</v>
      </c>
    </row>
    <row r="1157" spans="1:8" ht="16.5">
      <c r="A1157" s="1" t="s">
        <v>1485</v>
      </c>
      <c r="B1157" s="1" t="s">
        <v>26</v>
      </c>
      <c r="C1157" s="1" t="s">
        <v>2935</v>
      </c>
      <c r="D1157" s="1" t="s">
        <v>32</v>
      </c>
      <c r="E1157" s="12">
        <f>768*F1157</f>
        <v>1.5840000000000001</v>
      </c>
      <c r="F1157" s="12">
        <f>Systems!P69</f>
        <v>2.0625000000000001E-3</v>
      </c>
      <c r="G1157" s="1" t="s">
        <v>33</v>
      </c>
      <c r="H1157" s="1" t="s">
        <v>64</v>
      </c>
    </row>
    <row r="1158" spans="1:8" ht="16.5">
      <c r="A1158" s="1" t="s">
        <v>893</v>
      </c>
      <c r="B1158" s="1" t="s">
        <v>26</v>
      </c>
      <c r="C1158" s="1" t="s">
        <v>2935</v>
      </c>
      <c r="D1158" s="1" t="s">
        <v>32</v>
      </c>
      <c r="E1158" s="12">
        <f>F1158</f>
        <v>2.0625000000000001E-3</v>
      </c>
      <c r="F1158" s="12">
        <f>Systems!P69</f>
        <v>2.0625000000000001E-3</v>
      </c>
      <c r="G1158" s="1" t="s">
        <v>33</v>
      </c>
      <c r="H1158" s="1" t="s">
        <v>64</v>
      </c>
    </row>
    <row r="1159" spans="1:8" ht="16.5">
      <c r="A1159" s="1" t="s">
        <v>1821</v>
      </c>
      <c r="B1159" s="1" t="s">
        <v>26</v>
      </c>
      <c r="C1159" s="1" t="s">
        <v>2935</v>
      </c>
      <c r="D1159" s="1" t="s">
        <v>32</v>
      </c>
      <c r="E1159" s="12">
        <f>8*F1159</f>
        <v>1.6500000000000001E-2</v>
      </c>
      <c r="F1159" s="12">
        <f>Systems!P69</f>
        <v>2.0625000000000001E-3</v>
      </c>
      <c r="G1159" s="1" t="s">
        <v>33</v>
      </c>
      <c r="H1159" s="1" t="s">
        <v>64</v>
      </c>
    </row>
    <row r="1160" spans="1:8" ht="16.5">
      <c r="A1160" s="1" t="s">
        <v>1832</v>
      </c>
      <c r="B1160" s="1" t="s">
        <v>26</v>
      </c>
      <c r="C1160" s="1" t="s">
        <v>2935</v>
      </c>
      <c r="D1160" s="1" t="s">
        <v>32</v>
      </c>
      <c r="E1160" s="12">
        <f>F1160/16</f>
        <v>1.2890625000000001E-4</v>
      </c>
      <c r="F1160" s="12">
        <f>Systems!P69</f>
        <v>2.0625000000000001E-3</v>
      </c>
      <c r="G1160" s="1" t="s">
        <v>33</v>
      </c>
      <c r="H1160" s="1" t="s">
        <v>64</v>
      </c>
    </row>
    <row r="1161" spans="1:8" ht="16.5">
      <c r="A1161" s="1" t="s">
        <v>1853</v>
      </c>
      <c r="B1161" s="1" t="s">
        <v>26</v>
      </c>
      <c r="C1161" s="1" t="s">
        <v>2935</v>
      </c>
      <c r="D1161" s="1" t="s">
        <v>32</v>
      </c>
      <c r="E1161" s="12">
        <f>F1161/32</f>
        <v>6.4453125000000003E-5</v>
      </c>
      <c r="F1161" s="12">
        <f>Systems!P69</f>
        <v>2.0625000000000001E-3</v>
      </c>
      <c r="G1161" s="1" t="s">
        <v>33</v>
      </c>
      <c r="H1161" s="1" t="s">
        <v>64</v>
      </c>
    </row>
    <row r="1162" spans="1:8" ht="16.5">
      <c r="A1162" s="1" t="s">
        <v>2004</v>
      </c>
      <c r="B1162" s="1" t="s">
        <v>26</v>
      </c>
      <c r="C1162" s="1" t="s">
        <v>2935</v>
      </c>
      <c r="D1162" s="1" t="s">
        <v>32</v>
      </c>
      <c r="E1162" s="12">
        <f>2*F1162</f>
        <v>4.1250000000000002E-3</v>
      </c>
      <c r="F1162" s="12">
        <f>Systems!P69</f>
        <v>2.0625000000000001E-3</v>
      </c>
      <c r="G1162" s="1" t="s">
        <v>33</v>
      </c>
      <c r="H1162" s="1" t="s">
        <v>64</v>
      </c>
    </row>
    <row r="1163" spans="1:8" ht="16.5">
      <c r="A1163" s="1" t="s">
        <v>4572</v>
      </c>
      <c r="B1163" s="1" t="s">
        <v>26</v>
      </c>
      <c r="C1163" s="1" t="s">
        <v>2935</v>
      </c>
      <c r="D1163" s="1" t="s">
        <v>32</v>
      </c>
      <c r="E1163" s="12">
        <f>F1163/2</f>
        <v>1.03125E-3</v>
      </c>
      <c r="F1163" s="12">
        <f>Systems!P69</f>
        <v>2.0625000000000001E-3</v>
      </c>
      <c r="G1163" s="1" t="s">
        <v>33</v>
      </c>
      <c r="H1163" s="1" t="s">
        <v>64</v>
      </c>
    </row>
    <row r="1164" spans="1:8" ht="16.5">
      <c r="A1164" s="1" t="s">
        <v>2385</v>
      </c>
      <c r="B1164" s="1" t="s">
        <v>26</v>
      </c>
      <c r="C1164" s="1" t="s">
        <v>2935</v>
      </c>
      <c r="D1164" s="1" t="s">
        <v>32</v>
      </c>
      <c r="E1164" s="12">
        <f>4*F1164</f>
        <v>8.2500000000000004E-3</v>
      </c>
      <c r="F1164" s="12">
        <f>Systems!P69</f>
        <v>2.0625000000000001E-3</v>
      </c>
      <c r="G1164" s="1" t="s">
        <v>33</v>
      </c>
      <c r="H1164" s="1" t="s">
        <v>64</v>
      </c>
    </row>
    <row r="1165" spans="1:8" ht="16.5">
      <c r="A1165" s="1" t="s">
        <v>2386</v>
      </c>
      <c r="B1165" s="1" t="s">
        <v>26</v>
      </c>
      <c r="C1165" s="1" t="s">
        <v>2935</v>
      </c>
      <c r="D1165" s="1" t="s">
        <v>32</v>
      </c>
      <c r="E1165" s="12">
        <f>F1165/4</f>
        <v>5.1562500000000002E-4</v>
      </c>
      <c r="F1165" s="12">
        <f>Systems!P69</f>
        <v>2.0625000000000001E-3</v>
      </c>
      <c r="G1165" s="1" t="s">
        <v>33</v>
      </c>
      <c r="H1165" s="1" t="s">
        <v>64</v>
      </c>
    </row>
    <row r="1166" spans="1:8" ht="16.5">
      <c r="A1166" s="1" t="s">
        <v>2692</v>
      </c>
      <c r="B1166" s="1" t="s">
        <v>26</v>
      </c>
      <c r="C1166" s="1" t="s">
        <v>2935</v>
      </c>
      <c r="D1166" s="1" t="s">
        <v>32</v>
      </c>
      <c r="E1166" s="12">
        <f>F1166/8</f>
        <v>2.5781250000000001E-4</v>
      </c>
      <c r="F1166" s="12">
        <f>Systems!P69</f>
        <v>2.0625000000000001E-3</v>
      </c>
      <c r="G1166" s="1" t="s">
        <v>33</v>
      </c>
      <c r="H1166" s="1" t="s">
        <v>64</v>
      </c>
    </row>
    <row r="1167" spans="1:8">
      <c r="A1167" s="1" t="s">
        <v>797</v>
      </c>
      <c r="B1167" s="1" t="s">
        <v>26</v>
      </c>
      <c r="C1167" s="1" t="s">
        <v>17</v>
      </c>
      <c r="D1167" s="1" t="s">
        <v>20</v>
      </c>
      <c r="E1167" s="12">
        <f>F1167</f>
        <v>1.3650000000000001E-2</v>
      </c>
      <c r="F1167" s="12">
        <f>Systems!L68</f>
        <v>1.3650000000000001E-2</v>
      </c>
      <c r="G1167" s="1" t="s">
        <v>23</v>
      </c>
      <c r="H1167" s="1" t="s">
        <v>64</v>
      </c>
    </row>
    <row r="1168" spans="1:8">
      <c r="A1168" s="1" t="s">
        <v>1533</v>
      </c>
      <c r="B1168" s="1" t="s">
        <v>26</v>
      </c>
      <c r="C1168" s="1" t="s">
        <v>17</v>
      </c>
      <c r="D1168" s="1" t="s">
        <v>20</v>
      </c>
      <c r="E1168" s="12">
        <f>9*F1168/400</f>
        <v>2.8079999999999997E-2</v>
      </c>
      <c r="F1168" s="12">
        <f>Systems!L69</f>
        <v>1.248</v>
      </c>
      <c r="G1168" s="1" t="s">
        <v>23</v>
      </c>
      <c r="H1168" s="1" t="s">
        <v>64</v>
      </c>
    </row>
    <row r="1169" spans="1:8">
      <c r="A1169" s="1" t="s">
        <v>1667</v>
      </c>
      <c r="B1169" s="1" t="s">
        <v>26</v>
      </c>
      <c r="C1169" s="1" t="s">
        <v>17</v>
      </c>
      <c r="D1169" s="1" t="s">
        <v>20</v>
      </c>
      <c r="E1169" s="12">
        <f>F1169/20</f>
        <v>6.8250000000000006E-4</v>
      </c>
      <c r="F1169" s="12">
        <f>Systems!L68</f>
        <v>1.3650000000000001E-2</v>
      </c>
      <c r="G1169" s="1" t="s">
        <v>23</v>
      </c>
      <c r="H1169" s="1" t="s">
        <v>64</v>
      </c>
    </row>
    <row r="1170" spans="1:8">
      <c r="A1170" s="1" t="s">
        <v>1538</v>
      </c>
      <c r="B1170" s="1" t="s">
        <v>26</v>
      </c>
      <c r="C1170" s="1" t="s">
        <v>17</v>
      </c>
      <c r="D1170" s="1" t="s">
        <v>20</v>
      </c>
      <c r="E1170" s="12">
        <f>F1170/15</f>
        <v>9.1E-4</v>
      </c>
      <c r="F1170" s="12">
        <f>Systems!L68</f>
        <v>1.3650000000000001E-2</v>
      </c>
      <c r="G1170" s="1" t="s">
        <v>23</v>
      </c>
      <c r="H1170" s="1" t="s">
        <v>64</v>
      </c>
    </row>
    <row r="1171" spans="1:8">
      <c r="A1171" s="1" t="s">
        <v>1733</v>
      </c>
      <c r="B1171" s="1" t="s">
        <v>26</v>
      </c>
      <c r="C1171" s="1" t="s">
        <v>17</v>
      </c>
      <c r="D1171" s="1" t="s">
        <v>20</v>
      </c>
      <c r="E1171" s="12">
        <f>200*F1171</f>
        <v>249.6</v>
      </c>
      <c r="F1171" s="12">
        <f>Systems!L69</f>
        <v>1.248</v>
      </c>
      <c r="G1171" s="1" t="s">
        <v>23</v>
      </c>
      <c r="H1171" s="1" t="s">
        <v>64</v>
      </c>
    </row>
    <row r="1172" spans="1:8">
      <c r="A1172" s="1" t="s">
        <v>1805</v>
      </c>
      <c r="B1172" s="1" t="s">
        <v>26</v>
      </c>
      <c r="C1172" s="1" t="s">
        <v>17</v>
      </c>
      <c r="D1172" s="1" t="s">
        <v>20</v>
      </c>
      <c r="E1172" s="12">
        <f>36*F1172</f>
        <v>44.927999999999997</v>
      </c>
      <c r="F1172" s="12">
        <f>Systems!L69</f>
        <v>1.248</v>
      </c>
      <c r="G1172" s="1" t="s">
        <v>23</v>
      </c>
      <c r="H1172" s="1" t="s">
        <v>64</v>
      </c>
    </row>
    <row r="1173" spans="1:8">
      <c r="A1173" s="1" t="s">
        <v>1818</v>
      </c>
      <c r="B1173" s="1" t="s">
        <v>26</v>
      </c>
      <c r="C1173" s="1" t="s">
        <v>17</v>
      </c>
      <c r="D1173" s="1" t="s">
        <v>20</v>
      </c>
      <c r="E1173" s="12">
        <f>10*F1173</f>
        <v>0.13650000000000001</v>
      </c>
      <c r="F1173" s="12">
        <f>Systems!L68</f>
        <v>1.3650000000000001E-2</v>
      </c>
      <c r="G1173" s="1" t="s">
        <v>23</v>
      </c>
      <c r="H1173" s="1" t="s">
        <v>64</v>
      </c>
    </row>
    <row r="1174" spans="1:8">
      <c r="A1174" s="1" t="s">
        <v>1839</v>
      </c>
      <c r="B1174" s="1" t="s">
        <v>26</v>
      </c>
      <c r="C1174" s="1" t="s">
        <v>17</v>
      </c>
      <c r="D1174" s="1" t="s">
        <v>20</v>
      </c>
      <c r="E1174" s="12">
        <f>3000*F1174</f>
        <v>40.950000000000003</v>
      </c>
      <c r="F1174" s="12">
        <f>Systems!L68</f>
        <v>1.3650000000000001E-2</v>
      </c>
      <c r="G1174" s="1" t="s">
        <v>23</v>
      </c>
      <c r="H1174" s="1" t="s">
        <v>64</v>
      </c>
    </row>
    <row r="1175" spans="1:8">
      <c r="A1175" s="1" t="s">
        <v>1853</v>
      </c>
      <c r="B1175" s="1" t="s">
        <v>26</v>
      </c>
      <c r="C1175" s="1" t="s">
        <v>17</v>
      </c>
      <c r="D1175" s="1" t="s">
        <v>20</v>
      </c>
      <c r="E1175" s="12">
        <f>9*F1175/6400</f>
        <v>1.7549999999999998E-3</v>
      </c>
      <c r="F1175" s="12">
        <f>Systems!L69</f>
        <v>1.248</v>
      </c>
      <c r="G1175" s="1" t="s">
        <v>23</v>
      </c>
      <c r="H1175" s="1" t="s">
        <v>64</v>
      </c>
    </row>
    <row r="1176" spans="1:8">
      <c r="A1176" s="1" t="s">
        <v>1999</v>
      </c>
      <c r="B1176" s="1" t="s">
        <v>26</v>
      </c>
      <c r="C1176" s="1" t="s">
        <v>17</v>
      </c>
      <c r="D1176" s="1" t="s">
        <v>20</v>
      </c>
      <c r="E1176" s="12">
        <f>F1176/40</f>
        <v>8.5000000000000006E-4</v>
      </c>
      <c r="F1176" s="12">
        <f>Systems!T68</f>
        <v>3.4000000000000002E-2</v>
      </c>
      <c r="G1176" s="1" t="s">
        <v>23</v>
      </c>
      <c r="H1176" s="1" t="s">
        <v>64</v>
      </c>
    </row>
    <row r="1177" spans="1:8">
      <c r="A1177" s="1" t="s">
        <v>1998</v>
      </c>
      <c r="B1177" s="1" t="s">
        <v>26</v>
      </c>
      <c r="C1177" s="1" t="s">
        <v>17</v>
      </c>
      <c r="D1177" s="1" t="s">
        <v>20</v>
      </c>
      <c r="E1177" s="12">
        <f>60*F1177</f>
        <v>0.81900000000000006</v>
      </c>
      <c r="F1177" s="12">
        <f>Systems!L68</f>
        <v>1.3650000000000001E-2</v>
      </c>
      <c r="G1177" s="1" t="s">
        <v>23</v>
      </c>
      <c r="H1177" s="1" t="s">
        <v>64</v>
      </c>
    </row>
    <row r="1178" spans="1:8">
      <c r="A1178" s="1" t="s">
        <v>2087</v>
      </c>
      <c r="B1178" s="1" t="s">
        <v>26</v>
      </c>
      <c r="C1178" s="1" t="s">
        <v>17</v>
      </c>
      <c r="D1178" s="1" t="s">
        <v>20</v>
      </c>
      <c r="E1178" s="12">
        <f>9*F1178/100</f>
        <v>0.11231999999999999</v>
      </c>
      <c r="F1178" s="12">
        <f>Systems!L69</f>
        <v>1.248</v>
      </c>
      <c r="G1178" s="1" t="s">
        <v>23</v>
      </c>
      <c r="H1178" s="1" t="s">
        <v>64</v>
      </c>
    </row>
    <row r="1179" spans="1:8">
      <c r="A1179" s="1" t="s">
        <v>1666</v>
      </c>
      <c r="B1179" s="1" t="s">
        <v>26</v>
      </c>
      <c r="C1179" s="1" t="s">
        <v>17</v>
      </c>
      <c r="D1179" s="1" t="s">
        <v>20</v>
      </c>
      <c r="E1179" s="12">
        <f>F1179/20</f>
        <v>6.8250000000000006E-4</v>
      </c>
      <c r="F1179" s="12">
        <f>Systems!L68</f>
        <v>1.3650000000000001E-2</v>
      </c>
      <c r="G1179" s="1" t="s">
        <v>23</v>
      </c>
      <c r="H1179" s="1" t="s">
        <v>64</v>
      </c>
    </row>
    <row r="1180" spans="1:8">
      <c r="A1180" s="1" t="s">
        <v>837</v>
      </c>
      <c r="B1180" s="8" t="s">
        <v>26</v>
      </c>
      <c r="C1180" s="1" t="s">
        <v>17</v>
      </c>
      <c r="D1180" s="1" t="s">
        <v>20</v>
      </c>
      <c r="E1180" s="12">
        <v>1.248</v>
      </c>
      <c r="F1180" s="12">
        <f>Systems!L69</f>
        <v>1.248</v>
      </c>
      <c r="G1180" s="1" t="s">
        <v>23</v>
      </c>
      <c r="H1180" s="1" t="s">
        <v>64</v>
      </c>
    </row>
    <row r="1181" spans="1:8">
      <c r="A1181" s="1" t="s">
        <v>2164</v>
      </c>
      <c r="B1181" s="8" t="s">
        <v>26</v>
      </c>
      <c r="C1181" s="1" t="s">
        <v>17</v>
      </c>
      <c r="D1181" s="1" t="s">
        <v>20</v>
      </c>
      <c r="E1181" s="12">
        <f>27*F1181/100</f>
        <v>0.33695999999999998</v>
      </c>
      <c r="F1181" s="12">
        <f>Systems!L69</f>
        <v>1.248</v>
      </c>
      <c r="G1181" s="1" t="s">
        <v>23</v>
      </c>
      <c r="H1181" s="1" t="s">
        <v>64</v>
      </c>
    </row>
    <row r="1182" spans="1:8">
      <c r="A1182" s="1" t="s">
        <v>2396</v>
      </c>
      <c r="B1182" s="1" t="s">
        <v>26</v>
      </c>
      <c r="C1182" s="1" t="s">
        <v>17</v>
      </c>
      <c r="D1182" s="1" t="s">
        <v>20</v>
      </c>
      <c r="E1182" s="12">
        <f>9*F1182/25</f>
        <v>0.44927999999999996</v>
      </c>
      <c r="F1182" s="12">
        <f>Systems!L69</f>
        <v>1.248</v>
      </c>
      <c r="G1182" s="1" t="s">
        <v>23</v>
      </c>
      <c r="H1182" s="1" t="s">
        <v>64</v>
      </c>
    </row>
    <row r="1183" spans="1:8">
      <c r="A1183" s="1" t="s">
        <v>2479</v>
      </c>
      <c r="B1183" s="1" t="s">
        <v>26</v>
      </c>
      <c r="C1183" s="1" t="s">
        <v>17</v>
      </c>
      <c r="D1183" s="1" t="s">
        <v>20</v>
      </c>
      <c r="E1183" s="12">
        <f>F1183/10</f>
        <v>1.3650000000000001E-3</v>
      </c>
      <c r="F1183" s="12">
        <f>Systems!L68</f>
        <v>1.3650000000000001E-2</v>
      </c>
      <c r="G1183" s="1" t="s">
        <v>23</v>
      </c>
      <c r="H1183" s="1" t="s">
        <v>64</v>
      </c>
    </row>
    <row r="1184" spans="1:8">
      <c r="A1184" s="1" t="s">
        <v>2511</v>
      </c>
      <c r="B1184" s="1" t="s">
        <v>26</v>
      </c>
      <c r="C1184" s="1" t="s">
        <v>17</v>
      </c>
      <c r="D1184" s="1" t="s">
        <v>20</v>
      </c>
      <c r="E1184" s="12">
        <f>F1184</f>
        <v>1.3650000000000001E-2</v>
      </c>
      <c r="F1184" s="12">
        <f>Systems!L68</f>
        <v>1.3650000000000001E-2</v>
      </c>
      <c r="G1184" s="1" t="s">
        <v>23</v>
      </c>
      <c r="H1184" s="1" t="s">
        <v>64</v>
      </c>
    </row>
    <row r="1185" spans="1:8">
      <c r="A1185" s="1" t="s">
        <v>802</v>
      </c>
      <c r="B1185" s="1" t="s">
        <v>26</v>
      </c>
      <c r="C1185" s="1" t="s">
        <v>17</v>
      </c>
      <c r="D1185" s="1" t="s">
        <v>20</v>
      </c>
      <c r="E1185" s="12">
        <f>3000*F1185</f>
        <v>40.950000000000003</v>
      </c>
      <c r="F1185" s="12">
        <f>Systems!L68</f>
        <v>1.3650000000000001E-2</v>
      </c>
      <c r="G1185" s="1" t="s">
        <v>23</v>
      </c>
      <c r="H1185" s="1" t="s">
        <v>64</v>
      </c>
    </row>
    <row r="1186" spans="1:8">
      <c r="A1186" s="248"/>
      <c r="B1186" s="248"/>
      <c r="C1186" s="248"/>
      <c r="D1186" s="248"/>
      <c r="E1186" s="250"/>
      <c r="F1186" s="250"/>
      <c r="G1186" s="248"/>
      <c r="H1186" s="248"/>
    </row>
    <row r="1187" spans="1:8">
      <c r="A1187" s="1" t="s">
        <v>896</v>
      </c>
      <c r="B1187" s="1" t="s">
        <v>26</v>
      </c>
      <c r="C1187" s="1" t="s">
        <v>3033</v>
      </c>
      <c r="D1187" s="1" t="s">
        <v>19</v>
      </c>
      <c r="E1187" s="12">
        <f>F1187</f>
        <v>0.32</v>
      </c>
      <c r="F1187" s="12">
        <f>Systems!D72</f>
        <v>0.32</v>
      </c>
      <c r="G1187" s="1" t="s">
        <v>14</v>
      </c>
      <c r="H1187" s="1" t="s">
        <v>487</v>
      </c>
    </row>
    <row r="1188" spans="1:8">
      <c r="A1188" s="1" t="s">
        <v>1508</v>
      </c>
      <c r="B1188" s="1" t="s">
        <v>26</v>
      </c>
      <c r="C1188" s="1" t="s">
        <v>3033</v>
      </c>
      <c r="D1188" s="1" t="s">
        <v>19</v>
      </c>
      <c r="E1188" s="12">
        <f>23*F1188/16</f>
        <v>0.46</v>
      </c>
      <c r="F1188" s="12">
        <f>Systems!D72</f>
        <v>0.32</v>
      </c>
      <c r="G1188" s="1" t="s">
        <v>14</v>
      </c>
      <c r="H1188" s="1" t="s">
        <v>487</v>
      </c>
    </row>
    <row r="1189" spans="1:8">
      <c r="A1189" s="1" t="s">
        <v>1572</v>
      </c>
      <c r="B1189" s="1" t="s">
        <v>26</v>
      </c>
      <c r="C1189" s="1" t="s">
        <v>3033</v>
      </c>
      <c r="D1189" s="1" t="s">
        <v>19</v>
      </c>
      <c r="E1189" s="12">
        <f>23*F1189/16</f>
        <v>0.46</v>
      </c>
      <c r="F1189" s="12">
        <f>Systems!D72</f>
        <v>0.32</v>
      </c>
      <c r="G1189" s="1" t="s">
        <v>14</v>
      </c>
      <c r="H1189" s="1" t="s">
        <v>487</v>
      </c>
    </row>
    <row r="1190" spans="1:8" ht="16.5">
      <c r="A1190" s="1" t="s">
        <v>4573</v>
      </c>
      <c r="B1190" s="1" t="s">
        <v>26</v>
      </c>
      <c r="C1190" s="1" t="s">
        <v>3034</v>
      </c>
      <c r="D1190" s="1" t="s">
        <v>38</v>
      </c>
      <c r="E1190" s="12">
        <f>F1190</f>
        <v>0.1024</v>
      </c>
      <c r="F1190" s="12">
        <f>Systems!H72</f>
        <v>0.1024</v>
      </c>
      <c r="G1190" s="1" t="s">
        <v>39</v>
      </c>
      <c r="H1190" s="1" t="s">
        <v>487</v>
      </c>
    </row>
    <row r="1191" spans="1:8" ht="16.5">
      <c r="A1191" s="1" t="s">
        <v>4574</v>
      </c>
      <c r="B1191" s="1" t="s">
        <v>26</v>
      </c>
      <c r="C1191" s="1" t="s">
        <v>2936</v>
      </c>
      <c r="D1191" s="1" t="s">
        <v>32</v>
      </c>
      <c r="E1191" s="12">
        <f>F1191</f>
        <v>3.2768000000000005E-2</v>
      </c>
      <c r="F1191" s="12">
        <f>Systems!T72</f>
        <v>3.2768000000000005E-2</v>
      </c>
      <c r="G1191" s="1" t="s">
        <v>33</v>
      </c>
      <c r="H1191" s="1" t="s">
        <v>487</v>
      </c>
    </row>
    <row r="1192" spans="1:8" ht="16.5">
      <c r="A1192" s="1" t="s">
        <v>1330</v>
      </c>
      <c r="B1192" s="1" t="s">
        <v>26</v>
      </c>
      <c r="C1192" s="1" t="s">
        <v>2935</v>
      </c>
      <c r="D1192" s="1" t="s">
        <v>32</v>
      </c>
      <c r="E1192" s="12">
        <f>4*F1192</f>
        <v>6.0000000000000001E-3</v>
      </c>
      <c r="F1192" s="12">
        <f>Systems!P72</f>
        <v>1.5E-3</v>
      </c>
      <c r="G1192" s="1" t="s">
        <v>33</v>
      </c>
      <c r="H1192" s="1" t="s">
        <v>487</v>
      </c>
    </row>
    <row r="1193" spans="1:8" ht="16.5">
      <c r="A1193" s="1" t="s">
        <v>1578</v>
      </c>
      <c r="B1193" s="1" t="s">
        <v>26</v>
      </c>
      <c r="C1193" s="1" t="s">
        <v>2935</v>
      </c>
      <c r="D1193" s="1" t="s">
        <v>32</v>
      </c>
      <c r="E1193" s="12">
        <f>128*F1193</f>
        <v>0.192</v>
      </c>
      <c r="F1193" s="12">
        <f>Systems!P72</f>
        <v>1.5E-3</v>
      </c>
      <c r="G1193" s="1" t="s">
        <v>33</v>
      </c>
      <c r="H1193" s="1" t="s">
        <v>487</v>
      </c>
    </row>
    <row r="1194" spans="1:8" ht="16.5">
      <c r="A1194" s="1" t="s">
        <v>1676</v>
      </c>
      <c r="B1194" s="1" t="s">
        <v>26</v>
      </c>
      <c r="C1194" s="1" t="s">
        <v>2935</v>
      </c>
      <c r="D1194" s="1" t="s">
        <v>32</v>
      </c>
      <c r="E1194" s="12">
        <f>16*F1194</f>
        <v>2.4E-2</v>
      </c>
      <c r="F1194" s="12">
        <f>Systems!P72</f>
        <v>1.5E-3</v>
      </c>
      <c r="G1194" s="1" t="s">
        <v>33</v>
      </c>
      <c r="H1194" s="1" t="s">
        <v>487</v>
      </c>
    </row>
    <row r="1195" spans="1:8" ht="16.5">
      <c r="A1195" s="1" t="s">
        <v>897</v>
      </c>
      <c r="B1195" s="1" t="s">
        <v>26</v>
      </c>
      <c r="C1195" s="1" t="s">
        <v>2935</v>
      </c>
      <c r="D1195" s="1" t="s">
        <v>32</v>
      </c>
      <c r="E1195" s="12">
        <f>F1195</f>
        <v>1.5E-3</v>
      </c>
      <c r="F1195" s="12">
        <f>Systems!P72</f>
        <v>1.5E-3</v>
      </c>
      <c r="G1195" s="1" t="s">
        <v>33</v>
      </c>
      <c r="H1195" s="1" t="s">
        <v>487</v>
      </c>
    </row>
    <row r="1196" spans="1:8" ht="16.5">
      <c r="A1196" s="1" t="s">
        <v>2610</v>
      </c>
      <c r="B1196" s="1" t="s">
        <v>26</v>
      </c>
      <c r="C1196" s="1" t="s">
        <v>2935</v>
      </c>
      <c r="D1196" s="1" t="s">
        <v>32</v>
      </c>
      <c r="E1196" s="12">
        <f>12*F1196</f>
        <v>1.8000000000000002E-2</v>
      </c>
      <c r="F1196" s="12">
        <f>Systems!P72</f>
        <v>1.5E-3</v>
      </c>
      <c r="G1196" s="1" t="s">
        <v>33</v>
      </c>
      <c r="H1196" s="1" t="s">
        <v>487</v>
      </c>
    </row>
    <row r="1197" spans="1:8">
      <c r="A1197" s="1" t="s">
        <v>1682</v>
      </c>
      <c r="B1197" s="1" t="s">
        <v>26</v>
      </c>
      <c r="C1197" s="1" t="s">
        <v>17</v>
      </c>
      <c r="D1197" s="1" t="s">
        <v>20</v>
      </c>
      <c r="E1197" s="12">
        <f>364*F1197</f>
        <v>163.072</v>
      </c>
      <c r="F1197" s="12">
        <f>Systems!L72</f>
        <v>0.44800000000000001</v>
      </c>
      <c r="G1197" s="1" t="s">
        <v>23</v>
      </c>
      <c r="H1197" s="1" t="s">
        <v>487</v>
      </c>
    </row>
    <row r="1198" spans="1:8">
      <c r="A1198" s="1" t="s">
        <v>2163</v>
      </c>
      <c r="B1198" s="8" t="s">
        <v>26</v>
      </c>
      <c r="C1198" s="1" t="s">
        <v>17</v>
      </c>
      <c r="D1198" s="1" t="s">
        <v>20</v>
      </c>
      <c r="E1198" s="12">
        <f>F1198/16</f>
        <v>2.8000000000000001E-2</v>
      </c>
      <c r="F1198" s="12">
        <f>Systems!L72</f>
        <v>0.44800000000000001</v>
      </c>
      <c r="G1198" s="1" t="s">
        <v>23</v>
      </c>
      <c r="H1198" s="1" t="s">
        <v>487</v>
      </c>
    </row>
    <row r="1199" spans="1:8">
      <c r="A1199" s="1" t="s">
        <v>828</v>
      </c>
      <c r="B1199" s="1" t="s">
        <v>26</v>
      </c>
      <c r="C1199" s="1" t="s">
        <v>17</v>
      </c>
      <c r="D1199" s="1" t="s">
        <v>20</v>
      </c>
      <c r="E1199" s="12">
        <f>F1199</f>
        <v>0.44800000000000001</v>
      </c>
      <c r="F1199" s="12">
        <f>Systems!L72</f>
        <v>0.44800000000000001</v>
      </c>
      <c r="G1199" s="1" t="s">
        <v>23</v>
      </c>
      <c r="H1199" s="1" t="s">
        <v>487</v>
      </c>
    </row>
    <row r="1200" spans="1:8">
      <c r="A1200" s="248"/>
      <c r="B1200" s="248"/>
      <c r="C1200" s="248"/>
      <c r="D1200" s="248"/>
      <c r="E1200" s="250"/>
      <c r="F1200" s="250"/>
      <c r="G1200" s="248"/>
      <c r="H1200" s="248"/>
    </row>
    <row r="1201" spans="1:8">
      <c r="A1201" s="1" t="s">
        <v>871</v>
      </c>
      <c r="B1201" s="1" t="s">
        <v>26</v>
      </c>
      <c r="C1201" s="1" t="s">
        <v>3033</v>
      </c>
      <c r="D1201" s="1" t="s">
        <v>19</v>
      </c>
      <c r="E1201" s="12">
        <f>F1201</f>
        <v>30.711200000000002</v>
      </c>
      <c r="F1201" s="12">
        <f>Systems!D73</f>
        <v>30.711200000000002</v>
      </c>
      <c r="G1201" s="1" t="s">
        <v>14</v>
      </c>
      <c r="H1201" s="1" t="s">
        <v>455</v>
      </c>
    </row>
    <row r="1202" spans="1:8">
      <c r="A1202" s="1" t="s">
        <v>875</v>
      </c>
      <c r="B1202" s="1" t="s">
        <v>26</v>
      </c>
      <c r="C1202" s="1" t="s">
        <v>3033</v>
      </c>
      <c r="D1202" s="1" t="s">
        <v>19</v>
      </c>
      <c r="E1202" s="12">
        <f>9*F1202/28</f>
        <v>9.8714571428571425</v>
      </c>
      <c r="F1202" s="12">
        <f>Systems!D73</f>
        <v>30.711200000000002</v>
      </c>
      <c r="G1202" s="1" t="s">
        <v>14</v>
      </c>
      <c r="H1202" s="1" t="s">
        <v>455</v>
      </c>
    </row>
    <row r="1203" spans="1:8">
      <c r="A1203" s="1" t="s">
        <v>878</v>
      </c>
      <c r="B1203" s="1" t="s">
        <v>26</v>
      </c>
      <c r="C1203" s="1" t="s">
        <v>3033</v>
      </c>
      <c r="D1203" s="1" t="s">
        <v>19</v>
      </c>
      <c r="E1203" s="12">
        <f>3*F1203</f>
        <v>92.133600000000001</v>
      </c>
      <c r="F1203" s="12">
        <f>Systems!D73</f>
        <v>30.711200000000002</v>
      </c>
      <c r="G1203" s="1" t="s">
        <v>14</v>
      </c>
      <c r="H1203" s="1" t="s">
        <v>455</v>
      </c>
    </row>
    <row r="1204" spans="1:8">
      <c r="A1204" s="1" t="s">
        <v>879</v>
      </c>
      <c r="B1204" s="1" t="s">
        <v>26</v>
      </c>
      <c r="C1204" s="1" t="s">
        <v>3033</v>
      </c>
      <c r="D1204" s="1" t="s">
        <v>19</v>
      </c>
      <c r="E1204" s="12">
        <f>3*F1204/7</f>
        <v>13.161942857142858</v>
      </c>
      <c r="F1204" s="12">
        <f>Systems!D73</f>
        <v>30.711200000000002</v>
      </c>
      <c r="G1204" s="1" t="s">
        <v>14</v>
      </c>
      <c r="H1204" s="1" t="s">
        <v>455</v>
      </c>
    </row>
    <row r="1205" spans="1:8" ht="16.5">
      <c r="A1205" s="1" t="s">
        <v>4575</v>
      </c>
      <c r="B1205" s="1" t="s">
        <v>26</v>
      </c>
      <c r="C1205" s="1" t="s">
        <v>3034</v>
      </c>
      <c r="D1205" s="1" t="s">
        <v>38</v>
      </c>
      <c r="E1205" s="12">
        <f>2*F1205</f>
        <v>3710</v>
      </c>
      <c r="F1205" s="12">
        <f>Systems!H73</f>
        <v>1855</v>
      </c>
      <c r="G1205" s="1" t="s">
        <v>39</v>
      </c>
      <c r="H1205" s="1" t="s">
        <v>455</v>
      </c>
    </row>
    <row r="1206" spans="1:8" ht="16.5">
      <c r="A1206" s="1" t="s">
        <v>4576</v>
      </c>
      <c r="B1206" s="1" t="s">
        <v>26</v>
      </c>
      <c r="C1206" s="1" t="s">
        <v>3034</v>
      </c>
      <c r="D1206" s="1" t="s">
        <v>38</v>
      </c>
      <c r="E1206" s="12">
        <f>F1206</f>
        <v>1855</v>
      </c>
      <c r="F1206" s="12">
        <f>Systems!H73</f>
        <v>1855</v>
      </c>
      <c r="G1206" s="1" t="s">
        <v>39</v>
      </c>
      <c r="H1206" s="1" t="s">
        <v>455</v>
      </c>
    </row>
    <row r="1207" spans="1:8" ht="16.5">
      <c r="A1207" s="1" t="s">
        <v>2683</v>
      </c>
      <c r="B1207" s="1" t="s">
        <v>26</v>
      </c>
      <c r="C1207" s="1" t="s">
        <v>3034</v>
      </c>
      <c r="D1207" s="1" t="s">
        <v>38</v>
      </c>
      <c r="E1207" s="12">
        <f>F1207</f>
        <v>5462.7</v>
      </c>
      <c r="F1207" s="12">
        <f>Systems!H74</f>
        <v>5462.7</v>
      </c>
      <c r="G1207" s="1" t="s">
        <v>39</v>
      </c>
      <c r="H1207" s="1" t="s">
        <v>455</v>
      </c>
    </row>
    <row r="1208" spans="1:8" ht="16.5">
      <c r="A1208" s="1" t="s">
        <v>4577</v>
      </c>
      <c r="B1208" s="1" t="s">
        <v>26</v>
      </c>
      <c r="C1208" s="1" t="s">
        <v>3034</v>
      </c>
      <c r="D1208" s="1" t="s">
        <v>38</v>
      </c>
      <c r="E1208" s="12">
        <f>14*F1208/5</f>
        <v>5194</v>
      </c>
      <c r="F1208" s="12">
        <f>Systems!H73</f>
        <v>1855</v>
      </c>
      <c r="G1208" s="1" t="s">
        <v>39</v>
      </c>
      <c r="H1208" s="1" t="s">
        <v>455</v>
      </c>
    </row>
    <row r="1209" spans="1:8" ht="16.5">
      <c r="A1209" s="1" t="s">
        <v>4578</v>
      </c>
      <c r="B1209" s="1" t="s">
        <v>26</v>
      </c>
      <c r="C1209" s="1" t="s">
        <v>3034</v>
      </c>
      <c r="D1209" s="1" t="s">
        <v>38</v>
      </c>
      <c r="E1209" s="12">
        <f>F1209</f>
        <v>5462.7</v>
      </c>
      <c r="F1209" s="12">
        <f>Systems!H74</f>
        <v>5462.7</v>
      </c>
      <c r="G1209" s="1" t="s">
        <v>39</v>
      </c>
      <c r="H1209" s="1" t="s">
        <v>455</v>
      </c>
    </row>
    <row r="1210" spans="1:8" ht="16.5">
      <c r="A1210" s="1" t="s">
        <v>4579</v>
      </c>
      <c r="B1210" s="1" t="s">
        <v>26</v>
      </c>
      <c r="C1210" s="1" t="s">
        <v>2936</v>
      </c>
      <c r="D1210" s="1" t="s">
        <v>32</v>
      </c>
      <c r="E1210" s="12">
        <f>F1210</f>
        <v>961.93071689297949</v>
      </c>
      <c r="F1210" s="12">
        <f>Systems!T73</f>
        <v>961.93071689297949</v>
      </c>
      <c r="G1210" s="1" t="s">
        <v>33</v>
      </c>
      <c r="H1210" s="1" t="s">
        <v>455</v>
      </c>
    </row>
    <row r="1211" spans="1:8" ht="16.5">
      <c r="A1211" s="1" t="s">
        <v>2557</v>
      </c>
      <c r="B1211" s="1" t="s">
        <v>603</v>
      </c>
      <c r="C1211" s="1" t="s">
        <v>2936</v>
      </c>
      <c r="D1211" s="1" t="s">
        <v>32</v>
      </c>
      <c r="E1211" s="12">
        <f>165*F1211</f>
        <v>4.6722796876800006</v>
      </c>
      <c r="F1211" s="12">
        <f>POWER(Systems!D6,3)</f>
        <v>2.8316846592000004E-2</v>
      </c>
      <c r="G1211" s="1" t="s">
        <v>33</v>
      </c>
      <c r="H1211" s="1" t="s">
        <v>455</v>
      </c>
    </row>
    <row r="1212" spans="1:8" ht="16.5">
      <c r="A1212" s="1" t="s">
        <v>872</v>
      </c>
      <c r="B1212" s="1" t="s">
        <v>26</v>
      </c>
      <c r="C1212" s="1" t="s">
        <v>2935</v>
      </c>
      <c r="D1212" s="1" t="s">
        <v>32</v>
      </c>
      <c r="E1212" s="12">
        <f>F1212</f>
        <v>1.1480000000000001E-2</v>
      </c>
      <c r="F1212" s="12">
        <f>Systems!P73</f>
        <v>1.1480000000000001E-2</v>
      </c>
      <c r="G1212" s="1" t="s">
        <v>33</v>
      </c>
      <c r="H1212" s="1" t="s">
        <v>455</v>
      </c>
    </row>
    <row r="1213" spans="1:8" ht="16.5">
      <c r="A1213" s="1" t="s">
        <v>963</v>
      </c>
      <c r="B1213" s="1" t="s">
        <v>26</v>
      </c>
      <c r="C1213" s="1" t="s">
        <v>2935</v>
      </c>
      <c r="D1213" s="1" t="s">
        <v>32</v>
      </c>
      <c r="E1213" s="12">
        <f>F1213</f>
        <v>1.15016128E-2</v>
      </c>
      <c r="F1213" s="12">
        <f>Systems!P74</f>
        <v>1.15016128E-2</v>
      </c>
      <c r="G1213" s="1" t="s">
        <v>33</v>
      </c>
      <c r="H1213" s="1" t="s">
        <v>455</v>
      </c>
    </row>
    <row r="1214" spans="1:8" ht="16.5">
      <c r="A1214" s="1" t="s">
        <v>4580</v>
      </c>
      <c r="B1214" s="1" t="s">
        <v>26</v>
      </c>
      <c r="C1214" s="1" t="s">
        <v>2935</v>
      </c>
      <c r="D1214" s="1" t="s">
        <v>32</v>
      </c>
      <c r="E1214" s="12">
        <f>6*F1214</f>
        <v>6.8879999999999997E-2</v>
      </c>
      <c r="F1214" s="12">
        <f>Systems!P73</f>
        <v>1.1480000000000001E-2</v>
      </c>
      <c r="G1214" s="1" t="s">
        <v>33</v>
      </c>
      <c r="H1214" s="1" t="s">
        <v>455</v>
      </c>
    </row>
    <row r="1215" spans="1:8" ht="16.5">
      <c r="A1215" s="1" t="s">
        <v>4581</v>
      </c>
      <c r="B1215" s="1" t="s">
        <v>26</v>
      </c>
      <c r="C1215" s="1" t="s">
        <v>2935</v>
      </c>
      <c r="D1215" s="1" t="s">
        <v>32</v>
      </c>
      <c r="E1215" s="12">
        <f>3*F1215</f>
        <v>3.4439999999999998E-2</v>
      </c>
      <c r="F1215" s="12">
        <f>Systems!P73</f>
        <v>1.1480000000000001E-2</v>
      </c>
      <c r="G1215" s="1" t="s">
        <v>33</v>
      </c>
      <c r="H1215" s="1" t="s">
        <v>455</v>
      </c>
    </row>
    <row r="1216" spans="1:8" ht="16.5">
      <c r="A1216" s="1" t="s">
        <v>940</v>
      </c>
      <c r="B1216" s="1" t="s">
        <v>26</v>
      </c>
      <c r="C1216" s="1" t="s">
        <v>2935</v>
      </c>
      <c r="D1216" s="1" t="s">
        <v>32</v>
      </c>
      <c r="E1216" s="12">
        <f>12*F1216</f>
        <v>0.13775999999999999</v>
      </c>
      <c r="F1216" s="12">
        <f>Systems!P73</f>
        <v>1.1480000000000001E-2</v>
      </c>
      <c r="G1216" s="1" t="s">
        <v>33</v>
      </c>
      <c r="H1216" s="1" t="s">
        <v>455</v>
      </c>
    </row>
    <row r="1217" spans="1:8">
      <c r="A1217" s="1" t="s">
        <v>1376</v>
      </c>
      <c r="B1217" s="1" t="s">
        <v>26</v>
      </c>
      <c r="C1217" s="1" t="s">
        <v>17</v>
      </c>
      <c r="D1217" s="1" t="s">
        <v>20</v>
      </c>
      <c r="E1217" s="12">
        <f>120*F1217</f>
        <v>55.2</v>
      </c>
      <c r="F1217" s="12">
        <f>Systems!L73</f>
        <v>0.46</v>
      </c>
      <c r="G1217" s="1" t="s">
        <v>23</v>
      </c>
      <c r="H1217" s="1" t="s">
        <v>455</v>
      </c>
    </row>
    <row r="1218" spans="1:8">
      <c r="A1218" s="1" t="s">
        <v>1957</v>
      </c>
      <c r="B1218" s="1" t="s">
        <v>26</v>
      </c>
      <c r="C1218" s="1" t="s">
        <v>17</v>
      </c>
      <c r="D1218" s="1" t="s">
        <v>20</v>
      </c>
      <c r="E1218" s="12">
        <f>20*F1218</f>
        <v>9.2000000000000011</v>
      </c>
      <c r="F1218" s="12">
        <f>Systems!L73</f>
        <v>0.46</v>
      </c>
      <c r="G1218" s="1" t="s">
        <v>23</v>
      </c>
      <c r="H1218" s="1" t="s">
        <v>455</v>
      </c>
    </row>
    <row r="1219" spans="1:8">
      <c r="A1219" s="1" t="s">
        <v>1988</v>
      </c>
      <c r="B1219" s="1" t="s">
        <v>26</v>
      </c>
      <c r="C1219" s="1" t="s">
        <v>17</v>
      </c>
      <c r="D1219" s="1" t="s">
        <v>20</v>
      </c>
      <c r="E1219" s="12">
        <f>F1219/32</f>
        <v>1.4375000000000001E-2</v>
      </c>
      <c r="F1219" s="12">
        <f>Systems!L73</f>
        <v>0.46</v>
      </c>
      <c r="G1219" s="1" t="s">
        <v>23</v>
      </c>
      <c r="H1219" s="1" t="s">
        <v>455</v>
      </c>
    </row>
    <row r="1220" spans="1:8">
      <c r="A1220" s="1" t="s">
        <v>840</v>
      </c>
      <c r="B1220" s="1" t="s">
        <v>26</v>
      </c>
      <c r="C1220" s="1" t="s">
        <v>17</v>
      </c>
      <c r="D1220" s="1" t="s">
        <v>20</v>
      </c>
      <c r="E1220" s="12">
        <f>F1220</f>
        <v>0.46</v>
      </c>
      <c r="F1220" s="12">
        <f>Systems!L73</f>
        <v>0.46</v>
      </c>
      <c r="G1220" s="1" t="s">
        <v>23</v>
      </c>
      <c r="H1220" s="1" t="s">
        <v>455</v>
      </c>
    </row>
    <row r="1221" spans="1:8">
      <c r="A1221" s="1" t="s">
        <v>2351</v>
      </c>
      <c r="B1221" s="1" t="s">
        <v>26</v>
      </c>
      <c r="C1221" s="1" t="s">
        <v>17</v>
      </c>
      <c r="D1221" s="1" t="s">
        <v>20</v>
      </c>
      <c r="E1221" s="12">
        <f>F1221/128</f>
        <v>3.5937500000000002E-3</v>
      </c>
      <c r="F1221" s="12">
        <f>Systems!L73</f>
        <v>0.46</v>
      </c>
      <c r="G1221" s="1" t="s">
        <v>23</v>
      </c>
      <c r="H1221" s="1" t="s">
        <v>455</v>
      </c>
    </row>
    <row r="1222" spans="1:8">
      <c r="A1222" s="1" t="s">
        <v>2446</v>
      </c>
      <c r="B1222" s="1" t="s">
        <v>26</v>
      </c>
      <c r="C1222" s="1" t="s">
        <v>17</v>
      </c>
      <c r="D1222" s="1" t="s">
        <v>20</v>
      </c>
      <c r="E1222" s="12">
        <f>400*F1222</f>
        <v>184</v>
      </c>
      <c r="F1222" s="12">
        <f>Systems!L73</f>
        <v>0.46</v>
      </c>
      <c r="G1222" s="1" t="s">
        <v>23</v>
      </c>
      <c r="H1222" s="1" t="s">
        <v>455</v>
      </c>
    </row>
    <row r="1223" spans="1:8">
      <c r="A1223" s="1" t="s">
        <v>2677</v>
      </c>
      <c r="B1223" s="1" t="s">
        <v>26</v>
      </c>
      <c r="C1223" s="1" t="s">
        <v>17</v>
      </c>
      <c r="D1223" s="1" t="s">
        <v>20</v>
      </c>
      <c r="E1223" s="12">
        <f>240*F1223</f>
        <v>110.4</v>
      </c>
      <c r="F1223" s="12">
        <f>Systems!L73</f>
        <v>0.46</v>
      </c>
      <c r="G1223" s="1" t="s">
        <v>23</v>
      </c>
      <c r="H1223" s="1" t="s">
        <v>455</v>
      </c>
    </row>
    <row r="1224" spans="1:8">
      <c r="A1224" s="248"/>
      <c r="B1224" s="248"/>
      <c r="C1224" s="248"/>
      <c r="D1224" s="248"/>
      <c r="E1224" s="250"/>
      <c r="F1224" s="250"/>
      <c r="G1224" s="248"/>
      <c r="H1224" s="248"/>
    </row>
    <row r="1225" spans="1:8">
      <c r="A1225" s="1" t="s">
        <v>1659</v>
      </c>
      <c r="B1225" s="1" t="s">
        <v>26</v>
      </c>
      <c r="C1225" s="1" t="s">
        <v>3033</v>
      </c>
      <c r="D1225" s="1" t="s">
        <v>19</v>
      </c>
      <c r="E1225" s="12">
        <f>8*F1225/49</f>
        <v>0.08</v>
      </c>
      <c r="F1225" s="12">
        <f>Systems!D75</f>
        <v>0.49</v>
      </c>
      <c r="G1225" s="1" t="s">
        <v>14</v>
      </c>
      <c r="H1225" s="1" t="s">
        <v>441</v>
      </c>
    </row>
    <row r="1226" spans="1:8">
      <c r="A1226" s="1" t="s">
        <v>898</v>
      </c>
      <c r="B1226" s="1" t="s">
        <v>26</v>
      </c>
      <c r="C1226" s="1" t="s">
        <v>3033</v>
      </c>
      <c r="D1226" s="1" t="s">
        <v>19</v>
      </c>
      <c r="E1226" s="12">
        <f>F1226</f>
        <v>0.49</v>
      </c>
      <c r="F1226" s="12">
        <f>Systems!D75</f>
        <v>0.49</v>
      </c>
      <c r="G1226" s="1" t="s">
        <v>14</v>
      </c>
      <c r="H1226" s="1" t="s">
        <v>441</v>
      </c>
    </row>
    <row r="1227" spans="1:8">
      <c r="A1227" s="1" t="s">
        <v>6924</v>
      </c>
      <c r="B1227" s="1" t="s">
        <v>26</v>
      </c>
      <c r="C1227" s="1" t="s">
        <v>3033</v>
      </c>
      <c r="D1227" s="1" t="s">
        <v>19</v>
      </c>
      <c r="E1227" s="12">
        <f>16*F1227/49</f>
        <v>0.16</v>
      </c>
      <c r="F1227" s="12">
        <f>Systems!D75</f>
        <v>0.49</v>
      </c>
      <c r="G1227" s="1" t="s">
        <v>14</v>
      </c>
      <c r="H1227" s="1" t="s">
        <v>441</v>
      </c>
    </row>
    <row r="1228" spans="1:8">
      <c r="A1228" s="1" t="s">
        <v>2617</v>
      </c>
      <c r="B1228" s="1" t="s">
        <v>26</v>
      </c>
      <c r="C1228" s="1" t="s">
        <v>3033</v>
      </c>
      <c r="D1228" s="1" t="s">
        <v>19</v>
      </c>
      <c r="E1228" s="12">
        <f>5*F1228/98</f>
        <v>2.5000000000000001E-2</v>
      </c>
      <c r="F1228" s="12">
        <f>Systems!D75</f>
        <v>0.49</v>
      </c>
      <c r="G1228" s="1" t="s">
        <v>14</v>
      </c>
      <c r="H1228" s="1" t="s">
        <v>441</v>
      </c>
    </row>
    <row r="1229" spans="1:8" ht="16.5">
      <c r="A1229" s="1" t="s">
        <v>4582</v>
      </c>
      <c r="B1229" s="1" t="s">
        <v>26</v>
      </c>
      <c r="C1229" s="1" t="s">
        <v>3034</v>
      </c>
      <c r="D1229" s="1" t="s">
        <v>38</v>
      </c>
      <c r="E1229" s="12">
        <f>F1229</f>
        <v>0.24009999999999998</v>
      </c>
      <c r="F1229" s="12">
        <f>Systems!H75</f>
        <v>0.24009999999999998</v>
      </c>
      <c r="G1229" s="1" t="s">
        <v>39</v>
      </c>
      <c r="H1229" s="1" t="s">
        <v>441</v>
      </c>
    </row>
    <row r="1230" spans="1:8" ht="16.5">
      <c r="A1230" s="1" t="s">
        <v>894</v>
      </c>
      <c r="B1230" s="1" t="s">
        <v>26</v>
      </c>
      <c r="C1230" s="1" t="s">
        <v>2936</v>
      </c>
      <c r="D1230" s="1" t="s">
        <v>32</v>
      </c>
      <c r="E1230" s="12">
        <f>F1230</f>
        <v>4.4000000000000002E-4</v>
      </c>
      <c r="F1230" s="12">
        <f>Systems!T75</f>
        <v>4.4000000000000002E-4</v>
      </c>
      <c r="G1230" s="1" t="s">
        <v>33</v>
      </c>
      <c r="H1230" s="1" t="s">
        <v>441</v>
      </c>
    </row>
    <row r="1231" spans="1:8" ht="16.5">
      <c r="A1231" s="1" t="s">
        <v>1889</v>
      </c>
      <c r="B1231" s="1" t="s">
        <v>26</v>
      </c>
      <c r="C1231" s="1" t="s">
        <v>2935</v>
      </c>
      <c r="D1231" s="1" t="s">
        <v>32</v>
      </c>
      <c r="E1231" s="12">
        <f>F1231</f>
        <v>1.016E-3</v>
      </c>
      <c r="F1231" s="12">
        <f>Systems!P75</f>
        <v>1.016E-3</v>
      </c>
      <c r="G1231" s="1" t="s">
        <v>33</v>
      </c>
      <c r="H1231" s="1" t="s">
        <v>441</v>
      </c>
    </row>
    <row r="1232" spans="1:8">
      <c r="A1232" s="1" t="s">
        <v>1180</v>
      </c>
      <c r="B1232" s="1" t="s">
        <v>26</v>
      </c>
      <c r="C1232" s="1" t="s">
        <v>17</v>
      </c>
      <c r="D1232" s="1" t="s">
        <v>20</v>
      </c>
      <c r="E1232" s="12">
        <f>F1232/1152</f>
        <v>1.5599999999999999E-2</v>
      </c>
      <c r="F1232" s="12">
        <f>Systems!L77</f>
        <v>17.9712</v>
      </c>
      <c r="G1232" s="1" t="s">
        <v>23</v>
      </c>
      <c r="H1232" s="1" t="s">
        <v>441</v>
      </c>
    </row>
    <row r="1233" spans="1:8">
      <c r="A1233" s="1" t="s">
        <v>4583</v>
      </c>
      <c r="B1233" s="1" t="s">
        <v>26</v>
      </c>
      <c r="C1233" s="1" t="s">
        <v>17</v>
      </c>
      <c r="D1233" s="1" t="s">
        <v>20</v>
      </c>
      <c r="E1233" s="12">
        <f>F1233</f>
        <v>16.847999999999999</v>
      </c>
      <c r="F1233" s="12">
        <f>Systems!L76</f>
        <v>16.847999999999999</v>
      </c>
      <c r="G1233" s="1" t="s">
        <v>23</v>
      </c>
      <c r="H1233" s="1" t="s">
        <v>441</v>
      </c>
    </row>
    <row r="1234" spans="1:8">
      <c r="A1234" s="1" t="s">
        <v>4584</v>
      </c>
      <c r="B1234" s="1" t="s">
        <v>26</v>
      </c>
      <c r="C1234" s="1" t="s">
        <v>17</v>
      </c>
      <c r="D1234" s="1" t="s">
        <v>20</v>
      </c>
      <c r="E1234" s="12">
        <f>F1234</f>
        <v>13.478400000000001</v>
      </c>
      <c r="F1234" s="12">
        <f>Systems!L75</f>
        <v>13.478400000000001</v>
      </c>
      <c r="G1234" s="1" t="s">
        <v>23</v>
      </c>
      <c r="H1234" s="1" t="s">
        <v>441</v>
      </c>
    </row>
    <row r="1235" spans="1:8">
      <c r="A1235" s="1" t="s">
        <v>4585</v>
      </c>
      <c r="B1235" s="1" t="s">
        <v>26</v>
      </c>
      <c r="C1235" s="1" t="s">
        <v>17</v>
      </c>
      <c r="D1235" s="1" t="s">
        <v>20</v>
      </c>
      <c r="E1235" s="12">
        <f>F1235</f>
        <v>17.9712</v>
      </c>
      <c r="F1235" s="12">
        <f>Systems!L77</f>
        <v>17.9712</v>
      </c>
      <c r="G1235" s="1" t="s">
        <v>23</v>
      </c>
      <c r="H1235" s="1" t="s">
        <v>441</v>
      </c>
    </row>
    <row r="1236" spans="1:8">
      <c r="A1236" s="1" t="s">
        <v>1814</v>
      </c>
      <c r="B1236" s="1" t="s">
        <v>26</v>
      </c>
      <c r="C1236" s="1" t="s">
        <v>17</v>
      </c>
      <c r="D1236" s="1" t="s">
        <v>20</v>
      </c>
      <c r="E1236" s="12">
        <f>F1236/4608</f>
        <v>3.8999999999999998E-3</v>
      </c>
      <c r="F1236" s="12">
        <f>Systems!L77</f>
        <v>17.9712</v>
      </c>
      <c r="G1236" s="1" t="s">
        <v>23</v>
      </c>
      <c r="H1236" s="1" t="s">
        <v>441</v>
      </c>
    </row>
    <row r="1237" spans="1:8">
      <c r="A1237" s="1" t="s">
        <v>2107</v>
      </c>
      <c r="B1237" s="1" t="s">
        <v>26</v>
      </c>
      <c r="C1237" s="1" t="s">
        <v>17</v>
      </c>
      <c r="D1237" s="1" t="s">
        <v>20</v>
      </c>
      <c r="E1237" s="12">
        <f>F1237/1728</f>
        <v>7.8000000000000005E-3</v>
      </c>
      <c r="F1237" s="12">
        <f>Systems!L75</f>
        <v>13.478400000000001</v>
      </c>
      <c r="G1237" s="1" t="s">
        <v>23</v>
      </c>
      <c r="H1237" s="1" t="s">
        <v>441</v>
      </c>
    </row>
    <row r="1238" spans="1:8">
      <c r="A1238" s="1" t="s">
        <v>2124</v>
      </c>
      <c r="B1238" s="1" t="s">
        <v>26</v>
      </c>
      <c r="C1238" s="1" t="s">
        <v>17</v>
      </c>
      <c r="D1238" s="1" t="s">
        <v>20</v>
      </c>
      <c r="E1238" s="12">
        <f>35*F1238/1404</f>
        <v>0.33600000000000002</v>
      </c>
      <c r="F1238" s="12">
        <f>Systems!L75</f>
        <v>13.478400000000001</v>
      </c>
      <c r="G1238" s="1" t="s">
        <v>23</v>
      </c>
      <c r="H1238" s="1" t="s">
        <v>441</v>
      </c>
    </row>
    <row r="1239" spans="1:8">
      <c r="A1239" s="1" t="s">
        <v>2795</v>
      </c>
      <c r="B1239" s="1" t="s">
        <v>26</v>
      </c>
      <c r="C1239" s="1" t="s">
        <v>17</v>
      </c>
      <c r="D1239" s="1" t="s">
        <v>20</v>
      </c>
      <c r="E1239" s="12">
        <f>F1239/432</f>
        <v>3.1200000000000002E-2</v>
      </c>
      <c r="F1239" s="12">
        <f>Systems!L75</f>
        <v>13.478400000000001</v>
      </c>
      <c r="G1239" s="1" t="s">
        <v>23</v>
      </c>
      <c r="H1239" s="1" t="s">
        <v>441</v>
      </c>
    </row>
    <row r="1240" spans="1:8">
      <c r="A1240" s="248"/>
      <c r="B1240" s="248"/>
      <c r="C1240" s="248"/>
      <c r="D1240" s="248"/>
      <c r="E1240" s="250"/>
      <c r="F1240" s="250"/>
      <c r="G1240" s="248"/>
      <c r="H1240" s="248"/>
    </row>
    <row r="1241" spans="1:8">
      <c r="A1241" s="1" t="s">
        <v>999</v>
      </c>
      <c r="B1241" s="1" t="s">
        <v>26</v>
      </c>
      <c r="C1241" s="1" t="s">
        <v>3033</v>
      </c>
      <c r="D1241" s="1" t="s">
        <v>19</v>
      </c>
      <c r="E1241" s="12">
        <f>F1241</f>
        <v>0.2969</v>
      </c>
      <c r="F1241" s="12">
        <f>Systems!D78</f>
        <v>0.2969</v>
      </c>
      <c r="G1241" s="1" t="s">
        <v>14</v>
      </c>
      <c r="H1241" s="1" t="s">
        <v>546</v>
      </c>
    </row>
    <row r="1242" spans="1:8">
      <c r="A1242" s="1" t="s">
        <v>1916</v>
      </c>
      <c r="B1242" s="1" t="s">
        <v>26</v>
      </c>
      <c r="C1242" s="1" t="s">
        <v>3033</v>
      </c>
      <c r="D1242" s="1" t="s">
        <v>19</v>
      </c>
      <c r="E1242" s="12">
        <f>2*F1242</f>
        <v>0.59379999999999999</v>
      </c>
      <c r="F1242" s="12">
        <f>Systems!D78</f>
        <v>0.2969</v>
      </c>
      <c r="G1242" s="1" t="s">
        <v>14</v>
      </c>
      <c r="H1242" s="1" t="s">
        <v>546</v>
      </c>
    </row>
    <row r="1243" spans="1:8">
      <c r="A1243" s="1" t="s">
        <v>1971</v>
      </c>
      <c r="B1243" s="1" t="s">
        <v>26</v>
      </c>
      <c r="C1243" s="1" t="s">
        <v>3033</v>
      </c>
      <c r="D1243" s="1" t="s">
        <v>19</v>
      </c>
      <c r="E1243" s="12">
        <f>F1243/144</f>
        <v>2.0618055555555554E-3</v>
      </c>
      <c r="F1243" s="12">
        <f>Systems!D78</f>
        <v>0.2969</v>
      </c>
      <c r="G1243" s="1" t="s">
        <v>14</v>
      </c>
      <c r="H1243" s="1" t="s">
        <v>546</v>
      </c>
    </row>
    <row r="1244" spans="1:8">
      <c r="A1244" s="1" t="s">
        <v>2205</v>
      </c>
      <c r="B1244" s="1" t="s">
        <v>26</v>
      </c>
      <c r="C1244" s="1" t="s">
        <v>3033</v>
      </c>
      <c r="D1244" s="1" t="s">
        <v>19</v>
      </c>
      <c r="E1244" s="12">
        <f>72000*F1244</f>
        <v>21376.799999999999</v>
      </c>
      <c r="F1244" s="12">
        <f>Systems!D78</f>
        <v>0.2969</v>
      </c>
      <c r="G1244" s="1" t="s">
        <v>14</v>
      </c>
      <c r="H1244" s="1" t="s">
        <v>546</v>
      </c>
    </row>
    <row r="1245" spans="1:8">
      <c r="A1245" s="1" t="s">
        <v>4586</v>
      </c>
      <c r="B1245" s="1" t="s">
        <v>26</v>
      </c>
      <c r="C1245" s="1" t="s">
        <v>3033</v>
      </c>
      <c r="D1245" s="1" t="s">
        <v>19</v>
      </c>
      <c r="E1245" s="12">
        <f>36000*F1245</f>
        <v>10688.4</v>
      </c>
      <c r="F1245" s="12">
        <f>Systems!D78</f>
        <v>0.2969</v>
      </c>
      <c r="G1245" s="1" t="s">
        <v>14</v>
      </c>
      <c r="H1245" s="1" t="s">
        <v>546</v>
      </c>
    </row>
    <row r="1246" spans="1:8">
      <c r="A1246" s="1" t="s">
        <v>4587</v>
      </c>
      <c r="B1246" s="1" t="s">
        <v>26</v>
      </c>
      <c r="C1246" s="1" t="s">
        <v>3033</v>
      </c>
      <c r="D1246" s="1" t="s">
        <v>19</v>
      </c>
      <c r="E1246" s="12">
        <f>20208*F1246</f>
        <v>5999.7551999999996</v>
      </c>
      <c r="F1246" s="12">
        <f>Systems!D78</f>
        <v>0.2969</v>
      </c>
      <c r="G1246" s="1" t="s">
        <v>14</v>
      </c>
      <c r="H1246" s="1" t="s">
        <v>546</v>
      </c>
    </row>
    <row r="1247" spans="1:8">
      <c r="A1247" s="1" t="s">
        <v>2403</v>
      </c>
      <c r="B1247" s="1" t="s">
        <v>26</v>
      </c>
      <c r="C1247" s="1" t="s">
        <v>3033</v>
      </c>
      <c r="D1247" s="1" t="s">
        <v>19</v>
      </c>
      <c r="E1247" s="12">
        <f>9000*F1247</f>
        <v>2672.1</v>
      </c>
      <c r="F1247" s="12">
        <f>Systems!D78</f>
        <v>0.2969</v>
      </c>
      <c r="G1247" s="1" t="s">
        <v>14</v>
      </c>
      <c r="H1247" s="1" t="s">
        <v>546</v>
      </c>
    </row>
    <row r="1248" spans="1:8">
      <c r="A1248" s="1" t="s">
        <v>2591</v>
      </c>
      <c r="B1248" s="1" t="s">
        <v>26</v>
      </c>
      <c r="C1248" s="1" t="s">
        <v>3033</v>
      </c>
      <c r="D1248" s="1" t="s">
        <v>19</v>
      </c>
      <c r="E1248" s="12">
        <f>6*F1248</f>
        <v>1.7814000000000001</v>
      </c>
      <c r="F1248" s="12">
        <f>Systems!D78</f>
        <v>0.2969</v>
      </c>
      <c r="G1248" s="1" t="s">
        <v>14</v>
      </c>
      <c r="H1248" s="1" t="s">
        <v>546</v>
      </c>
    </row>
    <row r="1249" spans="1:8">
      <c r="A1249" s="1" t="s">
        <v>2724</v>
      </c>
      <c r="B1249" s="1" t="s">
        <v>26</v>
      </c>
      <c r="C1249" s="1" t="s">
        <v>3033</v>
      </c>
      <c r="D1249" s="1" t="s">
        <v>19</v>
      </c>
      <c r="E1249" s="12">
        <f>F1249/12</f>
        <v>2.4741666666666665E-2</v>
      </c>
      <c r="F1249" s="12">
        <f>Systems!D78</f>
        <v>0.2969</v>
      </c>
      <c r="G1249" s="1" t="s">
        <v>14</v>
      </c>
      <c r="H1249" s="1" t="s">
        <v>546</v>
      </c>
    </row>
    <row r="1250" spans="1:8">
      <c r="A1250" s="1" t="s">
        <v>2754</v>
      </c>
      <c r="B1250" s="1" t="s">
        <v>26</v>
      </c>
      <c r="C1250" s="1" t="s">
        <v>3033</v>
      </c>
      <c r="D1250" s="1" t="s">
        <v>19</v>
      </c>
      <c r="E1250" s="12">
        <f>F1250/2</f>
        <v>0.14845</v>
      </c>
      <c r="F1250" s="12">
        <f>Systems!D78</f>
        <v>0.2969</v>
      </c>
      <c r="G1250" s="1" t="s">
        <v>14</v>
      </c>
      <c r="H1250" s="1" t="s">
        <v>546</v>
      </c>
    </row>
    <row r="1251" spans="1:8">
      <c r="A1251" s="1" t="s">
        <v>2759</v>
      </c>
      <c r="B1251" s="1" t="s">
        <v>26</v>
      </c>
      <c r="C1251" s="1" t="s">
        <v>3033</v>
      </c>
      <c r="D1251" s="1" t="s">
        <v>19</v>
      </c>
      <c r="E1251" s="12">
        <f>720*F1251</f>
        <v>213.768</v>
      </c>
      <c r="F1251" s="12">
        <f>Systems!D78</f>
        <v>0.2969</v>
      </c>
      <c r="G1251" s="1" t="s">
        <v>14</v>
      </c>
      <c r="H1251" s="1" t="s">
        <v>546</v>
      </c>
    </row>
    <row r="1252" spans="1:8">
      <c r="A1252" s="1" t="s">
        <v>2777</v>
      </c>
      <c r="B1252" s="1" t="s">
        <v>26</v>
      </c>
      <c r="C1252" s="1" t="s">
        <v>3033</v>
      </c>
      <c r="D1252" s="1" t="s">
        <v>19</v>
      </c>
      <c r="E1252" s="12">
        <f>3600*F1252</f>
        <v>1068.8399999999999</v>
      </c>
      <c r="F1252" s="12">
        <f>Systems!D78</f>
        <v>0.2969</v>
      </c>
      <c r="G1252" s="1" t="s">
        <v>14</v>
      </c>
      <c r="H1252" s="1" t="s">
        <v>546</v>
      </c>
    </row>
    <row r="1253" spans="1:8" ht="16.5">
      <c r="A1253" s="1" t="s">
        <v>1000</v>
      </c>
      <c r="B1253" s="1" t="s">
        <v>26</v>
      </c>
      <c r="C1253" s="1" t="s">
        <v>3034</v>
      </c>
      <c r="D1253" s="1" t="s">
        <v>38</v>
      </c>
      <c r="E1253" s="12">
        <f>F1253</f>
        <v>88.14961000000001</v>
      </c>
      <c r="F1253" s="12">
        <f>Systems!H78</f>
        <v>88.14961000000001</v>
      </c>
      <c r="G1253" s="1" t="s">
        <v>39</v>
      </c>
      <c r="H1253" s="1" t="s">
        <v>546</v>
      </c>
    </row>
    <row r="1254" spans="1:8" ht="16.5">
      <c r="A1254" s="1" t="s">
        <v>1807</v>
      </c>
      <c r="B1254" s="1" t="s">
        <v>26</v>
      </c>
      <c r="C1254" s="1" t="s">
        <v>3034</v>
      </c>
      <c r="D1254" s="1" t="s">
        <v>38</v>
      </c>
      <c r="E1254" s="12">
        <f>7*F1254/4</f>
        <v>154.26181750000001</v>
      </c>
      <c r="F1254" s="12">
        <f>Systems!H78</f>
        <v>88.14961000000001</v>
      </c>
      <c r="G1254" s="1" t="s">
        <v>39</v>
      </c>
      <c r="H1254" s="1" t="s">
        <v>546</v>
      </c>
    </row>
    <row r="1255" spans="1:8" ht="16.5">
      <c r="A1255" s="1" t="s">
        <v>2225</v>
      </c>
      <c r="B1255" s="1" t="s">
        <v>26</v>
      </c>
      <c r="C1255" s="1" t="s">
        <v>3034</v>
      </c>
      <c r="D1255" s="1" t="s">
        <v>38</v>
      </c>
      <c r="E1255" s="12">
        <f>28*F1255</f>
        <v>2468.1890800000001</v>
      </c>
      <c r="F1255" s="12">
        <f>Systems!H78</f>
        <v>88.14961000000001</v>
      </c>
      <c r="G1255" s="1" t="s">
        <v>39</v>
      </c>
      <c r="H1255" s="1" t="s">
        <v>546</v>
      </c>
    </row>
    <row r="1256" spans="1:8" ht="16.5">
      <c r="A1256" s="1" t="s">
        <v>2729</v>
      </c>
      <c r="B1256" s="1" t="s">
        <v>26</v>
      </c>
      <c r="C1256" s="1" t="s">
        <v>3034</v>
      </c>
      <c r="D1256" s="1" t="s">
        <v>38</v>
      </c>
      <c r="E1256" s="12">
        <f>56*F1256</f>
        <v>4936.3781600000002</v>
      </c>
      <c r="F1256" s="12">
        <f>Systems!H78</f>
        <v>88.14961000000001</v>
      </c>
      <c r="G1256" s="1" t="s">
        <v>39</v>
      </c>
      <c r="H1256" s="1" t="s">
        <v>546</v>
      </c>
    </row>
    <row r="1257" spans="1:8" ht="16.5">
      <c r="A1257" s="1" t="s">
        <v>1782</v>
      </c>
      <c r="B1257" s="1" t="s">
        <v>26</v>
      </c>
      <c r="C1257" s="1" t="s">
        <v>2936</v>
      </c>
      <c r="D1257" s="1" t="s">
        <v>32</v>
      </c>
      <c r="E1257" s="12">
        <f>F1257/16</f>
        <v>8.2962500000000004E-5</v>
      </c>
      <c r="F1257" s="12">
        <f>Systems!T78</f>
        <v>1.3274000000000001E-3</v>
      </c>
      <c r="G1257" s="1" t="s">
        <v>33</v>
      </c>
      <c r="H1257" s="1" t="s">
        <v>546</v>
      </c>
    </row>
    <row r="1258" spans="1:8" ht="16.5">
      <c r="A1258" s="1" t="s">
        <v>1803</v>
      </c>
      <c r="B1258" s="1" t="s">
        <v>26</v>
      </c>
      <c r="C1258" s="1" t="s">
        <v>2936</v>
      </c>
      <c r="D1258" s="1" t="s">
        <v>32</v>
      </c>
      <c r="E1258" s="12">
        <f>2*F1258</f>
        <v>2.6548000000000001E-3</v>
      </c>
      <c r="F1258" s="12">
        <f>Systems!T78</f>
        <v>1.3274000000000001E-3</v>
      </c>
      <c r="G1258" s="1" t="s">
        <v>33</v>
      </c>
      <c r="H1258" s="1" t="s">
        <v>546</v>
      </c>
    </row>
    <row r="1259" spans="1:8" ht="16.5">
      <c r="A1259" s="1" t="s">
        <v>1806</v>
      </c>
      <c r="B1259" s="1" t="s">
        <v>26</v>
      </c>
      <c r="C1259" s="1" t="s">
        <v>2936</v>
      </c>
      <c r="D1259" s="1" t="s">
        <v>32</v>
      </c>
      <c r="E1259" s="12">
        <f>4*F1259</f>
        <v>5.3096000000000003E-3</v>
      </c>
      <c r="F1259" s="12">
        <f>Systems!T78</f>
        <v>1.3274000000000001E-3</v>
      </c>
      <c r="G1259" s="1" t="s">
        <v>33</v>
      </c>
      <c r="H1259" s="1" t="s">
        <v>546</v>
      </c>
    </row>
    <row r="1260" spans="1:8" ht="16.5">
      <c r="A1260" s="1" t="s">
        <v>1875</v>
      </c>
      <c r="B1260" s="1" t="s">
        <v>26</v>
      </c>
      <c r="C1260" s="1" t="s">
        <v>2936</v>
      </c>
      <c r="D1260" s="1" t="s">
        <v>32</v>
      </c>
      <c r="E1260" s="12">
        <f>F1260/4</f>
        <v>3.3185000000000002E-4</v>
      </c>
      <c r="F1260" s="12">
        <f>Systems!T78</f>
        <v>1.3274000000000001E-3</v>
      </c>
      <c r="G1260" s="1" t="s">
        <v>33</v>
      </c>
      <c r="H1260" s="1" t="s">
        <v>546</v>
      </c>
    </row>
    <row r="1261" spans="1:8" ht="16.5">
      <c r="A1261" s="1" t="s">
        <v>1933</v>
      </c>
      <c r="B1261" s="1" t="s">
        <v>26</v>
      </c>
      <c r="C1261" s="1" t="s">
        <v>2936</v>
      </c>
      <c r="D1261" s="1" t="s">
        <v>32</v>
      </c>
      <c r="E1261" s="12">
        <f>1536*F1261</f>
        <v>2.0388864</v>
      </c>
      <c r="F1261" s="12">
        <f>Systems!T78</f>
        <v>1.3274000000000001E-3</v>
      </c>
      <c r="G1261" s="1" t="s">
        <v>33</v>
      </c>
      <c r="H1261" s="1" t="s">
        <v>546</v>
      </c>
    </row>
    <row r="1262" spans="1:8" ht="16.5">
      <c r="A1262" s="1" t="s">
        <v>2122</v>
      </c>
      <c r="B1262" s="1" t="s">
        <v>26</v>
      </c>
      <c r="C1262" s="1" t="s">
        <v>2936</v>
      </c>
      <c r="D1262" s="1" t="s">
        <v>32</v>
      </c>
      <c r="E1262" s="12">
        <f>32*F1262</f>
        <v>4.2476800000000002E-2</v>
      </c>
      <c r="F1262" s="12">
        <f>Systems!T78</f>
        <v>1.3274000000000001E-3</v>
      </c>
      <c r="G1262" s="1" t="s">
        <v>33</v>
      </c>
      <c r="H1262" s="1" t="s">
        <v>546</v>
      </c>
    </row>
    <row r="1263" spans="1:8" ht="16.5">
      <c r="A1263" s="1" t="s">
        <v>2224</v>
      </c>
      <c r="B1263" s="1" t="s">
        <v>26</v>
      </c>
      <c r="C1263" s="1" t="s">
        <v>2936</v>
      </c>
      <c r="D1263" s="1" t="s">
        <v>32</v>
      </c>
      <c r="E1263" s="12">
        <f>64*F1263</f>
        <v>8.4953600000000004E-2</v>
      </c>
      <c r="F1263" s="12">
        <f>Systems!T78</f>
        <v>1.3274000000000001E-3</v>
      </c>
      <c r="G1263" s="1" t="s">
        <v>33</v>
      </c>
      <c r="H1263" s="1" t="s">
        <v>546</v>
      </c>
    </row>
    <row r="1264" spans="1:8" ht="16.5">
      <c r="A1264" s="1" t="s">
        <v>2557</v>
      </c>
      <c r="B1264" s="1" t="s">
        <v>603</v>
      </c>
      <c r="C1264" s="1" t="s">
        <v>2936</v>
      </c>
      <c r="D1264" s="1" t="s">
        <v>32</v>
      </c>
      <c r="E1264" s="12">
        <f>165*F1264</f>
        <v>4.6722796876800006</v>
      </c>
      <c r="F1264" s="12">
        <f>POWER(Systems!D6,3)</f>
        <v>2.8316846592000004E-2</v>
      </c>
      <c r="G1264" s="1" t="s">
        <v>33</v>
      </c>
      <c r="H1264" s="1" t="s">
        <v>546</v>
      </c>
    </row>
    <row r="1265" spans="1:8" ht="16.5">
      <c r="A1265" s="1" t="s">
        <v>1002</v>
      </c>
      <c r="B1265" s="1" t="s">
        <v>26</v>
      </c>
      <c r="C1265" s="1" t="s">
        <v>2936</v>
      </c>
      <c r="D1265" s="1" t="s">
        <v>32</v>
      </c>
      <c r="E1265" s="12">
        <f>F1265</f>
        <v>1.3274000000000001E-3</v>
      </c>
      <c r="F1265" s="12">
        <f>Systems!T78</f>
        <v>1.3274000000000001E-3</v>
      </c>
      <c r="G1265" s="1" t="s">
        <v>33</v>
      </c>
      <c r="H1265" s="1" t="s">
        <v>546</v>
      </c>
    </row>
    <row r="1266" spans="1:8" ht="16.5">
      <c r="A1266" s="1" t="s">
        <v>2728</v>
      </c>
      <c r="B1266" s="1" t="s">
        <v>26</v>
      </c>
      <c r="C1266" s="1" t="s">
        <v>2936</v>
      </c>
      <c r="D1266" s="1" t="s">
        <v>32</v>
      </c>
      <c r="E1266" s="12">
        <f>128*F1266</f>
        <v>0.16990720000000001</v>
      </c>
      <c r="F1266" s="12">
        <f>Systems!T78</f>
        <v>1.3274000000000001E-3</v>
      </c>
      <c r="G1266" s="1" t="s">
        <v>33</v>
      </c>
      <c r="H1266" s="1" t="s">
        <v>546</v>
      </c>
    </row>
    <row r="1267" spans="1:8" ht="16.5">
      <c r="A1267" s="1" t="s">
        <v>1216</v>
      </c>
      <c r="B1267" s="1" t="s">
        <v>26</v>
      </c>
      <c r="C1267" s="1" t="s">
        <v>2935</v>
      </c>
      <c r="D1267" s="1" t="s">
        <v>32</v>
      </c>
      <c r="E1267" s="12">
        <f>30*F1267</f>
        <v>3.92574288135E-2</v>
      </c>
      <c r="F1267" s="12">
        <f>Systems!P79</f>
        <v>1.3085809604500001E-3</v>
      </c>
      <c r="G1267" s="1" t="s">
        <v>33</v>
      </c>
      <c r="H1267" s="1" t="s">
        <v>546</v>
      </c>
    </row>
    <row r="1268" spans="1:8" ht="16.5">
      <c r="A1268" s="1" t="s">
        <v>1782</v>
      </c>
      <c r="B1268" s="1" t="s">
        <v>26</v>
      </c>
      <c r="C1268" s="1" t="s">
        <v>2935</v>
      </c>
      <c r="D1268" s="1" t="s">
        <v>32</v>
      </c>
      <c r="E1268" s="12">
        <f>F1268/16</f>
        <v>8.1786310028125005E-5</v>
      </c>
      <c r="F1268" s="12">
        <f>Systems!P79</f>
        <v>1.3085809604500001E-3</v>
      </c>
      <c r="G1268" s="1" t="s">
        <v>33</v>
      </c>
      <c r="H1268" s="1" t="s">
        <v>546</v>
      </c>
    </row>
    <row r="1269" spans="1:8" ht="16.5">
      <c r="A1269" s="1" t="s">
        <v>1802</v>
      </c>
      <c r="B1269" s="1" t="s">
        <v>26</v>
      </c>
      <c r="C1269" s="1" t="s">
        <v>2935</v>
      </c>
      <c r="D1269" s="1" t="s">
        <v>32</v>
      </c>
      <c r="E1269" s="12">
        <f>F1269/63</f>
        <v>2.5950793650793649E-3</v>
      </c>
      <c r="F1269" s="12">
        <f>Systems!P78</f>
        <v>0.16349</v>
      </c>
      <c r="G1269" s="1" t="s">
        <v>33</v>
      </c>
      <c r="H1269" s="1" t="s">
        <v>546</v>
      </c>
    </row>
    <row r="1270" spans="1:8" ht="16.5">
      <c r="A1270" s="1" t="s">
        <v>1803</v>
      </c>
      <c r="B1270" s="1" t="s">
        <v>26</v>
      </c>
      <c r="C1270" s="1" t="s">
        <v>2935</v>
      </c>
      <c r="D1270" s="1" t="s">
        <v>32</v>
      </c>
      <c r="E1270" s="12">
        <f>2*F1270</f>
        <v>2.6171619209000001E-3</v>
      </c>
      <c r="F1270" s="12">
        <f>Systems!P79</f>
        <v>1.3085809604500001E-3</v>
      </c>
      <c r="G1270" s="1" t="s">
        <v>33</v>
      </c>
      <c r="H1270" s="1" t="s">
        <v>546</v>
      </c>
    </row>
    <row r="1271" spans="1:8" ht="16.5">
      <c r="A1271" s="1" t="s">
        <v>1806</v>
      </c>
      <c r="B1271" s="1" t="s">
        <v>26</v>
      </c>
      <c r="C1271" s="1" t="s">
        <v>2935</v>
      </c>
      <c r="D1271" s="1" t="s">
        <v>32</v>
      </c>
      <c r="E1271" s="12">
        <f>4*F1271</f>
        <v>5.2343238418000003E-3</v>
      </c>
      <c r="F1271" s="12">
        <f>Systems!P79</f>
        <v>1.3085809604500001E-3</v>
      </c>
      <c r="G1271" s="1" t="s">
        <v>33</v>
      </c>
      <c r="H1271" s="1" t="s">
        <v>546</v>
      </c>
    </row>
    <row r="1272" spans="1:8" ht="16.5">
      <c r="A1272" s="1" t="s">
        <v>1875</v>
      </c>
      <c r="B1272" s="1" t="s">
        <v>26</v>
      </c>
      <c r="C1272" s="1" t="s">
        <v>2935</v>
      </c>
      <c r="D1272" s="1" t="s">
        <v>32</v>
      </c>
      <c r="E1272" s="12">
        <f>F1272/4</f>
        <v>3.2714524011250002E-4</v>
      </c>
      <c r="F1272" s="12">
        <f>Systems!P79</f>
        <v>1.3085809604500001E-3</v>
      </c>
      <c r="G1272" s="1" t="s">
        <v>33</v>
      </c>
      <c r="H1272" s="1" t="s">
        <v>546</v>
      </c>
    </row>
    <row r="1273" spans="1:8" ht="16.5">
      <c r="A1273" s="1" t="s">
        <v>1933</v>
      </c>
      <c r="B1273" s="1" t="s">
        <v>26</v>
      </c>
      <c r="C1273" s="1" t="s">
        <v>2935</v>
      </c>
      <c r="D1273" s="1" t="s">
        <v>32</v>
      </c>
      <c r="E1273" s="12">
        <f>1152*F1273</f>
        <v>1.5074852664384002</v>
      </c>
      <c r="F1273" s="12">
        <f>Systems!P79</f>
        <v>1.3085809604500001E-3</v>
      </c>
      <c r="G1273" s="1" t="s">
        <v>33</v>
      </c>
      <c r="H1273" s="1" t="s">
        <v>546</v>
      </c>
    </row>
    <row r="1274" spans="1:8" ht="16.5">
      <c r="A1274" s="1" t="s">
        <v>2186</v>
      </c>
      <c r="B1274" s="1" t="s">
        <v>26</v>
      </c>
      <c r="C1274" s="1" t="s">
        <v>2935</v>
      </c>
      <c r="D1274" s="1" t="s">
        <v>32</v>
      </c>
      <c r="E1274" s="12">
        <f>2*F1274/21</f>
        <v>1.557047619047619E-2</v>
      </c>
      <c r="F1274" s="12">
        <f>Systems!P78</f>
        <v>0.16349</v>
      </c>
      <c r="G1274" s="1" t="s">
        <v>33</v>
      </c>
      <c r="H1274" s="1" t="s">
        <v>546</v>
      </c>
    </row>
    <row r="1275" spans="1:8" ht="16.5">
      <c r="A1275" s="1" t="s">
        <v>2493</v>
      </c>
      <c r="B1275" s="1" t="s">
        <v>26</v>
      </c>
      <c r="C1275" s="1" t="s">
        <v>2935</v>
      </c>
      <c r="D1275" s="1" t="s">
        <v>32</v>
      </c>
      <c r="E1275" s="12">
        <f>F1275/21</f>
        <v>7.7852380952380951E-3</v>
      </c>
      <c r="F1275" s="12">
        <f>Systems!P78</f>
        <v>0.16349</v>
      </c>
      <c r="G1275" s="1" t="s">
        <v>33</v>
      </c>
      <c r="H1275" s="1" t="s">
        <v>546</v>
      </c>
    </row>
    <row r="1276" spans="1:8" ht="16.5">
      <c r="A1276" s="1" t="s">
        <v>867</v>
      </c>
      <c r="B1276" s="1" t="s">
        <v>26</v>
      </c>
      <c r="C1276" s="1" t="s">
        <v>2935</v>
      </c>
      <c r="D1276" s="1" t="s">
        <v>32</v>
      </c>
      <c r="E1276" s="12">
        <f>F1276</f>
        <v>0.16349</v>
      </c>
      <c r="F1276" s="12">
        <f>Systems!P78</f>
        <v>0.16349</v>
      </c>
      <c r="G1276" s="1" t="s">
        <v>33</v>
      </c>
      <c r="H1276" s="1" t="s">
        <v>546</v>
      </c>
    </row>
    <row r="1277" spans="1:8" ht="16.5">
      <c r="A1277" s="1" t="s">
        <v>1002</v>
      </c>
      <c r="B1277" s="1" t="s">
        <v>26</v>
      </c>
      <c r="C1277" s="1" t="s">
        <v>2935</v>
      </c>
      <c r="D1277" s="1" t="s">
        <v>32</v>
      </c>
      <c r="E1277" s="12">
        <f>F1277</f>
        <v>1.3085809604500001E-3</v>
      </c>
      <c r="F1277" s="12">
        <f>Systems!P79</f>
        <v>1.3085809604500001E-3</v>
      </c>
      <c r="G1277" s="1" t="s">
        <v>33</v>
      </c>
      <c r="H1277" s="1" t="s">
        <v>546</v>
      </c>
    </row>
    <row r="1278" spans="1:8" ht="16.5">
      <c r="A1278" s="1" t="s">
        <v>2728</v>
      </c>
      <c r="B1278" s="1" t="s">
        <v>26</v>
      </c>
      <c r="C1278" s="1" t="s">
        <v>2935</v>
      </c>
      <c r="D1278" s="1" t="s">
        <v>32</v>
      </c>
      <c r="E1278" s="12">
        <f>96*F1278</f>
        <v>0.12562377220320001</v>
      </c>
      <c r="F1278" s="12">
        <f>Systems!P79</f>
        <v>1.3085809604500001E-3</v>
      </c>
      <c r="G1278" s="1" t="s">
        <v>33</v>
      </c>
      <c r="H1278" s="1" t="s">
        <v>546</v>
      </c>
    </row>
    <row r="1279" spans="1:8">
      <c r="A1279" s="1" t="s">
        <v>1851</v>
      </c>
      <c r="B1279" s="1" t="s">
        <v>26</v>
      </c>
      <c r="C1279" s="1" t="s">
        <v>17</v>
      </c>
      <c r="D1279" s="1" t="s">
        <v>20</v>
      </c>
      <c r="E1279" s="12">
        <f>400*F1279</f>
        <v>170.03188096</v>
      </c>
      <c r="F1279" s="12">
        <f>Systems!L78</f>
        <v>0.42507970239999998</v>
      </c>
      <c r="G1279" s="1" t="s">
        <v>23</v>
      </c>
      <c r="H1279" s="1" t="s">
        <v>546</v>
      </c>
    </row>
    <row r="1280" spans="1:8">
      <c r="A1280" s="1" t="s">
        <v>1905</v>
      </c>
      <c r="B1280" s="1" t="s">
        <v>26</v>
      </c>
      <c r="C1280" s="1" t="s">
        <v>17</v>
      </c>
      <c r="D1280" s="1" t="s">
        <v>20</v>
      </c>
      <c r="E1280" s="12">
        <f>F1280/128</f>
        <v>3.3209351749999999E-3</v>
      </c>
      <c r="F1280" s="12">
        <f>Systems!L78</f>
        <v>0.42507970239999998</v>
      </c>
      <c r="G1280" s="1" t="s">
        <v>23</v>
      </c>
      <c r="H1280" s="1" t="s">
        <v>546</v>
      </c>
    </row>
    <row r="1281" spans="1:8">
      <c r="A1281" s="1" t="s">
        <v>1946</v>
      </c>
      <c r="B1281" s="1" t="s">
        <v>26</v>
      </c>
      <c r="C1281" s="1" t="s">
        <v>17</v>
      </c>
      <c r="D1281" s="1" t="s">
        <v>20</v>
      </c>
      <c r="E1281" s="12">
        <f>20*F1281</f>
        <v>8.5015940479999994</v>
      </c>
      <c r="F1281" s="12">
        <f>Systems!L78</f>
        <v>0.42507970239999998</v>
      </c>
      <c r="G1281" s="1" t="s">
        <v>23</v>
      </c>
      <c r="H1281" s="1" t="s">
        <v>546</v>
      </c>
    </row>
    <row r="1282" spans="1:8">
      <c r="A1282" s="1" t="s">
        <v>1993</v>
      </c>
      <c r="B1282" s="1" t="s">
        <v>26</v>
      </c>
      <c r="C1282" s="1" t="s">
        <v>17</v>
      </c>
      <c r="D1282" s="1" t="s">
        <v>20</v>
      </c>
      <c r="E1282" s="12">
        <f>F1282/32</f>
        <v>1.3283740699999999E-2</v>
      </c>
      <c r="F1282" s="12">
        <f>Systems!L78</f>
        <v>0.42507970239999998</v>
      </c>
      <c r="G1282" s="1" t="s">
        <v>23</v>
      </c>
      <c r="H1282" s="1" t="s">
        <v>546</v>
      </c>
    </row>
    <row r="1283" spans="1:8">
      <c r="A1283" s="1" t="s">
        <v>2022</v>
      </c>
      <c r="B1283" s="1" t="s">
        <v>26</v>
      </c>
      <c r="C1283" s="1" t="s">
        <v>17</v>
      </c>
      <c r="D1283" s="1" t="s">
        <v>20</v>
      </c>
      <c r="E1283" s="12">
        <f>F1283/2</f>
        <v>0.21253985119999999</v>
      </c>
      <c r="F1283" s="12">
        <f>Systems!L78</f>
        <v>0.42507970239999998</v>
      </c>
      <c r="G1283" s="1" t="s">
        <v>23</v>
      </c>
      <c r="H1283" s="1" t="s">
        <v>546</v>
      </c>
    </row>
    <row r="1284" spans="1:8">
      <c r="A1284" s="1" t="s">
        <v>1001</v>
      </c>
      <c r="B1284" s="1" t="s">
        <v>26</v>
      </c>
      <c r="C1284" s="1" t="s">
        <v>17</v>
      </c>
      <c r="D1284" s="1" t="s">
        <v>20</v>
      </c>
      <c r="E1284" s="12">
        <f>F1284</f>
        <v>0.42507970239999998</v>
      </c>
      <c r="F1284" s="12">
        <f>Systems!L78</f>
        <v>0.42507970239999998</v>
      </c>
      <c r="G1284" s="1" t="s">
        <v>23</v>
      </c>
      <c r="H1284" s="1" t="s">
        <v>546</v>
      </c>
    </row>
    <row r="1285" spans="1:8">
      <c r="A1285" s="1" t="s">
        <v>2477</v>
      </c>
      <c r="B1285" s="1" t="s">
        <v>26</v>
      </c>
      <c r="C1285" s="1" t="s">
        <v>17</v>
      </c>
      <c r="D1285" s="1" t="s">
        <v>20</v>
      </c>
      <c r="E1285" s="12">
        <f>100*F1285</f>
        <v>42.507970239999999</v>
      </c>
      <c r="F1285" s="12">
        <f>Systems!L78</f>
        <v>0.42507970239999998</v>
      </c>
      <c r="G1285" s="1" t="s">
        <v>23</v>
      </c>
      <c r="H1285" s="1" t="s">
        <v>546</v>
      </c>
    </row>
    <row r="1286" spans="1:8">
      <c r="A1286" s="1" t="s">
        <v>2743</v>
      </c>
      <c r="B1286" s="1" t="s">
        <v>26</v>
      </c>
      <c r="C1286" s="1" t="s">
        <v>17</v>
      </c>
      <c r="D1286" s="1" t="s">
        <v>20</v>
      </c>
      <c r="E1286" s="12">
        <f>F1286/16</f>
        <v>2.6567481399999999E-2</v>
      </c>
      <c r="F1286" s="12">
        <f>Systems!L78</f>
        <v>0.42507970239999998</v>
      </c>
      <c r="G1286" s="1" t="s">
        <v>23</v>
      </c>
      <c r="H1286" s="1" t="s">
        <v>546</v>
      </c>
    </row>
    <row r="1287" spans="1:8">
      <c r="A1287" s="248"/>
      <c r="B1287" s="248"/>
      <c r="C1287" s="248"/>
      <c r="D1287" s="248"/>
      <c r="E1287" s="250"/>
      <c r="F1287" s="250"/>
      <c r="G1287" s="248"/>
      <c r="H1287" s="248"/>
    </row>
    <row r="1288" spans="1:8">
      <c r="A1288" s="1" t="s">
        <v>200</v>
      </c>
      <c r="B1288" s="1" t="s">
        <v>6951</v>
      </c>
      <c r="C1288" s="1" t="s">
        <v>3033</v>
      </c>
      <c r="D1288" s="1" t="s">
        <v>19</v>
      </c>
      <c r="E1288" s="12">
        <f t="shared" ref="E1288:E1310" si="2">F1288</f>
        <v>0.30480000000000002</v>
      </c>
      <c r="F1288" s="12">
        <f>Systems!D15</f>
        <v>0.30480000000000002</v>
      </c>
      <c r="G1288" s="1" t="s">
        <v>14</v>
      </c>
      <c r="H1288" s="1" t="s">
        <v>117</v>
      </c>
    </row>
    <row r="1289" spans="1:8">
      <c r="A1289" s="1" t="s">
        <v>245</v>
      </c>
      <c r="B1289" s="1" t="s">
        <v>6952</v>
      </c>
      <c r="C1289" s="1" t="s">
        <v>3033</v>
      </c>
      <c r="D1289" s="1" t="s">
        <v>19</v>
      </c>
      <c r="E1289" s="12">
        <f>F1289/12</f>
        <v>2.5400000000000002E-2</v>
      </c>
      <c r="F1289" s="12">
        <f>Systems!D15</f>
        <v>0.30480000000000002</v>
      </c>
      <c r="G1289" s="1" t="s">
        <v>14</v>
      </c>
      <c r="H1289" s="1" t="s">
        <v>117</v>
      </c>
    </row>
    <row r="1290" spans="1:8">
      <c r="A1290" s="1" t="s">
        <v>431</v>
      </c>
      <c r="B1290" s="1" t="s">
        <v>6953</v>
      </c>
      <c r="C1290" s="1" t="s">
        <v>3033</v>
      </c>
      <c r="D1290" s="1" t="s">
        <v>19</v>
      </c>
      <c r="E1290" s="12">
        <f>3*F1290</f>
        <v>0.9144000000000001</v>
      </c>
      <c r="F1290" s="12">
        <f>Systems!D15</f>
        <v>0.30480000000000002</v>
      </c>
      <c r="G1290" s="1" t="s">
        <v>14</v>
      </c>
      <c r="H1290" s="1" t="s">
        <v>117</v>
      </c>
    </row>
    <row r="1291" spans="1:8">
      <c r="A1291" s="1" t="s">
        <v>1484</v>
      </c>
      <c r="B1291" s="1" t="s">
        <v>6954</v>
      </c>
      <c r="C1291" s="1" t="s">
        <v>3033</v>
      </c>
      <c r="D1291" s="1" t="s">
        <v>19</v>
      </c>
      <c r="E1291" s="12">
        <f>5280*F1291</f>
        <v>1609.3440000000001</v>
      </c>
      <c r="F1291" s="12">
        <f>Systems!D15</f>
        <v>0.30480000000000002</v>
      </c>
      <c r="G1291" s="1" t="s">
        <v>14</v>
      </c>
      <c r="H1291" s="1" t="s">
        <v>117</v>
      </c>
    </row>
    <row r="1292" spans="1:8" ht="16.5">
      <c r="A1292" s="1" t="s">
        <v>4453</v>
      </c>
      <c r="B1292" s="1" t="s">
        <v>6955</v>
      </c>
      <c r="C1292" s="1" t="s">
        <v>3034</v>
      </c>
      <c r="D1292" s="1" t="s">
        <v>38</v>
      </c>
      <c r="E1292" s="12">
        <f t="shared" si="2"/>
        <v>9.2903040000000006E-2</v>
      </c>
      <c r="F1292" s="12">
        <f>Systems!H15</f>
        <v>9.2903040000000006E-2</v>
      </c>
      <c r="G1292" s="1" t="s">
        <v>39</v>
      </c>
      <c r="H1292" s="1" t="s">
        <v>117</v>
      </c>
    </row>
    <row r="1293" spans="1:8" ht="16.5">
      <c r="A1293" s="1" t="s">
        <v>4588</v>
      </c>
      <c r="B1293" s="1" t="s">
        <v>6956</v>
      </c>
      <c r="C1293" s="1" t="s">
        <v>3034</v>
      </c>
      <c r="D1293" s="1" t="s">
        <v>38</v>
      </c>
      <c r="E1293" s="12">
        <f t="shared" si="2"/>
        <v>6.4516000000000009E-4</v>
      </c>
      <c r="F1293" s="12">
        <f>POWER(Systems!D15/12,2)</f>
        <v>6.4516000000000009E-4</v>
      </c>
      <c r="G1293" s="1" t="s">
        <v>39</v>
      </c>
      <c r="H1293" s="1" t="s">
        <v>117</v>
      </c>
    </row>
    <row r="1294" spans="1:8" ht="16.5">
      <c r="A1294" s="1" t="s">
        <v>4595</v>
      </c>
      <c r="B1294" s="1" t="s">
        <v>6957</v>
      </c>
      <c r="C1294" s="1" t="s">
        <v>3034</v>
      </c>
      <c r="D1294" s="1" t="s">
        <v>38</v>
      </c>
      <c r="E1294" s="12">
        <f>F1294</f>
        <v>0.83612736000000021</v>
      </c>
      <c r="F1294" s="12">
        <f>POWER(3*Systems!D15,2)</f>
        <v>0.83612736000000021</v>
      </c>
      <c r="G1294" s="1" t="s">
        <v>39</v>
      </c>
      <c r="H1294" s="1" t="s">
        <v>117</v>
      </c>
    </row>
    <row r="1295" spans="1:8" ht="16.5">
      <c r="A1295" s="1" t="s">
        <v>4596</v>
      </c>
      <c r="B1295" s="1" t="s">
        <v>6958</v>
      </c>
      <c r="C1295" s="1" t="s">
        <v>3034</v>
      </c>
      <c r="D1295" s="1" t="s">
        <v>38</v>
      </c>
      <c r="E1295" s="12">
        <f>F1295</f>
        <v>2589988.1103360001</v>
      </c>
      <c r="F1295" s="12">
        <f>POWER(5280*Systems!D15,2)</f>
        <v>2589988.1103360001</v>
      </c>
      <c r="G1295" s="1" t="s">
        <v>39</v>
      </c>
      <c r="H1295" s="1" t="s">
        <v>117</v>
      </c>
    </row>
    <row r="1296" spans="1:8" ht="16.5">
      <c r="A1296" s="1" t="s">
        <v>4589</v>
      </c>
      <c r="B1296" s="1" t="s">
        <v>6959</v>
      </c>
      <c r="C1296" s="1" t="s">
        <v>2936</v>
      </c>
      <c r="D1296" s="1" t="s">
        <v>32</v>
      </c>
      <c r="E1296" s="12">
        <f t="shared" si="2"/>
        <v>2.8316846592000004E-2</v>
      </c>
      <c r="F1296" s="12">
        <f>Systems!T15</f>
        <v>2.8316846592000004E-2</v>
      </c>
      <c r="G1296" s="1" t="s">
        <v>33</v>
      </c>
      <c r="H1296" s="1" t="s">
        <v>117</v>
      </c>
    </row>
    <row r="1297" spans="1:8" ht="16.5">
      <c r="A1297" s="1" t="s">
        <v>4594</v>
      </c>
      <c r="B1297" s="1" t="s">
        <v>6960</v>
      </c>
      <c r="C1297" s="1" t="s">
        <v>2936</v>
      </c>
      <c r="D1297" s="1" t="s">
        <v>32</v>
      </c>
      <c r="E1297" s="12">
        <f>F1297</f>
        <v>1.6387064000000003E-5</v>
      </c>
      <c r="F1297" s="12">
        <f>POWER(Systems!D15/12,3)</f>
        <v>1.6387064000000003E-5</v>
      </c>
      <c r="G1297" s="1" t="s">
        <v>33</v>
      </c>
      <c r="H1297" s="1" t="s">
        <v>117</v>
      </c>
    </row>
    <row r="1298" spans="1:8" ht="16.5">
      <c r="A1298" s="1" t="s">
        <v>4597</v>
      </c>
      <c r="B1298" s="1" t="s">
        <v>6961</v>
      </c>
      <c r="C1298" s="1" t="s">
        <v>2936</v>
      </c>
      <c r="D1298" s="1" t="s">
        <v>32</v>
      </c>
      <c r="E1298" s="12">
        <f>F1298</f>
        <v>0.76455485798400025</v>
      </c>
      <c r="F1298" s="12">
        <f>POWER(3*Systems!D15,3)</f>
        <v>0.76455485798400025</v>
      </c>
      <c r="G1298" s="1" t="s">
        <v>33</v>
      </c>
      <c r="H1298" s="1" t="s">
        <v>117</v>
      </c>
    </row>
    <row r="1299" spans="1:8" ht="16.5">
      <c r="A1299" s="1" t="s">
        <v>4598</v>
      </c>
      <c r="B1299" s="1" t="s">
        <v>6962</v>
      </c>
      <c r="C1299" s="1" t="s">
        <v>2936</v>
      </c>
      <c r="D1299" s="1" t="s">
        <v>32</v>
      </c>
      <c r="E1299" s="12">
        <f>F1299</f>
        <v>4168181825.4405799</v>
      </c>
      <c r="F1299" s="12">
        <f>POWER(5280*Systems!D15,3)</f>
        <v>4168181825.4405799</v>
      </c>
      <c r="G1299" s="1" t="s">
        <v>33</v>
      </c>
      <c r="H1299" s="1" t="s">
        <v>117</v>
      </c>
    </row>
    <row r="1300" spans="1:8" ht="16.5">
      <c r="A1300" s="1" t="s">
        <v>818</v>
      </c>
      <c r="B1300" s="1" t="s">
        <v>6963</v>
      </c>
      <c r="C1300" s="1" t="s">
        <v>2935</v>
      </c>
      <c r="D1300" s="1" t="s">
        <v>32</v>
      </c>
      <c r="E1300" s="12">
        <f t="shared" si="2"/>
        <v>3.7854117840000006E-3</v>
      </c>
      <c r="F1300" s="12">
        <f>Systems!P15</f>
        <v>3.7854117840000006E-3</v>
      </c>
      <c r="G1300" s="1" t="s">
        <v>33</v>
      </c>
      <c r="H1300" s="1" t="s">
        <v>117</v>
      </c>
    </row>
    <row r="1301" spans="1:8" ht="16.5">
      <c r="A1301" s="1" t="s">
        <v>842</v>
      </c>
      <c r="B1301" s="1" t="s">
        <v>6964</v>
      </c>
      <c r="C1301" s="1" t="s">
        <v>2935</v>
      </c>
      <c r="D1301" s="1" t="s">
        <v>32</v>
      </c>
      <c r="E1301" s="12">
        <f>F1301/4</f>
        <v>9.4635294600000015E-4</v>
      </c>
      <c r="F1301" s="12">
        <f>Systems!P15</f>
        <v>3.7854117840000006E-3</v>
      </c>
      <c r="G1301" s="1" t="s">
        <v>33</v>
      </c>
      <c r="H1301" s="1" t="s">
        <v>117</v>
      </c>
    </row>
    <row r="1302" spans="1:8" ht="16.5">
      <c r="A1302" s="1" t="s">
        <v>2275</v>
      </c>
      <c r="B1302" s="1" t="s">
        <v>6965</v>
      </c>
      <c r="C1302" s="1" t="s">
        <v>2935</v>
      </c>
      <c r="D1302" s="1" t="s">
        <v>32</v>
      </c>
      <c r="E1302" s="12">
        <f>F1302/8</f>
        <v>4.7317647300000007E-4</v>
      </c>
      <c r="F1302" s="12">
        <f>Systems!P15</f>
        <v>3.7854117840000006E-3</v>
      </c>
      <c r="G1302" s="1" t="s">
        <v>33</v>
      </c>
      <c r="H1302" s="1" t="s">
        <v>117</v>
      </c>
    </row>
    <row r="1303" spans="1:8" ht="16.5">
      <c r="A1303" s="1" t="s">
        <v>1468</v>
      </c>
      <c r="B1303" s="1" t="s">
        <v>6966</v>
      </c>
      <c r="C1303" s="1" t="s">
        <v>2935</v>
      </c>
      <c r="D1303" s="1" t="s">
        <v>32</v>
      </c>
      <c r="E1303" s="12">
        <f>F1303/16</f>
        <v>2.3658823650000004E-4</v>
      </c>
      <c r="F1303" s="12">
        <f>Systems!P15</f>
        <v>3.7854117840000006E-3</v>
      </c>
      <c r="G1303" s="1" t="s">
        <v>33</v>
      </c>
      <c r="H1303" s="1" t="s">
        <v>117</v>
      </c>
    </row>
    <row r="1304" spans="1:8">
      <c r="A1304" s="1" t="s">
        <v>1664</v>
      </c>
      <c r="B1304" s="1" t="s">
        <v>26</v>
      </c>
      <c r="C1304" s="1" t="s">
        <v>17</v>
      </c>
      <c r="D1304" s="1" t="s">
        <v>20</v>
      </c>
      <c r="E1304" s="12">
        <f t="shared" si="2"/>
        <v>14.593902937206362</v>
      </c>
      <c r="F1304" s="12">
        <f>Systems!L15*'Physical Definitions'!E13/Systems!D15</f>
        <v>14.593902937206362</v>
      </c>
      <c r="G1304" s="1" t="s">
        <v>23</v>
      </c>
      <c r="H1304" s="1" t="s">
        <v>117</v>
      </c>
    </row>
    <row r="1305" spans="1:8">
      <c r="A1305" s="1" t="s">
        <v>819</v>
      </c>
      <c r="B1305" s="1" t="s">
        <v>6967</v>
      </c>
      <c r="C1305" s="1" t="s">
        <v>17</v>
      </c>
      <c r="D1305" s="1" t="s">
        <v>20</v>
      </c>
      <c r="E1305" s="12">
        <f t="shared" si="2"/>
        <v>0.45359237000000002</v>
      </c>
      <c r="F1305" s="12">
        <f>Systems!L15</f>
        <v>0.45359237000000002</v>
      </c>
      <c r="G1305" s="1" t="s">
        <v>23</v>
      </c>
      <c r="H1305" s="1" t="s">
        <v>117</v>
      </c>
    </row>
    <row r="1306" spans="1:8">
      <c r="A1306" s="1" t="s">
        <v>957</v>
      </c>
      <c r="B1306" s="1" t="s">
        <v>6968</v>
      </c>
      <c r="C1306" s="1" t="s">
        <v>17</v>
      </c>
      <c r="D1306" s="1" t="s">
        <v>20</v>
      </c>
      <c r="E1306" s="12">
        <f>F1306/16</f>
        <v>2.8349523125000001E-2</v>
      </c>
      <c r="F1306" s="12">
        <f>Systems!L15</f>
        <v>0.45359237000000002</v>
      </c>
      <c r="G1306" s="1" t="s">
        <v>23</v>
      </c>
      <c r="H1306" s="1" t="s">
        <v>117</v>
      </c>
    </row>
    <row r="1307" spans="1:8">
      <c r="A1307" s="1" t="s">
        <v>4590</v>
      </c>
      <c r="B1307" s="1" t="s">
        <v>26</v>
      </c>
      <c r="C1307" s="1" t="s">
        <v>17</v>
      </c>
      <c r="D1307" s="1" t="s">
        <v>20</v>
      </c>
      <c r="E1307" s="12">
        <f t="shared" si="2"/>
        <v>0.45359237000000002</v>
      </c>
      <c r="F1307" s="12">
        <f>Systems!L15</f>
        <v>0.45359237000000002</v>
      </c>
      <c r="G1307" s="1" t="s">
        <v>23</v>
      </c>
      <c r="H1307" s="1" t="s">
        <v>117</v>
      </c>
    </row>
    <row r="1308" spans="1:8">
      <c r="A1308" s="1" t="s">
        <v>4591</v>
      </c>
      <c r="B1308" s="1" t="s">
        <v>4592</v>
      </c>
      <c r="C1308" s="1" t="s">
        <v>17</v>
      </c>
      <c r="D1308" s="1" t="s">
        <v>20</v>
      </c>
      <c r="E1308" s="12">
        <f t="shared" si="2"/>
        <v>0.45359237000000002</v>
      </c>
      <c r="F1308" s="12">
        <f>Systems!L15</f>
        <v>0.45359237000000002</v>
      </c>
      <c r="G1308" s="1" t="s">
        <v>23</v>
      </c>
      <c r="H1308" s="1" t="s">
        <v>117</v>
      </c>
    </row>
    <row r="1309" spans="1:8">
      <c r="A1309" s="1" t="s">
        <v>596</v>
      </c>
      <c r="B1309" s="1" t="s">
        <v>26</v>
      </c>
      <c r="C1309" s="1" t="s">
        <v>17</v>
      </c>
      <c r="D1309" s="1" t="s">
        <v>20</v>
      </c>
      <c r="E1309" s="12">
        <f t="shared" si="2"/>
        <v>175.12683524647636</v>
      </c>
      <c r="F1309" s="12">
        <f>12*Systems!L15*'Physical Definitions'!E13*POWER(SI!E4,2)/Systems!D15</f>
        <v>175.12683524647636</v>
      </c>
      <c r="G1309" s="1" t="s">
        <v>23</v>
      </c>
      <c r="H1309" s="1" t="s">
        <v>117</v>
      </c>
    </row>
    <row r="1310" spans="1:8">
      <c r="A1310" s="1" t="s">
        <v>221</v>
      </c>
      <c r="B1310" s="1" t="s">
        <v>26</v>
      </c>
      <c r="C1310" s="1" t="s">
        <v>17</v>
      </c>
      <c r="D1310" s="1" t="s">
        <v>20</v>
      </c>
      <c r="E1310" s="12">
        <f t="shared" si="2"/>
        <v>14.593902937206362</v>
      </c>
      <c r="F1310" s="12">
        <f>Systems!L15*'Physical Definitions'!E13*POWER(SI!E4,2)/Systems!D15</f>
        <v>14.593902937206362</v>
      </c>
      <c r="G1310" s="1" t="s">
        <v>23</v>
      </c>
      <c r="H1310" s="1" t="s">
        <v>117</v>
      </c>
    </row>
    <row r="1311" spans="1:8">
      <c r="A1311" s="248"/>
      <c r="B1311" s="248"/>
      <c r="C1311" s="248"/>
      <c r="D1311" s="248"/>
      <c r="E1311" s="250"/>
      <c r="F1311" s="250"/>
      <c r="G1311" s="248"/>
      <c r="H1311" s="248"/>
    </row>
    <row r="1312" spans="1:8">
      <c r="A1312" s="1" t="s">
        <v>1170</v>
      </c>
      <c r="B1312" s="1" t="s">
        <v>26</v>
      </c>
      <c r="C1312" s="1" t="s">
        <v>3033</v>
      </c>
      <c r="D1312" s="1" t="s">
        <v>19</v>
      </c>
      <c r="E1312" s="12">
        <f>(F1312/72)*(11/144)</f>
        <v>2.0678435090856484E-3</v>
      </c>
      <c r="F1312" s="12">
        <f>6*Systems!D82</f>
        <v>1.9490365002000001</v>
      </c>
      <c r="G1312" s="1" t="s">
        <v>14</v>
      </c>
      <c r="H1312" s="1" t="s">
        <v>65</v>
      </c>
    </row>
    <row r="1313" spans="1:8">
      <c r="A1313" s="1" t="s">
        <v>4593</v>
      </c>
      <c r="B1313" s="1" t="s">
        <v>26</v>
      </c>
      <c r="C1313" s="1" t="s">
        <v>3033</v>
      </c>
      <c r="D1313" s="1" t="s">
        <v>19</v>
      </c>
      <c r="E1313" s="12">
        <f>F1313/(72*14)</f>
        <v>1.9335679565476191E-3</v>
      </c>
      <c r="F1313" s="12">
        <f>6*Systems!D82</f>
        <v>1.9490365002000001</v>
      </c>
      <c r="G1313" s="1" t="s">
        <v>14</v>
      </c>
      <c r="H1313" s="1" t="s">
        <v>65</v>
      </c>
    </row>
    <row r="1314" spans="1:8">
      <c r="A1314" s="1" t="s">
        <v>1017</v>
      </c>
      <c r="B1314" s="1" t="s">
        <v>26</v>
      </c>
      <c r="C1314" s="1" t="s">
        <v>3033</v>
      </c>
      <c r="D1314" s="1" t="s">
        <v>19</v>
      </c>
      <c r="E1314" s="12">
        <f>220*F1314</f>
        <v>71.464671674000002</v>
      </c>
      <c r="F1314" s="12">
        <f>Systems!D82</f>
        <v>0.32483941669999999</v>
      </c>
      <c r="G1314" s="1" t="s">
        <v>14</v>
      </c>
      <c r="H1314" s="1" t="s">
        <v>65</v>
      </c>
    </row>
    <row r="1315" spans="1:8">
      <c r="A1315" s="1" t="s">
        <v>4629</v>
      </c>
      <c r="B1315" s="1" t="s">
        <v>26</v>
      </c>
      <c r="C1315" s="1" t="s">
        <v>3033</v>
      </c>
      <c r="D1315" s="1" t="s">
        <v>19</v>
      </c>
      <c r="E1315" s="12">
        <f>180*F1315</f>
        <v>58.471095005999999</v>
      </c>
      <c r="F1315" s="12">
        <f>Systems!D82</f>
        <v>0.32483941669999999</v>
      </c>
      <c r="G1315" s="1" t="s">
        <v>14</v>
      </c>
      <c r="H1315" s="1" t="s">
        <v>65</v>
      </c>
    </row>
    <row r="1316" spans="1:8">
      <c r="A1316" s="1" t="s">
        <v>4630</v>
      </c>
      <c r="B1316" s="1" t="s">
        <v>26</v>
      </c>
      <c r="C1316" s="1" t="s">
        <v>3033</v>
      </c>
      <c r="D1316" s="1" t="s">
        <v>19</v>
      </c>
      <c r="E1316" s="12">
        <f>2000*F1316</f>
        <v>447.2135955</v>
      </c>
      <c r="F1316" s="12">
        <f>Systems!D86</f>
        <v>0.22360679775</v>
      </c>
      <c r="G1316" s="1" t="s">
        <v>14</v>
      </c>
      <c r="H1316" s="1" t="s">
        <v>65</v>
      </c>
    </row>
    <row r="1317" spans="1:8">
      <c r="A1317" s="1" t="s">
        <v>4631</v>
      </c>
      <c r="B1317" s="1" t="s">
        <v>26</v>
      </c>
      <c r="C1317" s="1" t="s">
        <v>3033</v>
      </c>
      <c r="D1317" s="1" t="s">
        <v>19</v>
      </c>
      <c r="E1317" s="12">
        <f>200*F1317</f>
        <v>64.96788334</v>
      </c>
      <c r="F1317" s="12">
        <f>Systems!D82</f>
        <v>0.32483941669999999</v>
      </c>
      <c r="G1317" s="1" t="s">
        <v>14</v>
      </c>
      <c r="H1317" s="1" t="s">
        <v>65</v>
      </c>
    </row>
    <row r="1318" spans="1:8">
      <c r="A1318" s="1" t="s">
        <v>70</v>
      </c>
      <c r="B1318" s="1" t="s">
        <v>26</v>
      </c>
      <c r="C1318" s="1" t="s">
        <v>3033</v>
      </c>
      <c r="D1318" s="1" t="s">
        <v>19</v>
      </c>
      <c r="E1318" s="12">
        <f>2*F1318</f>
        <v>0.64967883339999999</v>
      </c>
      <c r="F1318" s="12">
        <f>Systems!D82</f>
        <v>0.32483941669999999</v>
      </c>
      <c r="G1318" s="1" t="s">
        <v>14</v>
      </c>
      <c r="H1318" s="1" t="s">
        <v>65</v>
      </c>
    </row>
    <row r="1319" spans="1:8">
      <c r="A1319" s="1" t="s">
        <v>479</v>
      </c>
      <c r="B1319" s="1" t="s">
        <v>26</v>
      </c>
      <c r="C1319" s="1" t="s">
        <v>3033</v>
      </c>
      <c r="D1319" s="1" t="s">
        <v>19</v>
      </c>
      <c r="E1319" s="12">
        <f>F1319</f>
        <v>3.1749999999999999E-3</v>
      </c>
      <c r="F1319" s="12">
        <f>Systems!D83</f>
        <v>3.1749999999999999E-3</v>
      </c>
      <c r="G1319" s="1" t="s">
        <v>14</v>
      </c>
      <c r="H1319" s="1" t="s">
        <v>65</v>
      </c>
    </row>
    <row r="1320" spans="1:8">
      <c r="A1320" s="1" t="s">
        <v>1313</v>
      </c>
      <c r="B1320" s="1" t="s">
        <v>26</v>
      </c>
      <c r="C1320" s="1" t="s">
        <v>3033</v>
      </c>
      <c r="D1320" s="1" t="s">
        <v>19</v>
      </c>
      <c r="E1320" s="12">
        <f>5*F1320/6</f>
        <v>1.6241970835000001</v>
      </c>
      <c r="F1320" s="12">
        <f>6*Systems!D82</f>
        <v>1.9490365002000001</v>
      </c>
      <c r="G1320" s="1" t="s">
        <v>14</v>
      </c>
      <c r="H1320" s="1" t="s">
        <v>65</v>
      </c>
    </row>
    <row r="1321" spans="1:8">
      <c r="A1321" s="1" t="s">
        <v>480</v>
      </c>
      <c r="B1321" s="1" t="s">
        <v>26</v>
      </c>
      <c r="C1321" s="1" t="s">
        <v>3033</v>
      </c>
      <c r="D1321" s="1" t="s">
        <v>19</v>
      </c>
      <c r="E1321" s="12">
        <f>8*F1321/9</f>
        <v>2.8222222222222221E-3</v>
      </c>
      <c r="F1321" s="12">
        <f>Systems!D83</f>
        <v>3.1749999999999999E-3</v>
      </c>
      <c r="G1321" s="1" t="s">
        <v>14</v>
      </c>
      <c r="H1321" s="1" t="s">
        <v>65</v>
      </c>
    </row>
    <row r="1322" spans="1:8">
      <c r="A1322" s="1" t="s">
        <v>482</v>
      </c>
      <c r="B1322" s="1" t="s">
        <v>26</v>
      </c>
      <c r="C1322" s="1" t="s">
        <v>3033</v>
      </c>
      <c r="D1322" s="1" t="s">
        <v>19</v>
      </c>
      <c r="E1322" s="12">
        <f>7*F1322/18</f>
        <v>1.2347222222222221E-3</v>
      </c>
      <c r="F1322" s="12">
        <f>Systems!D83</f>
        <v>3.1749999999999999E-3</v>
      </c>
      <c r="G1322" s="1" t="s">
        <v>14</v>
      </c>
      <c r="H1322" s="1" t="s">
        <v>65</v>
      </c>
    </row>
    <row r="1323" spans="1:8">
      <c r="A1323" s="1" t="s">
        <v>1351</v>
      </c>
      <c r="B1323" s="1" t="s">
        <v>26</v>
      </c>
      <c r="C1323" s="1" t="s">
        <v>3033</v>
      </c>
      <c r="D1323" s="1" t="s">
        <v>19</v>
      </c>
      <c r="E1323" s="12">
        <f>F1323</f>
        <v>1.9684999999999999</v>
      </c>
      <c r="F1323" s="12">
        <f>Systems!D84</f>
        <v>1.9684999999999999</v>
      </c>
      <c r="G1323" s="1" t="s">
        <v>14</v>
      </c>
      <c r="H1323" s="1" t="s">
        <v>65</v>
      </c>
    </row>
    <row r="1324" spans="1:8">
      <c r="A1324" s="1" t="s">
        <v>492</v>
      </c>
      <c r="B1324" s="1" t="s">
        <v>26</v>
      </c>
      <c r="C1324" s="1" t="s">
        <v>3033</v>
      </c>
      <c r="D1324" s="1" t="s">
        <v>19</v>
      </c>
      <c r="E1324" s="12">
        <f>16*F1324/3</f>
        <v>1.6933333333333331E-2</v>
      </c>
      <c r="F1324" s="12">
        <f>Systems!D83</f>
        <v>3.1749999999999999E-3</v>
      </c>
      <c r="G1324" s="1" t="s">
        <v>14</v>
      </c>
      <c r="H1324" s="1" t="s">
        <v>65</v>
      </c>
    </row>
    <row r="1325" spans="1:8">
      <c r="A1325" s="1" t="s">
        <v>135</v>
      </c>
      <c r="B1325" s="1" t="s">
        <v>26</v>
      </c>
      <c r="C1325" s="1" t="s">
        <v>3033</v>
      </c>
      <c r="D1325" s="1" t="s">
        <v>19</v>
      </c>
      <c r="E1325" s="12">
        <f>F1325/(72*6)</f>
        <v>4.5116585652777777E-3</v>
      </c>
      <c r="F1325" s="12">
        <f>6*Systems!D82</f>
        <v>1.9490365002000001</v>
      </c>
      <c r="G1325" s="1" t="s">
        <v>14</v>
      </c>
      <c r="H1325" s="1" t="s">
        <v>65</v>
      </c>
    </row>
    <row r="1326" spans="1:8">
      <c r="A1326" s="1" t="s">
        <v>4632</v>
      </c>
      <c r="B1326" s="1" t="s">
        <v>26</v>
      </c>
      <c r="C1326" s="1" t="s">
        <v>3033</v>
      </c>
      <c r="D1326" s="1" t="s">
        <v>19</v>
      </c>
      <c r="E1326" s="12">
        <f>1.5*F1326</f>
        <v>0.48725912505000002</v>
      </c>
      <c r="F1326" s="12">
        <f>Systems!D82</f>
        <v>0.32483941669999999</v>
      </c>
      <c r="G1326" s="1" t="s">
        <v>14</v>
      </c>
      <c r="H1326" s="1" t="s">
        <v>65</v>
      </c>
    </row>
    <row r="1327" spans="1:8">
      <c r="A1327" s="1" t="s">
        <v>1573</v>
      </c>
      <c r="B1327" s="1" t="s">
        <v>26</v>
      </c>
      <c r="C1327" s="1" t="s">
        <v>3033</v>
      </c>
      <c r="D1327" s="1" t="s">
        <v>19</v>
      </c>
      <c r="E1327" s="12">
        <f>100*F1327</f>
        <v>194.90365002000001</v>
      </c>
      <c r="F1327" s="12">
        <f>6*Systems!D82</f>
        <v>1.9490365002000001</v>
      </c>
      <c r="G1327" s="1" t="s">
        <v>14</v>
      </c>
      <c r="H1327" s="1" t="s">
        <v>65</v>
      </c>
    </row>
    <row r="1328" spans="1:8">
      <c r="A1328" s="1" t="s">
        <v>200</v>
      </c>
      <c r="B1328" s="1" t="s">
        <v>26</v>
      </c>
      <c r="C1328" s="1" t="s">
        <v>3033</v>
      </c>
      <c r="D1328" s="1" t="s">
        <v>19</v>
      </c>
      <c r="E1328" s="12">
        <f>F1328</f>
        <v>0.32483941669999999</v>
      </c>
      <c r="F1328" s="12">
        <f>Systems!D82</f>
        <v>0.32483941669999999</v>
      </c>
      <c r="G1328" s="1" t="s">
        <v>14</v>
      </c>
      <c r="H1328" s="1" t="s">
        <v>65</v>
      </c>
    </row>
    <row r="1329" spans="1:8">
      <c r="A1329" s="1" t="s">
        <v>212</v>
      </c>
      <c r="B1329" s="1" t="s">
        <v>26</v>
      </c>
      <c r="C1329" s="1" t="s">
        <v>3033</v>
      </c>
      <c r="D1329" s="1" t="s">
        <v>19</v>
      </c>
      <c r="E1329" s="12">
        <f>8*F1329</f>
        <v>3.0077723768599999E-3</v>
      </c>
      <c r="F1329" s="12">
        <f>Systems!D85</f>
        <v>3.7597154710749999E-4</v>
      </c>
      <c r="G1329" s="1" t="s">
        <v>14</v>
      </c>
      <c r="H1329" s="1" t="s">
        <v>65</v>
      </c>
    </row>
    <row r="1330" spans="1:8">
      <c r="A1330" s="1" t="s">
        <v>7526</v>
      </c>
      <c r="B1330" s="1" t="s">
        <v>26</v>
      </c>
      <c r="C1330" s="1" t="s">
        <v>3033</v>
      </c>
      <c r="D1330" s="1" t="s">
        <v>19</v>
      </c>
      <c r="E1330" s="12">
        <f>13200*F1330</f>
        <v>4287.8803004399997</v>
      </c>
      <c r="F1330" s="12">
        <f>Systems!D82</f>
        <v>0.32483941669999999</v>
      </c>
      <c r="G1330" s="1" t="s">
        <v>14</v>
      </c>
      <c r="H1330" s="1" t="s">
        <v>65</v>
      </c>
    </row>
    <row r="1331" spans="1:8">
      <c r="A1331" s="1" t="s">
        <v>4633</v>
      </c>
      <c r="B1331" s="1" t="s">
        <v>26</v>
      </c>
      <c r="C1331" s="1" t="s">
        <v>3033</v>
      </c>
      <c r="D1331" s="1" t="s">
        <v>19</v>
      </c>
      <c r="E1331" s="12">
        <f>13743*F1331</f>
        <v>4581</v>
      </c>
      <c r="F1331" s="12">
        <f>Systems!D81</f>
        <v>0.33333333333333331</v>
      </c>
      <c r="G1331" s="1" t="s">
        <v>14</v>
      </c>
      <c r="H1331" s="1" t="s">
        <v>65</v>
      </c>
    </row>
    <row r="1332" spans="1:8">
      <c r="A1332" s="1" t="s">
        <v>4634</v>
      </c>
      <c r="B1332" s="1" t="s">
        <v>26</v>
      </c>
      <c r="C1332" s="1" t="s">
        <v>3033</v>
      </c>
      <c r="D1332" s="1" t="s">
        <v>19</v>
      </c>
      <c r="E1332" s="12">
        <f>11892*F1332</f>
        <v>3964</v>
      </c>
      <c r="F1332" s="12">
        <f>Systems!D81</f>
        <v>0.33333333333333331</v>
      </c>
      <c r="G1332" s="1" t="s">
        <v>14</v>
      </c>
      <c r="H1332" s="1" t="s">
        <v>65</v>
      </c>
    </row>
    <row r="1333" spans="1:8">
      <c r="A1333" s="1" t="s">
        <v>4635</v>
      </c>
      <c r="B1333" s="1" t="s">
        <v>26</v>
      </c>
      <c r="C1333" s="1" t="s">
        <v>3033</v>
      </c>
      <c r="D1333" s="1" t="s">
        <v>19</v>
      </c>
      <c r="E1333" s="12">
        <f>9804*F1333</f>
        <v>3268</v>
      </c>
      <c r="F1333" s="12">
        <f>Systems!D81</f>
        <v>0.33333333333333331</v>
      </c>
      <c r="G1333" s="1" t="s">
        <v>14</v>
      </c>
      <c r="H1333" s="1" t="s">
        <v>65</v>
      </c>
    </row>
    <row r="1334" spans="1:8">
      <c r="A1334" s="1" t="s">
        <v>4636</v>
      </c>
      <c r="B1334" s="1" t="s">
        <v>26</v>
      </c>
      <c r="C1334" s="1" t="s">
        <v>3033</v>
      </c>
      <c r="D1334" s="1" t="s">
        <v>19</v>
      </c>
      <c r="E1334" s="12">
        <f>14478*F1334</f>
        <v>4826</v>
      </c>
      <c r="F1334" s="12">
        <f>Systems!D81</f>
        <v>0.33333333333333331</v>
      </c>
      <c r="G1334" s="1" t="s">
        <v>14</v>
      </c>
      <c r="H1334" s="1" t="s">
        <v>65</v>
      </c>
    </row>
    <row r="1335" spans="1:8">
      <c r="A1335" s="1" t="s">
        <v>4637</v>
      </c>
      <c r="B1335" s="1" t="s">
        <v>26</v>
      </c>
      <c r="C1335" s="1" t="s">
        <v>3033</v>
      </c>
      <c r="D1335" s="1" t="s">
        <v>19</v>
      </c>
      <c r="E1335" s="12">
        <f>15363*F1335</f>
        <v>5121</v>
      </c>
      <c r="F1335" s="12">
        <f>Systems!D81</f>
        <v>0.33333333333333331</v>
      </c>
      <c r="G1335" s="1" t="s">
        <v>14</v>
      </c>
      <c r="H1335" s="1" t="s">
        <v>65</v>
      </c>
    </row>
    <row r="1336" spans="1:8">
      <c r="A1336" s="1" t="s">
        <v>4638</v>
      </c>
      <c r="B1336" s="1" t="s">
        <v>26</v>
      </c>
      <c r="C1336" s="1" t="s">
        <v>3033</v>
      </c>
      <c r="D1336" s="1" t="s">
        <v>19</v>
      </c>
      <c r="E1336" s="12">
        <f>13743*F1336</f>
        <v>4581</v>
      </c>
      <c r="F1336" s="12">
        <f>Systems!D81</f>
        <v>0.33333333333333331</v>
      </c>
      <c r="G1336" s="1" t="s">
        <v>14</v>
      </c>
      <c r="H1336" s="1" t="s">
        <v>65</v>
      </c>
    </row>
    <row r="1337" spans="1:8">
      <c r="A1337" s="1" t="s">
        <v>4639</v>
      </c>
      <c r="B1337" s="1" t="s">
        <v>26</v>
      </c>
      <c r="C1337" s="1" t="s">
        <v>3033</v>
      </c>
      <c r="D1337" s="1" t="s">
        <v>19</v>
      </c>
      <c r="E1337" s="12">
        <f>16668*F1337</f>
        <v>5556</v>
      </c>
      <c r="F1337" s="12">
        <f>Systems!D81</f>
        <v>0.33333333333333331</v>
      </c>
      <c r="G1337" s="1" t="s">
        <v>14</v>
      </c>
      <c r="H1337" s="1" t="s">
        <v>65</v>
      </c>
    </row>
    <row r="1338" spans="1:8">
      <c r="A1338" s="1" t="s">
        <v>4640</v>
      </c>
      <c r="B1338" s="1" t="s">
        <v>26</v>
      </c>
      <c r="C1338" s="1" t="s">
        <v>3033</v>
      </c>
      <c r="D1338" s="1" t="s">
        <v>19</v>
      </c>
      <c r="E1338" s="12">
        <f>13335*F1338</f>
        <v>4445</v>
      </c>
      <c r="F1338" s="12">
        <f>Systems!D81</f>
        <v>0.33333333333333331</v>
      </c>
      <c r="G1338" s="1" t="s">
        <v>14</v>
      </c>
      <c r="H1338" s="1" t="s">
        <v>65</v>
      </c>
    </row>
    <row r="1339" spans="1:8">
      <c r="A1339" s="1" t="s">
        <v>4641</v>
      </c>
      <c r="B1339" s="1" t="s">
        <v>26</v>
      </c>
      <c r="C1339" s="1" t="s">
        <v>3033</v>
      </c>
      <c r="D1339" s="1" t="s">
        <v>19</v>
      </c>
      <c r="E1339" s="12">
        <f>12000*F1339</f>
        <v>3898.0730003999997</v>
      </c>
      <c r="F1339" s="12">
        <f>Systems!D82</f>
        <v>0.32483941669999999</v>
      </c>
      <c r="G1339" s="1" t="s">
        <v>14</v>
      </c>
      <c r="H1339" s="1" t="s">
        <v>65</v>
      </c>
    </row>
    <row r="1340" spans="1:8">
      <c r="A1340" s="1" t="s">
        <v>4642</v>
      </c>
      <c r="B1340" s="1" t="s">
        <v>26</v>
      </c>
      <c r="C1340" s="1" t="s">
        <v>3033</v>
      </c>
      <c r="D1340" s="1" t="s">
        <v>19</v>
      </c>
      <c r="E1340" s="12">
        <f>17547*F1340</f>
        <v>5849</v>
      </c>
      <c r="F1340" s="12">
        <f>Systems!D81</f>
        <v>0.33333333333333331</v>
      </c>
      <c r="G1340" s="1" t="s">
        <v>14</v>
      </c>
      <c r="H1340" s="1" t="s">
        <v>65</v>
      </c>
    </row>
    <row r="1341" spans="1:8">
      <c r="A1341" s="1" t="s">
        <v>4643</v>
      </c>
      <c r="B1341" s="1" t="s">
        <v>26</v>
      </c>
      <c r="C1341" s="1" t="s">
        <v>3033</v>
      </c>
      <c r="D1341" s="1" t="s">
        <v>19</v>
      </c>
      <c r="E1341" s="12">
        <f>9804*F1341</f>
        <v>3268</v>
      </c>
      <c r="F1341" s="12">
        <f>Systems!D81</f>
        <v>0.33333333333333331</v>
      </c>
      <c r="G1341" s="1" t="s">
        <v>14</v>
      </c>
      <c r="H1341" s="1" t="s">
        <v>65</v>
      </c>
    </row>
    <row r="1342" spans="1:8">
      <c r="A1342" s="1" t="s">
        <v>4644</v>
      </c>
      <c r="B1342" s="1" t="s">
        <v>26</v>
      </c>
      <c r="C1342" s="1" t="s">
        <v>3033</v>
      </c>
      <c r="D1342" s="1" t="s">
        <v>19</v>
      </c>
      <c r="E1342" s="12">
        <f>11892*F1342</f>
        <v>3964</v>
      </c>
      <c r="F1342" s="12">
        <f>Systems!D81</f>
        <v>0.33333333333333331</v>
      </c>
      <c r="G1342" s="1" t="s">
        <v>14</v>
      </c>
      <c r="H1342" s="1" t="s">
        <v>65</v>
      </c>
    </row>
    <row r="1343" spans="1:8">
      <c r="A1343" s="1" t="s">
        <v>4645</v>
      </c>
      <c r="B1343" s="1" t="s">
        <v>26</v>
      </c>
      <c r="C1343" s="1" t="s">
        <v>3033</v>
      </c>
      <c r="D1343" s="1" t="s">
        <v>19</v>
      </c>
      <c r="E1343" s="12">
        <f>16694.7*F1343</f>
        <v>5564.9</v>
      </c>
      <c r="F1343" s="12">
        <f>Systems!D81</f>
        <v>0.33333333333333331</v>
      </c>
      <c r="G1343" s="1" t="s">
        <v>14</v>
      </c>
      <c r="H1343" s="1" t="s">
        <v>65</v>
      </c>
    </row>
    <row r="1344" spans="1:8">
      <c r="A1344" s="1" t="s">
        <v>4646</v>
      </c>
      <c r="B1344" s="1" t="s">
        <v>26</v>
      </c>
      <c r="C1344" s="1" t="s">
        <v>3033</v>
      </c>
      <c r="D1344" s="1" t="s">
        <v>19</v>
      </c>
      <c r="E1344" s="12">
        <f>15025.2*F1344</f>
        <v>5008.3999999999996</v>
      </c>
      <c r="F1344" s="12">
        <f>Systems!D81</f>
        <v>0.33333333333333331</v>
      </c>
      <c r="G1344" s="1" t="s">
        <v>14</v>
      </c>
      <c r="H1344" s="1" t="s">
        <v>65</v>
      </c>
    </row>
    <row r="1345" spans="1:8">
      <c r="A1345" s="1" t="s">
        <v>4647</v>
      </c>
      <c r="B1345" s="1" t="s">
        <v>26</v>
      </c>
      <c r="C1345" s="1" t="s">
        <v>3033</v>
      </c>
      <c r="D1345" s="1" t="s">
        <v>19</v>
      </c>
      <c r="E1345" s="12">
        <f>12000*F1345</f>
        <v>4000</v>
      </c>
      <c r="F1345" s="12">
        <f>Systems!D81</f>
        <v>0.33333333333333331</v>
      </c>
      <c r="G1345" s="1" t="s">
        <v>14</v>
      </c>
      <c r="H1345" s="1" t="s">
        <v>65</v>
      </c>
    </row>
    <row r="1346" spans="1:8">
      <c r="A1346" s="1" t="s">
        <v>4648</v>
      </c>
      <c r="B1346" s="1" t="s">
        <v>26</v>
      </c>
      <c r="C1346" s="1" t="s">
        <v>3033</v>
      </c>
      <c r="D1346" s="1" t="s">
        <v>19</v>
      </c>
      <c r="E1346" s="12">
        <f>18000*F1346</f>
        <v>5847.1095005999996</v>
      </c>
      <c r="F1346" s="12">
        <f>Systems!D82</f>
        <v>0.32483941669999999</v>
      </c>
      <c r="G1346" s="1" t="s">
        <v>14</v>
      </c>
      <c r="H1346" s="1" t="s">
        <v>65</v>
      </c>
    </row>
    <row r="1347" spans="1:8">
      <c r="A1347" s="1" t="s">
        <v>4649</v>
      </c>
      <c r="B1347" s="1" t="s">
        <v>26</v>
      </c>
      <c r="C1347" s="1" t="s">
        <v>3033</v>
      </c>
      <c r="D1347" s="1" t="s">
        <v>19</v>
      </c>
      <c r="E1347" s="12">
        <f>11892*F1347</f>
        <v>3964</v>
      </c>
      <c r="F1347" s="12">
        <f>Systems!D81</f>
        <v>0.33333333333333331</v>
      </c>
      <c r="G1347" s="1" t="s">
        <v>14</v>
      </c>
      <c r="H1347" s="1" t="s">
        <v>65</v>
      </c>
    </row>
    <row r="1348" spans="1:8">
      <c r="A1348" s="1" t="s">
        <v>4650</v>
      </c>
      <c r="B1348" s="1" t="s">
        <v>26</v>
      </c>
      <c r="C1348" s="1" t="s">
        <v>3033</v>
      </c>
      <c r="D1348" s="1" t="s">
        <v>19</v>
      </c>
      <c r="E1348" s="12">
        <f>17547*F1348</f>
        <v>5849</v>
      </c>
      <c r="F1348" s="12">
        <f>Systems!D81</f>
        <v>0.33333333333333331</v>
      </c>
      <c r="G1348" s="1" t="s">
        <v>14</v>
      </c>
      <c r="H1348" s="1" t="s">
        <v>65</v>
      </c>
    </row>
    <row r="1349" spans="1:8">
      <c r="A1349" s="1" t="s">
        <v>4651</v>
      </c>
      <c r="B1349" s="1" t="s">
        <v>26</v>
      </c>
      <c r="C1349" s="1" t="s">
        <v>3033</v>
      </c>
      <c r="D1349" s="1" t="s">
        <v>19</v>
      </c>
      <c r="E1349" s="12">
        <f>11799*F1349</f>
        <v>3933</v>
      </c>
      <c r="F1349" s="12">
        <f>Systems!D81</f>
        <v>0.33333333333333331</v>
      </c>
      <c r="G1349" s="1" t="s">
        <v>14</v>
      </c>
      <c r="H1349" s="1" t="s">
        <v>65</v>
      </c>
    </row>
    <row r="1350" spans="1:8">
      <c r="A1350" s="1" t="s">
        <v>4652</v>
      </c>
      <c r="B1350" s="1" t="s">
        <v>26</v>
      </c>
      <c r="C1350" s="1" t="s">
        <v>3033</v>
      </c>
      <c r="D1350" s="1" t="s">
        <v>19</v>
      </c>
      <c r="E1350" s="12">
        <f>13355.7*F1350</f>
        <v>4451.8999999999996</v>
      </c>
      <c r="F1350" s="12">
        <f>Systems!D81</f>
        <v>0.33333333333333331</v>
      </c>
      <c r="G1350" s="1" t="s">
        <v>14</v>
      </c>
      <c r="H1350" s="1" t="s">
        <v>65</v>
      </c>
    </row>
    <row r="1351" spans="1:8">
      <c r="A1351" s="1" t="s">
        <v>4653</v>
      </c>
      <c r="B1351" s="1" t="s">
        <v>26</v>
      </c>
      <c r="C1351" s="1" t="s">
        <v>3033</v>
      </c>
      <c r="D1351" s="1" t="s">
        <v>19</v>
      </c>
      <c r="E1351" s="12">
        <f>10000*F1351</f>
        <v>3248.3941669999999</v>
      </c>
      <c r="F1351" s="12">
        <f>Systems!D82</f>
        <v>0.32483941669999999</v>
      </c>
      <c r="G1351" s="1" t="s">
        <v>14</v>
      </c>
      <c r="H1351" s="1" t="s">
        <v>65</v>
      </c>
    </row>
    <row r="1352" spans="1:8">
      <c r="A1352" s="1" t="s">
        <v>4654</v>
      </c>
      <c r="B1352" s="1" t="s">
        <v>26</v>
      </c>
      <c r="C1352" s="1" t="s">
        <v>3033</v>
      </c>
      <c r="D1352" s="1" t="s">
        <v>19</v>
      </c>
      <c r="E1352" s="12">
        <f>14400*F1352</f>
        <v>4677.6876004799997</v>
      </c>
      <c r="F1352" s="12">
        <f>Systems!D82</f>
        <v>0.32483941669999999</v>
      </c>
      <c r="G1352" s="1" t="s">
        <v>14</v>
      </c>
      <c r="H1352" s="1" t="s">
        <v>65</v>
      </c>
    </row>
    <row r="1353" spans="1:8">
      <c r="A1353" s="1" t="s">
        <v>273</v>
      </c>
      <c r="B1353" s="1" t="s">
        <v>26</v>
      </c>
      <c r="C1353" s="1" t="s">
        <v>3033</v>
      </c>
      <c r="D1353" s="1" t="s">
        <v>19</v>
      </c>
      <c r="E1353" s="12">
        <f>F1353/144</f>
        <v>2.2558292826388888E-3</v>
      </c>
      <c r="F1353" s="12">
        <f>Systems!D82</f>
        <v>0.32483941669999999</v>
      </c>
      <c r="G1353" s="1" t="s">
        <v>14</v>
      </c>
      <c r="H1353" s="1" t="s">
        <v>65</v>
      </c>
    </row>
    <row r="1354" spans="1:8">
      <c r="A1354" s="1" t="s">
        <v>4655</v>
      </c>
      <c r="B1354" s="1" t="s">
        <v>26</v>
      </c>
      <c r="C1354" s="1" t="s">
        <v>3033</v>
      </c>
      <c r="D1354" s="1" t="s">
        <v>19</v>
      </c>
      <c r="E1354" s="12">
        <f>F1354/144</f>
        <v>2.3148148148148147E-3</v>
      </c>
      <c r="F1354" s="12">
        <f>Systems!D81</f>
        <v>0.33333333333333331</v>
      </c>
      <c r="G1354" s="1" t="s">
        <v>14</v>
      </c>
      <c r="H1354" s="1" t="s">
        <v>65</v>
      </c>
    </row>
    <row r="1355" spans="1:8">
      <c r="A1355" s="1" t="s">
        <v>2064</v>
      </c>
      <c r="B1355" s="1" t="s">
        <v>26</v>
      </c>
      <c r="C1355" s="1" t="s">
        <v>3033</v>
      </c>
      <c r="D1355" s="1" t="s">
        <v>19</v>
      </c>
      <c r="E1355" s="12">
        <f>6.5*F1355</f>
        <v>2.4438150561921297E-3</v>
      </c>
      <c r="F1355" s="12">
        <f>Systems!D82/864</f>
        <v>3.7597154710648149E-4</v>
      </c>
      <c r="G1355" s="1" t="s">
        <v>14</v>
      </c>
      <c r="H1355" s="1" t="s">
        <v>65</v>
      </c>
    </row>
    <row r="1356" spans="1:8">
      <c r="A1356" s="1" t="s">
        <v>292</v>
      </c>
      <c r="B1356" s="1" t="s">
        <v>26</v>
      </c>
      <c r="C1356" s="1" t="s">
        <v>3033</v>
      </c>
      <c r="D1356" s="1" t="s">
        <v>19</v>
      </c>
      <c r="E1356" s="12">
        <f>7*F1356</f>
        <v>2.6318008297453706E-3</v>
      </c>
      <c r="F1356" s="12">
        <f>Systems!D82/864</f>
        <v>3.7597154710648149E-4</v>
      </c>
      <c r="G1356" s="1" t="s">
        <v>14</v>
      </c>
      <c r="H1356" s="1" t="s">
        <v>65</v>
      </c>
    </row>
    <row r="1357" spans="1:8">
      <c r="A1357" s="1" t="s">
        <v>4656</v>
      </c>
      <c r="B1357" s="1" t="s">
        <v>26</v>
      </c>
      <c r="C1357" s="1" t="s">
        <v>3033</v>
      </c>
      <c r="D1357" s="1" t="s">
        <v>19</v>
      </c>
      <c r="E1357" s="12">
        <f>6000*F1357</f>
        <v>1949.0365001999999</v>
      </c>
      <c r="F1357" s="12">
        <f>Systems!D82</f>
        <v>0.32483941669999999</v>
      </c>
      <c r="G1357" s="1" t="s">
        <v>14</v>
      </c>
      <c r="H1357" s="1" t="s">
        <v>65</v>
      </c>
    </row>
    <row r="1358" spans="1:8">
      <c r="A1358" s="1" t="s">
        <v>566</v>
      </c>
      <c r="B1358" s="1" t="s">
        <v>26</v>
      </c>
      <c r="C1358" s="1" t="s">
        <v>3033</v>
      </c>
      <c r="D1358" s="1" t="s">
        <v>19</v>
      </c>
      <c r="E1358" s="12">
        <f>635*F1358/100000</f>
        <v>2.1166666666666664E-3</v>
      </c>
      <c r="F1358" s="12">
        <f>Systems!D81</f>
        <v>0.33333333333333331</v>
      </c>
      <c r="G1358" s="1" t="s">
        <v>14</v>
      </c>
      <c r="H1358" s="1" t="s">
        <v>65</v>
      </c>
    </row>
    <row r="1359" spans="1:8">
      <c r="A1359" s="1" t="s">
        <v>2218</v>
      </c>
      <c r="B1359" s="1" t="s">
        <v>26</v>
      </c>
      <c r="C1359" s="1" t="s">
        <v>3033</v>
      </c>
      <c r="D1359" s="1" t="s">
        <v>19</v>
      </c>
      <c r="E1359" s="12">
        <f>F1359/8</f>
        <v>0.24606249999999999</v>
      </c>
      <c r="F1359" s="12">
        <f>Systems!D84</f>
        <v>1.9684999999999999</v>
      </c>
      <c r="G1359" s="1" t="s">
        <v>14</v>
      </c>
      <c r="H1359" s="1" t="s">
        <v>65</v>
      </c>
    </row>
    <row r="1360" spans="1:8">
      <c r="A1360" s="1" t="s">
        <v>4657</v>
      </c>
      <c r="B1360" s="1" t="s">
        <v>26</v>
      </c>
      <c r="C1360" s="1" t="s">
        <v>3033</v>
      </c>
      <c r="D1360" s="1" t="s">
        <v>19</v>
      </c>
      <c r="E1360" s="12">
        <f>234*F1360/125</f>
        <v>0.624</v>
      </c>
      <c r="F1360" s="12">
        <f>Systems!D81</f>
        <v>0.33333333333333331</v>
      </c>
      <c r="G1360" s="1" t="s">
        <v>14</v>
      </c>
      <c r="H1360" s="1" t="s">
        <v>65</v>
      </c>
    </row>
    <row r="1361" spans="1:8">
      <c r="A1361" s="1" t="s">
        <v>4658</v>
      </c>
      <c r="B1361" s="1" t="s">
        <v>26</v>
      </c>
      <c r="C1361" s="1" t="s">
        <v>3033</v>
      </c>
      <c r="D1361" s="1" t="s">
        <v>19</v>
      </c>
      <c r="E1361" s="12">
        <f>5*F1361</f>
        <v>1.6241970834999999</v>
      </c>
      <c r="F1361" s="12">
        <f>Systems!D82</f>
        <v>0.32483941669999999</v>
      </c>
      <c r="G1361" s="1" t="s">
        <v>14</v>
      </c>
      <c r="H1361" s="1" t="s">
        <v>65</v>
      </c>
    </row>
    <row r="1362" spans="1:8">
      <c r="A1362" s="1" t="s">
        <v>4659</v>
      </c>
      <c r="B1362" s="1" t="s">
        <v>26</v>
      </c>
      <c r="C1362" s="1" t="s">
        <v>3033</v>
      </c>
      <c r="D1362" s="1" t="s">
        <v>19</v>
      </c>
      <c r="E1362" s="12">
        <f>18*F1362</f>
        <v>5.8471095006000002</v>
      </c>
      <c r="F1362" s="12">
        <f>Systems!D82</f>
        <v>0.32483941669999999</v>
      </c>
      <c r="G1362" s="1" t="s">
        <v>14</v>
      </c>
      <c r="H1362" s="1" t="s">
        <v>65</v>
      </c>
    </row>
    <row r="1363" spans="1:8">
      <c r="A1363" s="1" t="s">
        <v>4660</v>
      </c>
      <c r="B1363" s="1" t="s">
        <v>26</v>
      </c>
      <c r="C1363" s="1" t="s">
        <v>3033</v>
      </c>
      <c r="D1363" s="1" t="s">
        <v>19</v>
      </c>
      <c r="E1363" s="12">
        <f>22*F1363</f>
        <v>7.1464671674</v>
      </c>
      <c r="F1363" s="12">
        <f>Systems!D82</f>
        <v>0.32483941669999999</v>
      </c>
      <c r="G1363" s="1" t="s">
        <v>14</v>
      </c>
      <c r="H1363" s="1" t="s">
        <v>65</v>
      </c>
    </row>
    <row r="1364" spans="1:8">
      <c r="A1364" s="1" t="s">
        <v>4661</v>
      </c>
      <c r="B1364" s="1" t="s">
        <v>26</v>
      </c>
      <c r="C1364" s="1" t="s">
        <v>3033</v>
      </c>
      <c r="D1364" s="1" t="s">
        <v>19</v>
      </c>
      <c r="E1364" s="12">
        <f>20*F1364</f>
        <v>6.4967883339999997</v>
      </c>
      <c r="F1364" s="12">
        <f>Systems!D82</f>
        <v>0.32483941669999999</v>
      </c>
      <c r="G1364" s="1" t="s">
        <v>14</v>
      </c>
      <c r="H1364" s="1" t="s">
        <v>65</v>
      </c>
    </row>
    <row r="1365" spans="1:8">
      <c r="A1365" s="1" t="s">
        <v>4662</v>
      </c>
      <c r="B1365" s="1" t="s">
        <v>26</v>
      </c>
      <c r="C1365" s="1" t="s">
        <v>3033</v>
      </c>
      <c r="D1365" s="1" t="s">
        <v>19</v>
      </c>
      <c r="E1365" s="12">
        <f>22*F1365</f>
        <v>7.1464671674</v>
      </c>
      <c r="F1365" s="12">
        <f>Systems!D82</f>
        <v>0.32483941669999999</v>
      </c>
      <c r="G1365" s="1" t="s">
        <v>14</v>
      </c>
      <c r="H1365" s="1" t="s">
        <v>65</v>
      </c>
    </row>
    <row r="1366" spans="1:8">
      <c r="A1366" s="1" t="s">
        <v>4663</v>
      </c>
      <c r="B1366" s="1" t="s">
        <v>26</v>
      </c>
      <c r="C1366" s="1" t="s">
        <v>3033</v>
      </c>
      <c r="D1366" s="1" t="s">
        <v>19</v>
      </c>
      <c r="E1366" s="12">
        <f>9*F1366</f>
        <v>3.3837439239675E-3</v>
      </c>
      <c r="F1366" s="12">
        <f>Systems!D85</f>
        <v>3.7597154710749999E-4</v>
      </c>
      <c r="G1366" s="1" t="s">
        <v>14</v>
      </c>
      <c r="H1366" s="1" t="s">
        <v>65</v>
      </c>
    </row>
    <row r="1367" spans="1:8">
      <c r="A1367" s="1" t="s">
        <v>4664</v>
      </c>
      <c r="B1367" s="1" t="s">
        <v>26</v>
      </c>
      <c r="C1367" s="1" t="s">
        <v>3033</v>
      </c>
      <c r="D1367" s="1" t="s">
        <v>19</v>
      </c>
      <c r="E1367" s="12">
        <f>7.5*F1367</f>
        <v>2.8197866033062499E-3</v>
      </c>
      <c r="F1367" s="12">
        <f>Systems!D85</f>
        <v>3.7597154710749999E-4</v>
      </c>
      <c r="G1367" s="1" t="s">
        <v>14</v>
      </c>
      <c r="H1367" s="1" t="s">
        <v>65</v>
      </c>
    </row>
    <row r="1368" spans="1:8">
      <c r="A1368" s="1" t="s">
        <v>328</v>
      </c>
      <c r="B1368" s="1" t="s">
        <v>26</v>
      </c>
      <c r="C1368" s="1" t="s">
        <v>3033</v>
      </c>
      <c r="D1368" s="1" t="s">
        <v>19</v>
      </c>
      <c r="E1368" s="12">
        <f>11*F1368</f>
        <v>4.1356870181824996E-3</v>
      </c>
      <c r="F1368" s="12">
        <f>Systems!D85</f>
        <v>3.7597154710749999E-4</v>
      </c>
      <c r="G1368" s="1" t="s">
        <v>14</v>
      </c>
      <c r="H1368" s="1" t="s">
        <v>65</v>
      </c>
    </row>
    <row r="1369" spans="1:8">
      <c r="A1369" s="1" t="s">
        <v>4665</v>
      </c>
      <c r="B1369" s="1" t="s">
        <v>26</v>
      </c>
      <c r="C1369" s="1" t="s">
        <v>3033</v>
      </c>
      <c r="D1369" s="1" t="s">
        <v>19</v>
      </c>
      <c r="E1369" s="12">
        <f>F1369</f>
        <v>0.22360679775</v>
      </c>
      <c r="F1369" s="12">
        <f>Systems!D86</f>
        <v>0.22360679775</v>
      </c>
      <c r="G1369" s="1" t="s">
        <v>14</v>
      </c>
      <c r="H1369" s="1" t="s">
        <v>65</v>
      </c>
    </row>
    <row r="1370" spans="1:8">
      <c r="A1370" s="1" t="s">
        <v>4666</v>
      </c>
      <c r="B1370" s="1" t="s">
        <v>26</v>
      </c>
      <c r="C1370" s="1" t="s">
        <v>3033</v>
      </c>
      <c r="D1370" s="1" t="s">
        <v>19</v>
      </c>
      <c r="E1370" s="12">
        <f>F1370</f>
        <v>0.32484000000000002</v>
      </c>
      <c r="F1370" s="12">
        <f>Systems!D87</f>
        <v>0.32484000000000002</v>
      </c>
      <c r="G1370" s="1" t="s">
        <v>14</v>
      </c>
      <c r="H1370" s="1" t="s">
        <v>65</v>
      </c>
    </row>
    <row r="1371" spans="1:8">
      <c r="A1371" s="1" t="s">
        <v>4667</v>
      </c>
      <c r="B1371" s="1" t="s">
        <v>26</v>
      </c>
      <c r="C1371" s="1" t="s">
        <v>3033</v>
      </c>
      <c r="D1371" s="1" t="s">
        <v>19</v>
      </c>
      <c r="E1371" s="12">
        <f>F1371</f>
        <v>0.32483941669999999</v>
      </c>
      <c r="F1371" s="12">
        <f>Systems!D82</f>
        <v>0.32483941669999999</v>
      </c>
      <c r="G1371" s="1" t="s">
        <v>14</v>
      </c>
      <c r="H1371" s="1" t="s">
        <v>65</v>
      </c>
    </row>
    <row r="1372" spans="1:8">
      <c r="A1372" s="1" t="s">
        <v>4668</v>
      </c>
      <c r="B1372" s="1" t="s">
        <v>26</v>
      </c>
      <c r="C1372" s="1" t="s">
        <v>3033</v>
      </c>
      <c r="D1372" s="1" t="s">
        <v>19</v>
      </c>
      <c r="E1372" s="12">
        <f>F1372</f>
        <v>0.33333333333333331</v>
      </c>
      <c r="F1372" s="12">
        <f>Systems!D81</f>
        <v>0.33333333333333331</v>
      </c>
      <c r="G1372" s="1" t="s">
        <v>14</v>
      </c>
      <c r="H1372" s="1" t="s">
        <v>65</v>
      </c>
    </row>
    <row r="1373" spans="1:8">
      <c r="A1373" s="1" t="s">
        <v>990</v>
      </c>
      <c r="B1373" s="1" t="s">
        <v>26</v>
      </c>
      <c r="C1373" s="1" t="s">
        <v>3033</v>
      </c>
      <c r="D1373" s="1" t="s">
        <v>19</v>
      </c>
      <c r="E1373" s="12">
        <f>F1373/1728</f>
        <v>1.8798577355324075E-4</v>
      </c>
      <c r="F1373" s="12">
        <f>Systems!D82</f>
        <v>0.32483941669999999</v>
      </c>
      <c r="G1373" s="1" t="s">
        <v>14</v>
      </c>
      <c r="H1373" s="1" t="s">
        <v>65</v>
      </c>
    </row>
    <row r="1374" spans="1:8">
      <c r="A1374" s="1" t="s">
        <v>4669</v>
      </c>
      <c r="B1374" s="1" t="s">
        <v>26</v>
      </c>
      <c r="C1374" s="1" t="s">
        <v>3033</v>
      </c>
      <c r="D1374" s="1" t="s">
        <v>19</v>
      </c>
      <c r="E1374" s="12">
        <f>F1374/2660</f>
        <v>3.7593984962406017E-4</v>
      </c>
      <c r="F1374" s="12">
        <f>SI!E3</f>
        <v>1</v>
      </c>
      <c r="G1374" s="1" t="s">
        <v>14</v>
      </c>
      <c r="H1374" s="1" t="s">
        <v>65</v>
      </c>
    </row>
    <row r="1375" spans="1:8">
      <c r="A1375" s="1" t="s">
        <v>4670</v>
      </c>
      <c r="B1375" s="1" t="s">
        <v>26</v>
      </c>
      <c r="C1375" s="1" t="s">
        <v>3033</v>
      </c>
      <c r="D1375" s="1" t="s">
        <v>19</v>
      </c>
      <c r="E1375" s="12">
        <f>F1375</f>
        <v>3.7597154710749999E-4</v>
      </c>
      <c r="F1375" s="12">
        <f>Systems!D85</f>
        <v>3.7597154710749999E-4</v>
      </c>
      <c r="G1375" s="1" t="s">
        <v>14</v>
      </c>
      <c r="H1375" s="1" t="s">
        <v>65</v>
      </c>
    </row>
    <row r="1376" spans="1:8">
      <c r="A1376" s="1" t="s">
        <v>4671</v>
      </c>
      <c r="B1376" s="1" t="s">
        <v>26</v>
      </c>
      <c r="C1376" s="1" t="s">
        <v>3033</v>
      </c>
      <c r="D1376" s="1" t="s">
        <v>19</v>
      </c>
      <c r="E1376" s="12">
        <f>11*F1376/864</f>
        <v>3.4464058484760801E-4</v>
      </c>
      <c r="F1376" s="12">
        <f>Systems!D82/12</f>
        <v>2.7069951391666666E-2</v>
      </c>
      <c r="G1376" s="1" t="s">
        <v>14</v>
      </c>
      <c r="H1376" s="1" t="s">
        <v>65</v>
      </c>
    </row>
    <row r="1377" spans="1:8">
      <c r="A1377" s="1" t="s">
        <v>4672</v>
      </c>
      <c r="B1377" s="1" t="s">
        <v>26</v>
      </c>
      <c r="C1377" s="1" t="s">
        <v>3033</v>
      </c>
      <c r="D1377" s="1" t="s">
        <v>19</v>
      </c>
      <c r="E1377" s="12">
        <f>0.00039877*F1377</f>
        <v>3.9877000000000001E-4</v>
      </c>
      <c r="F1377" s="12">
        <f>SI!E3</f>
        <v>1</v>
      </c>
      <c r="G1377" s="1" t="s">
        <v>14</v>
      </c>
      <c r="H1377" s="1" t="s">
        <v>65</v>
      </c>
    </row>
    <row r="1378" spans="1:8">
      <c r="A1378" s="1" t="s">
        <v>4673</v>
      </c>
      <c r="B1378" s="1" t="s">
        <v>26</v>
      </c>
      <c r="C1378" s="1" t="s">
        <v>3033</v>
      </c>
      <c r="D1378" s="1" t="s">
        <v>19</v>
      </c>
      <c r="E1378" s="12">
        <f>0.000375*F1378</f>
        <v>3.7500000000000001E-4</v>
      </c>
      <c r="F1378" s="12">
        <f>SI!E3</f>
        <v>1</v>
      </c>
      <c r="G1378" s="1" t="s">
        <v>14</v>
      </c>
      <c r="H1378" s="1" t="s">
        <v>65</v>
      </c>
    </row>
    <row r="1379" spans="1:8">
      <c r="A1379" s="1" t="s">
        <v>4674</v>
      </c>
      <c r="B1379" s="1" t="s">
        <v>26</v>
      </c>
      <c r="C1379" s="1" t="s">
        <v>3033</v>
      </c>
      <c r="D1379" s="1" t="s">
        <v>19</v>
      </c>
      <c r="E1379" s="12">
        <f>0.000188*F1379</f>
        <v>1.8799999999999999E-4</v>
      </c>
      <c r="F1379" s="12">
        <f>SI!E3</f>
        <v>1</v>
      </c>
      <c r="G1379" s="1" t="s">
        <v>14</v>
      </c>
      <c r="H1379" s="1" t="s">
        <v>65</v>
      </c>
    </row>
    <row r="1380" spans="1:8">
      <c r="A1380" s="1" t="s">
        <v>1030</v>
      </c>
      <c r="B1380" s="1" t="s">
        <v>26</v>
      </c>
      <c r="C1380" s="1" t="s">
        <v>3033</v>
      </c>
      <c r="D1380" s="1" t="s">
        <v>19</v>
      </c>
      <c r="E1380" s="12">
        <f>F1380/12</f>
        <v>2.7069951391666666E-2</v>
      </c>
      <c r="F1380" s="12">
        <f>Systems!D82</f>
        <v>0.32483941669999999</v>
      </c>
      <c r="G1380" s="1" t="s">
        <v>14</v>
      </c>
      <c r="H1380" s="1" t="s">
        <v>65</v>
      </c>
    </row>
    <row r="1381" spans="1:8">
      <c r="A1381" s="1" t="s">
        <v>4675</v>
      </c>
      <c r="B1381" s="1" t="s">
        <v>26</v>
      </c>
      <c r="C1381" s="1" t="s">
        <v>3033</v>
      </c>
      <c r="D1381" s="1" t="s">
        <v>19</v>
      </c>
      <c r="E1381" s="12">
        <f>F1381/12</f>
        <v>2.7777777777777776E-2</v>
      </c>
      <c r="F1381" s="12">
        <f>Systems!D81</f>
        <v>0.33333333333333331</v>
      </c>
      <c r="G1381" s="1" t="s">
        <v>14</v>
      </c>
      <c r="H1381" s="1" t="s">
        <v>65</v>
      </c>
    </row>
    <row r="1382" spans="1:8">
      <c r="A1382" s="1" t="s">
        <v>4676</v>
      </c>
      <c r="B1382" s="1" t="s">
        <v>26</v>
      </c>
      <c r="C1382" s="1" t="s">
        <v>3033</v>
      </c>
      <c r="D1382" s="1" t="s">
        <v>19</v>
      </c>
      <c r="E1382" s="12">
        <f>45*F1382/8</f>
        <v>1.8272217189375</v>
      </c>
      <c r="F1382" s="12">
        <f>Systems!D82</f>
        <v>0.32483941669999999</v>
      </c>
      <c r="G1382" s="1" t="s">
        <v>14</v>
      </c>
      <c r="H1382" s="1" t="s">
        <v>65</v>
      </c>
    </row>
    <row r="1383" spans="1:8">
      <c r="A1383" s="1" t="s">
        <v>4677</v>
      </c>
      <c r="B1383" s="1" t="s">
        <v>26</v>
      </c>
      <c r="C1383" s="1" t="s">
        <v>3033</v>
      </c>
      <c r="D1383" s="1" t="s">
        <v>19</v>
      </c>
      <c r="E1383" s="12">
        <f>36*F1383/7</f>
        <v>1.8142857142857145E-3</v>
      </c>
      <c r="F1383" s="12">
        <f>Systems!D6/(12*72)</f>
        <v>3.5277777777777781E-4</v>
      </c>
      <c r="G1383" s="1" t="s">
        <v>14</v>
      </c>
      <c r="H1383" s="1" t="s">
        <v>65</v>
      </c>
    </row>
    <row r="1384" spans="1:8">
      <c r="A1384" s="1" t="s">
        <v>4678</v>
      </c>
      <c r="B1384" s="1" t="s">
        <v>26</v>
      </c>
      <c r="C1384" s="1" t="s">
        <v>3033</v>
      </c>
      <c r="D1384" s="1" t="s">
        <v>19</v>
      </c>
      <c r="E1384" s="12">
        <f>6*F1384</f>
        <v>1.9490365002000001</v>
      </c>
      <c r="F1384" s="12">
        <f>Systems!D82</f>
        <v>0.32483941669999999</v>
      </c>
      <c r="G1384" s="1" t="s">
        <v>14</v>
      </c>
      <c r="H1384" s="1" t="s">
        <v>65</v>
      </c>
    </row>
    <row r="1385" spans="1:8">
      <c r="A1385" s="1" t="s">
        <v>4679</v>
      </c>
      <c r="B1385" s="1" t="s">
        <v>26</v>
      </c>
      <c r="C1385" s="1" t="s">
        <v>3033</v>
      </c>
      <c r="D1385" s="1" t="s">
        <v>19</v>
      </c>
      <c r="E1385" s="12">
        <f>6*F1385</f>
        <v>1.9490400000000001</v>
      </c>
      <c r="F1385" s="12">
        <f>Systems!D87</f>
        <v>0.32484000000000002</v>
      </c>
      <c r="G1385" s="1" t="s">
        <v>14</v>
      </c>
      <c r="H1385" s="1" t="s">
        <v>65</v>
      </c>
    </row>
    <row r="1386" spans="1:8">
      <c r="A1386" s="1" t="s">
        <v>4680</v>
      </c>
      <c r="B1386" s="1" t="s">
        <v>26</v>
      </c>
      <c r="C1386" s="1" t="s">
        <v>3033</v>
      </c>
      <c r="D1386" s="1" t="s">
        <v>19</v>
      </c>
      <c r="E1386" s="12">
        <f>F1386</f>
        <v>1.94909</v>
      </c>
      <c r="F1386" s="12">
        <f>Systems!D88</f>
        <v>1.94909</v>
      </c>
      <c r="G1386" s="1" t="s">
        <v>14</v>
      </c>
      <c r="H1386" s="1" t="s">
        <v>65</v>
      </c>
    </row>
    <row r="1387" spans="1:8">
      <c r="A1387" s="1" t="s">
        <v>4681</v>
      </c>
      <c r="B1387" s="1" t="s">
        <v>26</v>
      </c>
      <c r="C1387" s="1" t="s">
        <v>3033</v>
      </c>
      <c r="D1387" s="1" t="s">
        <v>19</v>
      </c>
      <c r="E1387" s="12">
        <f>6*F1387</f>
        <v>2</v>
      </c>
      <c r="F1387" s="12">
        <f>Systems!D81</f>
        <v>0.33333333333333331</v>
      </c>
      <c r="G1387" s="1" t="s">
        <v>14</v>
      </c>
      <c r="H1387" s="1" t="s">
        <v>65</v>
      </c>
    </row>
    <row r="1388" spans="1:8" ht="16.5">
      <c r="A1388" s="1" t="s">
        <v>3063</v>
      </c>
      <c r="B1388" s="1" t="s">
        <v>62</v>
      </c>
      <c r="C1388" s="1" t="s">
        <v>3034</v>
      </c>
      <c r="D1388" s="1" t="s">
        <v>38</v>
      </c>
      <c r="E1388" s="12">
        <f>F1388</f>
        <v>100</v>
      </c>
      <c r="F1388" s="12">
        <f>Systems!H82</f>
        <v>100</v>
      </c>
      <c r="G1388" s="1" t="s">
        <v>39</v>
      </c>
      <c r="H1388" s="1" t="s">
        <v>65</v>
      </c>
    </row>
    <row r="1389" spans="1:8" ht="16.5">
      <c r="A1389" s="1" t="s">
        <v>1017</v>
      </c>
      <c r="B1389" s="1" t="s">
        <v>26</v>
      </c>
      <c r="C1389" s="1" t="s">
        <v>3034</v>
      </c>
      <c r="D1389" s="1" t="s">
        <v>38</v>
      </c>
      <c r="E1389" s="12">
        <f>32400*F1389</f>
        <v>3418.8689512006777</v>
      </c>
      <c r="F1389" s="12">
        <f>POWER(Systems!D82,2)</f>
        <v>0.10552064664199623</v>
      </c>
      <c r="G1389" s="1" t="s">
        <v>39</v>
      </c>
      <c r="H1389" s="1" t="s">
        <v>65</v>
      </c>
    </row>
    <row r="1390" spans="1:8" ht="16.5">
      <c r="A1390" s="1" t="s">
        <v>4682</v>
      </c>
      <c r="B1390" s="1" t="s">
        <v>26</v>
      </c>
      <c r="C1390" s="1" t="s">
        <v>3034</v>
      </c>
      <c r="D1390" s="1" t="s">
        <v>38</v>
      </c>
      <c r="E1390" s="12">
        <f>32400*F1390</f>
        <v>3418.8689512006777</v>
      </c>
      <c r="F1390" s="12">
        <f>Systems!H80</f>
        <v>0.10552064664199623</v>
      </c>
      <c r="G1390" s="1" t="s">
        <v>39</v>
      </c>
      <c r="H1390" s="1" t="s">
        <v>65</v>
      </c>
    </row>
    <row r="1391" spans="1:8" ht="16.5">
      <c r="A1391" s="1" t="s">
        <v>4683</v>
      </c>
      <c r="B1391" s="1" t="s">
        <v>26</v>
      </c>
      <c r="C1391" s="1" t="s">
        <v>3034</v>
      </c>
      <c r="D1391" s="1" t="s">
        <v>38</v>
      </c>
      <c r="E1391" s="12">
        <f>40000*F1391</f>
        <v>4220.8258656798489</v>
      </c>
      <c r="F1391" s="12">
        <f>Systems!H80</f>
        <v>0.10552064664199623</v>
      </c>
      <c r="G1391" s="1" t="s">
        <v>39</v>
      </c>
      <c r="H1391" s="1" t="s">
        <v>65</v>
      </c>
    </row>
    <row r="1392" spans="1:8" ht="16.5">
      <c r="A1392" s="1" t="s">
        <v>4684</v>
      </c>
      <c r="B1392" s="1" t="s">
        <v>26</v>
      </c>
      <c r="C1392" s="1" t="s">
        <v>3034</v>
      </c>
      <c r="D1392" s="1" t="s">
        <v>38</v>
      </c>
      <c r="E1392" s="12">
        <f>48400*F1392</f>
        <v>5107.1992974726172</v>
      </c>
      <c r="F1392" s="12">
        <f>Systems!H80</f>
        <v>0.10552064664199623</v>
      </c>
      <c r="G1392" s="1" t="s">
        <v>39</v>
      </c>
      <c r="H1392" s="1" t="s">
        <v>65</v>
      </c>
    </row>
    <row r="1393" spans="1:8" ht="16.5">
      <c r="A1393" s="1" t="s">
        <v>4685</v>
      </c>
      <c r="B1393" s="1" t="s">
        <v>26</v>
      </c>
      <c r="C1393" s="1" t="s">
        <v>3034</v>
      </c>
      <c r="D1393" s="1" t="s">
        <v>38</v>
      </c>
      <c r="E1393" s="12">
        <f>32400*F1393</f>
        <v>3418.8689512006777</v>
      </c>
      <c r="F1393" s="12">
        <f>POWER(Systems!D82,2)</f>
        <v>0.10552064664199623</v>
      </c>
      <c r="G1393" s="1" t="s">
        <v>39</v>
      </c>
      <c r="H1393" s="1" t="s">
        <v>65</v>
      </c>
    </row>
    <row r="1394" spans="1:8" ht="16.5">
      <c r="A1394" s="1" t="s">
        <v>4686</v>
      </c>
      <c r="B1394" s="1" t="s">
        <v>26</v>
      </c>
      <c r="C1394" s="1" t="s">
        <v>3034</v>
      </c>
      <c r="D1394" s="1" t="s">
        <v>38</v>
      </c>
      <c r="E1394" s="12">
        <f>48400*F1394</f>
        <v>5107.1992974726172</v>
      </c>
      <c r="F1394" s="12">
        <f>POWER(Systems!D82,2)</f>
        <v>0.10552064664199623</v>
      </c>
      <c r="G1394" s="1" t="s">
        <v>39</v>
      </c>
      <c r="H1394" s="1" t="s">
        <v>65</v>
      </c>
    </row>
    <row r="1395" spans="1:8" ht="16.5">
      <c r="A1395" s="1" t="s">
        <v>4687</v>
      </c>
      <c r="B1395" s="1" t="s">
        <v>26</v>
      </c>
      <c r="C1395" s="1" t="s">
        <v>3034</v>
      </c>
      <c r="D1395" s="1" t="s">
        <v>38</v>
      </c>
      <c r="E1395" s="12">
        <f>65*195*F1395</f>
        <v>4225</v>
      </c>
      <c r="F1395" s="12">
        <f>Systems!D81</f>
        <v>0.33333333333333331</v>
      </c>
      <c r="G1395" s="1" t="s">
        <v>39</v>
      </c>
      <c r="H1395" s="1" t="s">
        <v>65</v>
      </c>
    </row>
    <row r="1396" spans="1:8" ht="16.5">
      <c r="A1396" s="1" t="s">
        <v>1279</v>
      </c>
      <c r="B1396" s="1" t="s">
        <v>26</v>
      </c>
      <c r="C1396" s="1" t="s">
        <v>3034</v>
      </c>
      <c r="D1396" s="1" t="s">
        <v>38</v>
      </c>
      <c r="E1396" s="12">
        <f>F1396</f>
        <v>1367</v>
      </c>
      <c r="F1396" s="12">
        <f>Systems!H87</f>
        <v>1367</v>
      </c>
      <c r="G1396" s="1" t="s">
        <v>39</v>
      </c>
      <c r="H1396" s="1" t="s">
        <v>65</v>
      </c>
    </row>
    <row r="1397" spans="1:8" ht="16.5">
      <c r="A1397" s="1" t="s">
        <v>4688</v>
      </c>
      <c r="B1397" s="1" t="s">
        <v>26</v>
      </c>
      <c r="C1397" s="1" t="s">
        <v>3034</v>
      </c>
      <c r="D1397" s="1" t="s">
        <v>38</v>
      </c>
      <c r="E1397" s="12">
        <f>2*F1397/15</f>
        <v>356.13333333333333</v>
      </c>
      <c r="F1397" s="12">
        <f>Systems!H81</f>
        <v>2671</v>
      </c>
      <c r="G1397" s="1" t="s">
        <v>39</v>
      </c>
      <c r="H1397" s="1" t="s">
        <v>65</v>
      </c>
    </row>
    <row r="1398" spans="1:8" ht="16.5">
      <c r="A1398" s="1" t="s">
        <v>4689</v>
      </c>
      <c r="B1398" s="1" t="s">
        <v>26</v>
      </c>
      <c r="C1398" s="1" t="s">
        <v>3034</v>
      </c>
      <c r="D1398" s="1" t="s">
        <v>38</v>
      </c>
      <c r="E1398" s="12">
        <f>6.25*F1398</f>
        <v>625</v>
      </c>
      <c r="F1398" s="12">
        <f>Systems!H82</f>
        <v>100</v>
      </c>
      <c r="G1398" s="1" t="s">
        <v>39</v>
      </c>
      <c r="H1398" s="1" t="s">
        <v>65</v>
      </c>
    </row>
    <row r="1399" spans="1:8" ht="16.5">
      <c r="A1399" s="1" t="s">
        <v>4690</v>
      </c>
      <c r="B1399" s="1" t="s">
        <v>26</v>
      </c>
      <c r="C1399" s="1" t="s">
        <v>3034</v>
      </c>
      <c r="D1399" s="1" t="s">
        <v>38</v>
      </c>
      <c r="E1399" s="12">
        <f>F1399</f>
        <v>3.8749922499999996</v>
      </c>
      <c r="F1399" s="12">
        <f>POWER(Systems!D84,2)</f>
        <v>3.8749922499999996</v>
      </c>
      <c r="G1399" s="1" t="s">
        <v>39</v>
      </c>
      <c r="H1399" s="1" t="s">
        <v>65</v>
      </c>
    </row>
    <row r="1400" spans="1:8" ht="16.5">
      <c r="A1400" s="1" t="s">
        <v>1361</v>
      </c>
      <c r="B1400" s="1" t="s">
        <v>26</v>
      </c>
      <c r="C1400" s="1" t="s">
        <v>3034</v>
      </c>
      <c r="D1400" s="1" t="s">
        <v>38</v>
      </c>
      <c r="E1400" s="12">
        <f>432*F1400</f>
        <v>7290</v>
      </c>
      <c r="F1400" s="12">
        <f>Systems!H83</f>
        <v>16.875</v>
      </c>
      <c r="G1400" s="1" t="s">
        <v>39</v>
      </c>
      <c r="H1400" s="1" t="s">
        <v>65</v>
      </c>
    </row>
    <row r="1401" spans="1:8" ht="16.5">
      <c r="A1401" s="1" t="s">
        <v>4691</v>
      </c>
      <c r="B1401" s="1" t="s">
        <v>26</v>
      </c>
      <c r="C1401" s="1" t="s">
        <v>3034</v>
      </c>
      <c r="D1401" s="1" t="s">
        <v>38</v>
      </c>
      <c r="E1401" s="12">
        <f>75*F1401/2</f>
        <v>720</v>
      </c>
      <c r="F1401" s="12">
        <f>Systems!H84</f>
        <v>19.2</v>
      </c>
      <c r="G1401" s="1" t="s">
        <v>39</v>
      </c>
      <c r="H1401" s="1" t="s">
        <v>65</v>
      </c>
    </row>
    <row r="1402" spans="1:8" ht="16.5">
      <c r="A1402" s="1" t="s">
        <v>4692</v>
      </c>
      <c r="B1402" s="1" t="s">
        <v>26</v>
      </c>
      <c r="C1402" s="1" t="s">
        <v>3034</v>
      </c>
      <c r="D1402" s="1" t="s">
        <v>38</v>
      </c>
      <c r="E1402" s="12">
        <f>100*F1402/12</f>
        <v>833.33333333333337</v>
      </c>
      <c r="F1402" s="12">
        <f>Systems!H82</f>
        <v>100</v>
      </c>
      <c r="G1402" s="1" t="s">
        <v>39</v>
      </c>
      <c r="H1402" s="1" t="s">
        <v>65</v>
      </c>
    </row>
    <row r="1403" spans="1:8" ht="16.5">
      <c r="A1403" s="1" t="s">
        <v>4693</v>
      </c>
      <c r="B1403" s="1" t="s">
        <v>26</v>
      </c>
      <c r="C1403" s="1" t="s">
        <v>3034</v>
      </c>
      <c r="D1403" s="1" t="s">
        <v>38</v>
      </c>
      <c r="E1403" s="12">
        <f>72*F1403</f>
        <v>1215</v>
      </c>
      <c r="F1403" s="12">
        <f>Systems!H83</f>
        <v>16.875</v>
      </c>
      <c r="G1403" s="1" t="s">
        <v>39</v>
      </c>
      <c r="H1403" s="1" t="s">
        <v>65</v>
      </c>
    </row>
    <row r="1404" spans="1:8" ht="16.5">
      <c r="A1404" s="1" t="s">
        <v>4694</v>
      </c>
      <c r="B1404" s="1" t="s">
        <v>26</v>
      </c>
      <c r="C1404" s="1" t="s">
        <v>3034</v>
      </c>
      <c r="D1404" s="1" t="s">
        <v>38</v>
      </c>
      <c r="E1404" s="12">
        <f>F1404</f>
        <v>2877</v>
      </c>
      <c r="F1404" s="12">
        <f>Systems!H85</f>
        <v>2877</v>
      </c>
      <c r="G1404" s="1" t="s">
        <v>39</v>
      </c>
      <c r="H1404" s="1" t="s">
        <v>65</v>
      </c>
    </row>
    <row r="1405" spans="1:8" ht="16.5">
      <c r="A1405" s="1" t="s">
        <v>4695</v>
      </c>
      <c r="B1405" s="1" t="s">
        <v>26</v>
      </c>
      <c r="C1405" s="1" t="s">
        <v>3034</v>
      </c>
      <c r="D1405" s="1" t="s">
        <v>38</v>
      </c>
      <c r="E1405" s="12">
        <f>0.39*F1405</f>
        <v>39</v>
      </c>
      <c r="F1405" s="12">
        <f>Systems!H82</f>
        <v>100</v>
      </c>
      <c r="G1405" s="1" t="s">
        <v>39</v>
      </c>
      <c r="H1405" s="1" t="s">
        <v>65</v>
      </c>
    </row>
    <row r="1406" spans="1:8" ht="16.5">
      <c r="A1406" s="1" t="s">
        <v>4696</v>
      </c>
      <c r="B1406" s="1" t="s">
        <v>26</v>
      </c>
      <c r="C1406" s="1" t="s">
        <v>3034</v>
      </c>
      <c r="D1406" s="1" t="s">
        <v>38</v>
      </c>
      <c r="E1406" s="12">
        <f>F1406</f>
        <v>19.2</v>
      </c>
      <c r="F1406" s="12">
        <f>Systems!H84</f>
        <v>19.2</v>
      </c>
      <c r="G1406" s="1" t="s">
        <v>39</v>
      </c>
      <c r="H1406" s="1" t="s">
        <v>65</v>
      </c>
    </row>
    <row r="1407" spans="1:8" ht="16.5">
      <c r="A1407" s="1" t="s">
        <v>4697</v>
      </c>
      <c r="B1407" s="1" t="s">
        <v>26</v>
      </c>
      <c r="C1407" s="1" t="s">
        <v>3034</v>
      </c>
      <c r="D1407" s="1" t="s">
        <v>38</v>
      </c>
      <c r="E1407" s="12">
        <f>7.75*F1407</f>
        <v>775</v>
      </c>
      <c r="F1407" s="12">
        <f>Systems!H82</f>
        <v>100</v>
      </c>
      <c r="G1407" s="1" t="s">
        <v>39</v>
      </c>
      <c r="H1407" s="1" t="s">
        <v>65</v>
      </c>
    </row>
    <row r="1408" spans="1:8" ht="16.5">
      <c r="A1408" s="1" t="s">
        <v>4698</v>
      </c>
      <c r="B1408" s="1" t="s">
        <v>26</v>
      </c>
      <c r="C1408" s="1" t="s">
        <v>3034</v>
      </c>
      <c r="D1408" s="1" t="s">
        <v>38</v>
      </c>
      <c r="E1408" s="12">
        <f>F1408</f>
        <v>16.875</v>
      </c>
      <c r="F1408" s="12">
        <f>Systems!H83</f>
        <v>16.875</v>
      </c>
      <c r="G1408" s="1" t="s">
        <v>39</v>
      </c>
      <c r="H1408" s="1" t="s">
        <v>65</v>
      </c>
    </row>
    <row r="1409" spans="1:8" ht="16.5">
      <c r="A1409" s="1" t="s">
        <v>232</v>
      </c>
      <c r="B1409" s="1" t="s">
        <v>26</v>
      </c>
      <c r="C1409" s="1" t="s">
        <v>3034</v>
      </c>
      <c r="D1409" s="1" t="s">
        <v>38</v>
      </c>
      <c r="E1409" s="12">
        <f>10000*F1409</f>
        <v>10000</v>
      </c>
      <c r="F1409" s="12">
        <f>POWER(SI!E3,2)</f>
        <v>1</v>
      </c>
      <c r="G1409" s="1" t="s">
        <v>39</v>
      </c>
      <c r="H1409" s="1" t="s">
        <v>65</v>
      </c>
    </row>
    <row r="1410" spans="1:8" ht="16.5">
      <c r="A1410" s="1" t="s">
        <v>4699</v>
      </c>
      <c r="B1410" s="1" t="s">
        <v>26</v>
      </c>
      <c r="C1410" s="1" t="s">
        <v>3034</v>
      </c>
      <c r="D1410" s="1" t="s">
        <v>38</v>
      </c>
      <c r="E1410" s="12">
        <f>F1410/6</f>
        <v>445.16666666666669</v>
      </c>
      <c r="F1410" s="12">
        <f>Systems!H81</f>
        <v>2671</v>
      </c>
      <c r="G1410" s="1" t="s">
        <v>39</v>
      </c>
      <c r="H1410" s="1" t="s">
        <v>65</v>
      </c>
    </row>
    <row r="1411" spans="1:8" ht="16.5">
      <c r="A1411" s="1" t="s">
        <v>1779</v>
      </c>
      <c r="B1411" s="1" t="s">
        <v>26</v>
      </c>
      <c r="C1411" s="1" t="s">
        <v>3034</v>
      </c>
      <c r="D1411" s="1" t="s">
        <v>38</v>
      </c>
      <c r="E1411" s="12">
        <f>40*F1411</f>
        <v>4000</v>
      </c>
      <c r="F1411" s="12">
        <f>Systems!H82</f>
        <v>100</v>
      </c>
      <c r="G1411" s="1" t="s">
        <v>39</v>
      </c>
      <c r="H1411" s="1" t="s">
        <v>65</v>
      </c>
    </row>
    <row r="1412" spans="1:8" ht="16.5">
      <c r="A1412" s="1" t="s">
        <v>4700</v>
      </c>
      <c r="B1412" s="1" t="s">
        <v>26</v>
      </c>
      <c r="C1412" s="1" t="s">
        <v>3034</v>
      </c>
      <c r="D1412" s="1" t="s">
        <v>38</v>
      </c>
      <c r="E1412" s="12">
        <f>F1412</f>
        <v>4863</v>
      </c>
      <c r="F1412" s="12">
        <f>Systems!H86</f>
        <v>4863</v>
      </c>
      <c r="G1412" s="1" t="s">
        <v>39</v>
      </c>
      <c r="H1412" s="1" t="s">
        <v>65</v>
      </c>
    </row>
    <row r="1413" spans="1:8" ht="16.5">
      <c r="A1413" s="1" t="s">
        <v>4701</v>
      </c>
      <c r="B1413" s="1" t="s">
        <v>26</v>
      </c>
      <c r="C1413" s="1" t="s">
        <v>3034</v>
      </c>
      <c r="D1413" s="1" t="s">
        <v>38</v>
      </c>
      <c r="E1413" s="12">
        <f>F1413</f>
        <v>4000</v>
      </c>
      <c r="F1413" s="12">
        <f>Systems!H88</f>
        <v>4000</v>
      </c>
      <c r="G1413" s="1" t="s">
        <v>39</v>
      </c>
      <c r="H1413" s="1" t="s">
        <v>65</v>
      </c>
    </row>
    <row r="1414" spans="1:8" ht="16.5">
      <c r="A1414" s="1" t="s">
        <v>4702</v>
      </c>
      <c r="B1414" s="1" t="s">
        <v>26</v>
      </c>
      <c r="C1414" s="1" t="s">
        <v>3034</v>
      </c>
      <c r="D1414" s="1" t="s">
        <v>38</v>
      </c>
      <c r="E1414" s="12">
        <f>F1414</f>
        <v>100</v>
      </c>
      <c r="F1414" s="12">
        <f>Systems!H82</f>
        <v>100</v>
      </c>
      <c r="G1414" s="1" t="s">
        <v>39</v>
      </c>
      <c r="H1414" s="1" t="s">
        <v>65</v>
      </c>
    </row>
    <row r="1415" spans="1:8" ht="16.5">
      <c r="A1415" s="1" t="s">
        <v>2982</v>
      </c>
      <c r="B1415" s="1" t="s">
        <v>26</v>
      </c>
      <c r="C1415" s="1" t="s">
        <v>3034</v>
      </c>
      <c r="D1415" s="1" t="s">
        <v>38</v>
      </c>
      <c r="E1415" s="12">
        <f>40*F1415</f>
        <v>4000</v>
      </c>
      <c r="F1415" s="12">
        <f>Systems!H82</f>
        <v>100</v>
      </c>
      <c r="G1415" s="1" t="s">
        <v>39</v>
      </c>
      <c r="H1415" s="1" t="s">
        <v>65</v>
      </c>
    </row>
    <row r="1416" spans="1:8" ht="16.5">
      <c r="A1416" s="1" t="s">
        <v>2983</v>
      </c>
      <c r="B1416" s="1" t="s">
        <v>26</v>
      </c>
      <c r="C1416" s="1" t="s">
        <v>3034</v>
      </c>
      <c r="D1416" s="1" t="s">
        <v>38</v>
      </c>
      <c r="E1416" s="12">
        <f>40*F1416</f>
        <v>4000</v>
      </c>
      <c r="F1416" s="12">
        <f>Systems!H82</f>
        <v>100</v>
      </c>
      <c r="G1416" s="1" t="s">
        <v>39</v>
      </c>
      <c r="H1416" s="1" t="s">
        <v>65</v>
      </c>
    </row>
    <row r="1417" spans="1:8" ht="16.5">
      <c r="A1417" s="1" t="s">
        <v>1935</v>
      </c>
      <c r="B1417" s="1" t="s">
        <v>26</v>
      </c>
      <c r="C1417" s="1" t="s">
        <v>3034</v>
      </c>
      <c r="D1417" s="1" t="s">
        <v>38</v>
      </c>
      <c r="E1417" s="12">
        <f>24*F1417</f>
        <v>405</v>
      </c>
      <c r="F1417" s="12">
        <f>Systems!H83</f>
        <v>16.875</v>
      </c>
      <c r="G1417" s="1" t="s">
        <v>39</v>
      </c>
      <c r="H1417" s="1" t="s">
        <v>65</v>
      </c>
    </row>
    <row r="1418" spans="1:8" ht="16.5">
      <c r="A1418" s="1" t="s">
        <v>2052</v>
      </c>
      <c r="B1418" s="1" t="s">
        <v>26</v>
      </c>
      <c r="C1418" s="1" t="s">
        <v>3034</v>
      </c>
      <c r="D1418" s="1" t="s">
        <v>38</v>
      </c>
      <c r="E1418" s="12">
        <f>1000*F1418</f>
        <v>1000</v>
      </c>
      <c r="F1418" s="12">
        <f>POWER(SI!E3,2)</f>
        <v>1</v>
      </c>
      <c r="G1418" s="1" t="s">
        <v>39</v>
      </c>
      <c r="H1418" s="1" t="s">
        <v>65</v>
      </c>
    </row>
    <row r="1419" spans="1:8" ht="16.5">
      <c r="A1419" s="1" t="s">
        <v>4703</v>
      </c>
      <c r="B1419" s="1" t="s">
        <v>26</v>
      </c>
      <c r="C1419" s="1" t="s">
        <v>3034</v>
      </c>
      <c r="D1419" s="1" t="s">
        <v>38</v>
      </c>
      <c r="E1419" s="12">
        <f>25*F1419</f>
        <v>2500</v>
      </c>
      <c r="F1419" s="12">
        <f>Systems!H82</f>
        <v>100</v>
      </c>
      <c r="G1419" s="1" t="s">
        <v>39</v>
      </c>
      <c r="H1419" s="1" t="s">
        <v>65</v>
      </c>
    </row>
    <row r="1420" spans="1:8" ht="16.5">
      <c r="A1420" s="1" t="s">
        <v>4704</v>
      </c>
      <c r="B1420" s="1" t="s">
        <v>26</v>
      </c>
      <c r="C1420" s="1" t="s">
        <v>3034</v>
      </c>
      <c r="D1420" s="1" t="s">
        <v>38</v>
      </c>
      <c r="E1420" s="12">
        <f>12.5*F1420</f>
        <v>1250</v>
      </c>
      <c r="F1420" s="12">
        <f>Systems!H82</f>
        <v>100</v>
      </c>
      <c r="G1420" s="1" t="s">
        <v>39</v>
      </c>
      <c r="H1420" s="1" t="s">
        <v>65</v>
      </c>
    </row>
    <row r="1421" spans="1:8" ht="16.5">
      <c r="A1421" s="1" t="s">
        <v>2158</v>
      </c>
      <c r="B1421" s="1" t="s">
        <v>26</v>
      </c>
      <c r="C1421" s="1" t="s">
        <v>3034</v>
      </c>
      <c r="D1421" s="1" t="s">
        <v>38</v>
      </c>
      <c r="E1421" s="12">
        <f>6.7*F1421</f>
        <v>670</v>
      </c>
      <c r="F1421" s="12">
        <f>Systems!H82</f>
        <v>100</v>
      </c>
      <c r="G1421" s="1" t="s">
        <v>39</v>
      </c>
      <c r="H1421" s="1" t="s">
        <v>65</v>
      </c>
    </row>
    <row r="1422" spans="1:8" ht="16.5">
      <c r="A1422" s="1" t="s">
        <v>4705</v>
      </c>
      <c r="B1422" s="1" t="s">
        <v>26</v>
      </c>
      <c r="C1422" s="1" t="s">
        <v>3034</v>
      </c>
      <c r="D1422" s="1" t="s">
        <v>38</v>
      </c>
      <c r="E1422" s="12">
        <f>F1422/64</f>
        <v>6.0546753906249993E-2</v>
      </c>
      <c r="F1422" s="12">
        <f>POWER(Systems!D84,2)</f>
        <v>3.8749922499999996</v>
      </c>
      <c r="G1422" s="1" t="s">
        <v>39</v>
      </c>
      <c r="H1422" s="1" t="s">
        <v>65</v>
      </c>
    </row>
    <row r="1423" spans="1:8" ht="16.5">
      <c r="A1423" s="1" t="s">
        <v>2219</v>
      </c>
      <c r="B1423" s="1" t="s">
        <v>26</v>
      </c>
      <c r="C1423" s="1" t="s">
        <v>3034</v>
      </c>
      <c r="D1423" s="1" t="s">
        <v>38</v>
      </c>
      <c r="E1423" s="12">
        <f>F1423/16</f>
        <v>625</v>
      </c>
      <c r="F1423" s="12">
        <f>100*Systems!H82</f>
        <v>10000</v>
      </c>
      <c r="G1423" s="1" t="s">
        <v>39</v>
      </c>
      <c r="H1423" s="1" t="s">
        <v>65</v>
      </c>
    </row>
    <row r="1424" spans="1:8" ht="16.5">
      <c r="A1424" s="1" t="s">
        <v>4706</v>
      </c>
      <c r="B1424" s="1" t="s">
        <v>26</v>
      </c>
      <c r="C1424" s="1" t="s">
        <v>3034</v>
      </c>
      <c r="D1424" s="1" t="s">
        <v>38</v>
      </c>
      <c r="E1424" s="12">
        <f>484*F1424</f>
        <v>51.071992974726172</v>
      </c>
      <c r="F1424" s="12">
        <f>Systems!H80</f>
        <v>0.10552064664199623</v>
      </c>
      <c r="G1424" s="1" t="s">
        <v>39</v>
      </c>
      <c r="H1424" s="1" t="s">
        <v>65</v>
      </c>
    </row>
    <row r="1425" spans="1:8" ht="16.5">
      <c r="A1425" s="1" t="s">
        <v>4707</v>
      </c>
      <c r="B1425" s="1" t="s">
        <v>26</v>
      </c>
      <c r="C1425" s="1" t="s">
        <v>3034</v>
      </c>
      <c r="D1425" s="1" t="s">
        <v>38</v>
      </c>
      <c r="E1425" s="12">
        <f>F1425</f>
        <v>34.188689512006782</v>
      </c>
      <c r="F1425" s="12">
        <f>POWER(18*Systems!D82,2)</f>
        <v>34.188689512006782</v>
      </c>
      <c r="G1425" s="1" t="s">
        <v>39</v>
      </c>
      <c r="H1425" s="1" t="s">
        <v>65</v>
      </c>
    </row>
    <row r="1426" spans="1:8" ht="16.5">
      <c r="A1426" s="1" t="s">
        <v>4708</v>
      </c>
      <c r="B1426" s="1" t="s">
        <v>26</v>
      </c>
      <c r="C1426" s="1" t="s">
        <v>3034</v>
      </c>
      <c r="D1426" s="1" t="s">
        <v>38</v>
      </c>
      <c r="E1426" s="12">
        <f>324*F1426</f>
        <v>34.188689512006775</v>
      </c>
      <c r="F1426" s="12">
        <f>Systems!H80</f>
        <v>0.10552064664199623</v>
      </c>
      <c r="G1426" s="1" t="s">
        <v>39</v>
      </c>
      <c r="H1426" s="1" t="s">
        <v>65</v>
      </c>
    </row>
    <row r="1427" spans="1:8" ht="16.5">
      <c r="A1427" s="1" t="s">
        <v>4660</v>
      </c>
      <c r="B1427" s="1" t="s">
        <v>26</v>
      </c>
      <c r="C1427" s="1" t="s">
        <v>3034</v>
      </c>
      <c r="D1427" s="1" t="s">
        <v>38</v>
      </c>
      <c r="E1427" s="12">
        <f>484*F1427</f>
        <v>51.071992974726172</v>
      </c>
      <c r="F1427" s="12">
        <f>POWER(Systems!D82,2)</f>
        <v>0.10552064664199623</v>
      </c>
      <c r="G1427" s="1" t="s">
        <v>39</v>
      </c>
      <c r="H1427" s="1" t="s">
        <v>65</v>
      </c>
    </row>
    <row r="1428" spans="1:8" ht="16.5">
      <c r="A1428" s="1" t="s">
        <v>4661</v>
      </c>
      <c r="B1428" s="1" t="s">
        <v>26</v>
      </c>
      <c r="C1428" s="1" t="s">
        <v>3034</v>
      </c>
      <c r="D1428" s="1" t="s">
        <v>38</v>
      </c>
      <c r="E1428" s="12">
        <f>400*F1428</f>
        <v>42.208258656798492</v>
      </c>
      <c r="F1428" s="12">
        <f>Systems!H80</f>
        <v>0.10552064664199623</v>
      </c>
      <c r="G1428" s="1" t="s">
        <v>39</v>
      </c>
      <c r="H1428" s="1" t="s">
        <v>65</v>
      </c>
    </row>
    <row r="1429" spans="1:8" ht="16.5">
      <c r="A1429" s="1" t="s">
        <v>4709</v>
      </c>
      <c r="B1429" s="1" t="s">
        <v>26</v>
      </c>
      <c r="C1429" s="1" t="s">
        <v>3034</v>
      </c>
      <c r="D1429" s="1" t="s">
        <v>38</v>
      </c>
      <c r="E1429" s="12">
        <f>F1429/2</f>
        <v>50</v>
      </c>
      <c r="F1429" s="12">
        <f>Systems!H82</f>
        <v>100</v>
      </c>
      <c r="G1429" s="1" t="s">
        <v>39</v>
      </c>
      <c r="H1429" s="1" t="s">
        <v>65</v>
      </c>
    </row>
    <row r="1430" spans="1:8" ht="16.5">
      <c r="A1430" s="1" t="s">
        <v>4710</v>
      </c>
      <c r="B1430" s="1" t="s">
        <v>26</v>
      </c>
      <c r="C1430" s="1" t="s">
        <v>3034</v>
      </c>
      <c r="D1430" s="1" t="s">
        <v>38</v>
      </c>
      <c r="E1430" s="12">
        <f>F1430</f>
        <v>0.10552064664199623</v>
      </c>
      <c r="F1430" s="12">
        <f>Systems!H80</f>
        <v>0.10552064664199623</v>
      </c>
      <c r="G1430" s="1" t="s">
        <v>39</v>
      </c>
      <c r="H1430" s="1" t="s">
        <v>65</v>
      </c>
    </row>
    <row r="1431" spans="1:8" ht="16.5">
      <c r="A1431" s="1" t="s">
        <v>2284</v>
      </c>
      <c r="B1431" s="1" t="s">
        <v>26</v>
      </c>
      <c r="C1431" s="1" t="s">
        <v>3034</v>
      </c>
      <c r="D1431" s="1" t="s">
        <v>38</v>
      </c>
      <c r="E1431" s="12">
        <f>F1431/3</f>
        <v>1333.3333333333333</v>
      </c>
      <c r="F1431" s="12">
        <f>Systems!H88</f>
        <v>4000</v>
      </c>
      <c r="G1431" s="1" t="s">
        <v>39</v>
      </c>
      <c r="H1431" s="1" t="s">
        <v>65</v>
      </c>
    </row>
    <row r="1432" spans="1:8" ht="16.5">
      <c r="A1432" s="1" t="s">
        <v>4711</v>
      </c>
      <c r="B1432" s="1" t="s">
        <v>26</v>
      </c>
      <c r="C1432" s="1" t="s">
        <v>3034</v>
      </c>
      <c r="D1432" s="1" t="s">
        <v>38</v>
      </c>
      <c r="E1432" s="12">
        <f>F1432/60</f>
        <v>66.666666666666671</v>
      </c>
      <c r="F1432" s="12">
        <f>Systems!H88</f>
        <v>4000</v>
      </c>
      <c r="G1432" s="1" t="s">
        <v>39</v>
      </c>
      <c r="H1432" s="1" t="s">
        <v>65</v>
      </c>
    </row>
    <row r="1433" spans="1:8" ht="16.5">
      <c r="A1433" s="1" t="s">
        <v>4712</v>
      </c>
      <c r="B1433" s="1" t="s">
        <v>26</v>
      </c>
      <c r="C1433" s="1" t="s">
        <v>3034</v>
      </c>
      <c r="D1433" s="1" t="s">
        <v>38</v>
      </c>
      <c r="E1433" s="12">
        <f>F1433/50</f>
        <v>80</v>
      </c>
      <c r="F1433" s="12">
        <f>Systems!H88</f>
        <v>4000</v>
      </c>
      <c r="G1433" s="1" t="s">
        <v>39</v>
      </c>
      <c r="H1433" s="1" t="s">
        <v>65</v>
      </c>
    </row>
    <row r="1434" spans="1:8" ht="16.5">
      <c r="A1434" s="1" t="s">
        <v>2425</v>
      </c>
      <c r="B1434" s="1" t="s">
        <v>26</v>
      </c>
      <c r="C1434" s="1" t="s">
        <v>3034</v>
      </c>
      <c r="D1434" s="1" t="s">
        <v>38</v>
      </c>
      <c r="E1434" s="12">
        <f>62*F1434</f>
        <v>6200</v>
      </c>
      <c r="F1434" s="12">
        <f>Systems!H82</f>
        <v>100</v>
      </c>
      <c r="G1434" s="1" t="s">
        <v>39</v>
      </c>
      <c r="H1434" s="1" t="s">
        <v>65</v>
      </c>
    </row>
    <row r="1435" spans="1:8" ht="16.5">
      <c r="A1435" s="1" t="s">
        <v>2463</v>
      </c>
      <c r="B1435" s="1" t="s">
        <v>26</v>
      </c>
      <c r="C1435" s="1" t="s">
        <v>3034</v>
      </c>
      <c r="D1435" s="1" t="s">
        <v>38</v>
      </c>
      <c r="E1435" s="12">
        <f>25533*F1435</f>
        <v>2837</v>
      </c>
      <c r="F1435" s="12">
        <f>POWER(Systems!D81,2)</f>
        <v>0.1111111111111111</v>
      </c>
      <c r="G1435" s="1" t="s">
        <v>39</v>
      </c>
      <c r="H1435" s="1" t="s">
        <v>65</v>
      </c>
    </row>
    <row r="1436" spans="1:8" ht="16.5">
      <c r="A1436" s="1" t="s">
        <v>2487</v>
      </c>
      <c r="B1436" s="1" t="s">
        <v>26</v>
      </c>
      <c r="C1436" s="1" t="s">
        <v>3034</v>
      </c>
      <c r="D1436" s="1" t="s">
        <v>38</v>
      </c>
      <c r="E1436" s="12">
        <f>75*F1436</f>
        <v>1440</v>
      </c>
      <c r="F1436" s="12">
        <f>Systems!H84</f>
        <v>19.2</v>
      </c>
      <c r="G1436" s="1" t="s">
        <v>39</v>
      </c>
      <c r="H1436" s="1" t="s">
        <v>65</v>
      </c>
    </row>
    <row r="1437" spans="1:8" ht="16.5">
      <c r="A1437" s="1" t="s">
        <v>4713</v>
      </c>
      <c r="B1437" s="1" t="s">
        <v>4714</v>
      </c>
      <c r="C1437" s="1" t="s">
        <v>3034</v>
      </c>
      <c r="D1437" s="1" t="s">
        <v>38</v>
      </c>
      <c r="E1437" s="12">
        <f>POWER(4000,2)*F1437</f>
        <v>16000000</v>
      </c>
      <c r="F1437" s="12">
        <f>POWER(SI!E3,2)</f>
        <v>1</v>
      </c>
      <c r="G1437" s="1" t="s">
        <v>39</v>
      </c>
      <c r="H1437" s="1" t="s">
        <v>65</v>
      </c>
    </row>
    <row r="1438" spans="1:8" ht="16.5">
      <c r="A1438" s="1" t="s">
        <v>4715</v>
      </c>
      <c r="B1438" s="1" t="s">
        <v>26</v>
      </c>
      <c r="C1438" s="1" t="s">
        <v>3034</v>
      </c>
      <c r="D1438" s="1" t="s">
        <v>38</v>
      </c>
      <c r="E1438" s="12">
        <f>36*F1438</f>
        <v>3.7987432791118643</v>
      </c>
      <c r="F1438" s="12">
        <f>Systems!H80</f>
        <v>0.10552064664199623</v>
      </c>
      <c r="G1438" s="1" t="s">
        <v>39</v>
      </c>
      <c r="H1438" s="1" t="s">
        <v>65</v>
      </c>
    </row>
    <row r="1439" spans="1:8" ht="16.5">
      <c r="A1439" s="1" t="s">
        <v>2763</v>
      </c>
      <c r="B1439" s="1" t="s">
        <v>26</v>
      </c>
      <c r="C1439" s="1" t="s">
        <v>3034</v>
      </c>
      <c r="D1439" s="1" t="s">
        <v>38</v>
      </c>
      <c r="E1439" s="12">
        <f>12100*F1439</f>
        <v>1276.7998243681543</v>
      </c>
      <c r="F1439" s="12">
        <f>Systems!H80</f>
        <v>0.10552064664199623</v>
      </c>
      <c r="G1439" s="1" t="s">
        <v>39</v>
      </c>
      <c r="H1439" s="1" t="s">
        <v>65</v>
      </c>
    </row>
    <row r="1440" spans="1:8" ht="16.5">
      <c r="A1440" s="1" t="s">
        <v>4716</v>
      </c>
      <c r="B1440" s="1" t="s">
        <v>26</v>
      </c>
      <c r="C1440" s="1" t="s">
        <v>3034</v>
      </c>
      <c r="D1440" s="1" t="s">
        <v>38</v>
      </c>
      <c r="E1440" s="12">
        <f>8100*F1440</f>
        <v>854.71723780016941</v>
      </c>
      <c r="F1440" s="12">
        <f>Systems!H80</f>
        <v>0.10552064664199623</v>
      </c>
      <c r="G1440" s="1" t="s">
        <v>39</v>
      </c>
      <c r="H1440" s="1" t="s">
        <v>65</v>
      </c>
    </row>
    <row r="1441" spans="1:8" ht="16.5">
      <c r="A1441" s="1" t="s">
        <v>4717</v>
      </c>
      <c r="B1441" s="1" t="s">
        <v>26</v>
      </c>
      <c r="C1441" s="1" t="s">
        <v>3034</v>
      </c>
      <c r="D1441" s="1" t="s">
        <v>38</v>
      </c>
      <c r="E1441" s="12">
        <f>10000*F1441</f>
        <v>1055.2064664199622</v>
      </c>
      <c r="F1441" s="12">
        <f>Systems!H80</f>
        <v>0.10552064664199623</v>
      </c>
      <c r="G1441" s="1" t="s">
        <v>39</v>
      </c>
      <c r="H1441" s="1" t="s">
        <v>65</v>
      </c>
    </row>
    <row r="1442" spans="1:8" ht="16.5">
      <c r="A1442" s="1" t="s">
        <v>1302</v>
      </c>
      <c r="B1442" s="1" t="s">
        <v>26</v>
      </c>
      <c r="C1442" s="1" t="s">
        <v>2936</v>
      </c>
      <c r="D1442" s="1" t="s">
        <v>32</v>
      </c>
      <c r="E1442" s="12">
        <f>4*F1442</f>
        <v>1.2500000000000001E-2</v>
      </c>
      <c r="F1442" s="12">
        <f>Systems!T81</f>
        <v>3.1250000000000002E-3</v>
      </c>
      <c r="G1442" s="1" t="s">
        <v>33</v>
      </c>
      <c r="H1442" s="1" t="s">
        <v>65</v>
      </c>
    </row>
    <row r="1443" spans="1:8" ht="16.5">
      <c r="A1443" s="1" t="s">
        <v>4718</v>
      </c>
      <c r="B1443" s="1" t="s">
        <v>26</v>
      </c>
      <c r="C1443" s="1" t="s">
        <v>2936</v>
      </c>
      <c r="D1443" s="1" t="s">
        <v>32</v>
      </c>
      <c r="E1443" s="12">
        <f>F1443/12</f>
        <v>1.264E-2</v>
      </c>
      <c r="F1443" s="12">
        <f>Systems!T80</f>
        <v>0.15168000000000001</v>
      </c>
      <c r="G1443" s="1" t="s">
        <v>33</v>
      </c>
      <c r="H1443" s="1" t="s">
        <v>65</v>
      </c>
    </row>
    <row r="1444" spans="1:8" ht="16.5">
      <c r="A1444" s="1" t="s">
        <v>4719</v>
      </c>
      <c r="B1444" s="1" t="s">
        <v>26</v>
      </c>
      <c r="C1444" s="1" t="s">
        <v>2936</v>
      </c>
      <c r="D1444" s="1" t="s">
        <v>32</v>
      </c>
      <c r="E1444" s="12">
        <f>F1444</f>
        <v>7.6279222441249992</v>
      </c>
      <c r="F1444" s="12">
        <f>POWER(Systems!D84,3)</f>
        <v>7.6279222441249992</v>
      </c>
      <c r="G1444" s="1" t="s">
        <v>33</v>
      </c>
      <c r="H1444" s="1" t="s">
        <v>65</v>
      </c>
    </row>
    <row r="1445" spans="1:8" ht="16.5">
      <c r="A1445" s="1" t="s">
        <v>4720</v>
      </c>
      <c r="B1445" s="1" t="s">
        <v>26</v>
      </c>
      <c r="C1445" s="1" t="s">
        <v>2936</v>
      </c>
      <c r="D1445" s="1" t="s">
        <v>32</v>
      </c>
      <c r="E1445" s="12">
        <f>F1445/192</f>
        <v>7.9000000000000001E-4</v>
      </c>
      <c r="F1445" s="12">
        <f>Systems!T80</f>
        <v>0.15168000000000001</v>
      </c>
      <c r="G1445" s="1" t="s">
        <v>33</v>
      </c>
      <c r="H1445" s="1" t="s">
        <v>65</v>
      </c>
    </row>
    <row r="1446" spans="1:8" ht="16.5">
      <c r="A1446" s="1" t="s">
        <v>4721</v>
      </c>
      <c r="B1446" s="1" t="s">
        <v>26</v>
      </c>
      <c r="C1446" s="1" t="s">
        <v>2936</v>
      </c>
      <c r="D1446" s="1" t="s">
        <v>32</v>
      </c>
      <c r="E1446" s="12">
        <f>F1446/2</f>
        <v>7.5840000000000005E-2</v>
      </c>
      <c r="F1446" s="12">
        <f>Systems!T80</f>
        <v>0.15168000000000001</v>
      </c>
      <c r="G1446" s="1" t="s">
        <v>33</v>
      </c>
      <c r="H1446" s="1" t="s">
        <v>65</v>
      </c>
    </row>
    <row r="1447" spans="1:8" ht="16.5">
      <c r="A1447" s="1" t="s">
        <v>4722</v>
      </c>
      <c r="B1447" s="1" t="s">
        <v>26</v>
      </c>
      <c r="C1447" s="1" t="s">
        <v>2936</v>
      </c>
      <c r="D1447" s="1" t="s">
        <v>32</v>
      </c>
      <c r="E1447" s="12">
        <f>F1447/4</f>
        <v>3.7920000000000002E-2</v>
      </c>
      <c r="F1447" s="12">
        <f>Systems!T80</f>
        <v>0.15168000000000001</v>
      </c>
      <c r="G1447" s="1" t="s">
        <v>33</v>
      </c>
      <c r="H1447" s="1" t="s">
        <v>65</v>
      </c>
    </row>
    <row r="1448" spans="1:8" ht="16.5">
      <c r="A1448" s="1" t="s">
        <v>4723</v>
      </c>
      <c r="B1448" s="1" t="s">
        <v>26</v>
      </c>
      <c r="C1448" s="1" t="s">
        <v>2936</v>
      </c>
      <c r="D1448" s="1" t="s">
        <v>32</v>
      </c>
      <c r="E1448" s="12">
        <f>12*F1448</f>
        <v>1.82016</v>
      </c>
      <c r="F1448" s="12">
        <f>Systems!T80</f>
        <v>0.15168000000000001</v>
      </c>
      <c r="G1448" s="1" t="s">
        <v>33</v>
      </c>
      <c r="H1448" s="1" t="s">
        <v>65</v>
      </c>
    </row>
    <row r="1449" spans="1:8" ht="16.5">
      <c r="A1449" s="1" t="s">
        <v>4724</v>
      </c>
      <c r="B1449" s="1" t="s">
        <v>26</v>
      </c>
      <c r="C1449" s="1" t="s">
        <v>2936</v>
      </c>
      <c r="D1449" s="1" t="s">
        <v>32</v>
      </c>
      <c r="E1449" s="12">
        <f>F1449/512</f>
        <v>1.4898285633056639E-2</v>
      </c>
      <c r="F1449" s="12">
        <f>POWER(Systems!D84,3)</f>
        <v>7.6279222441249992</v>
      </c>
      <c r="G1449" s="1" t="s">
        <v>33</v>
      </c>
      <c r="H1449" s="1" t="s">
        <v>65</v>
      </c>
    </row>
    <row r="1450" spans="1:8" ht="16.5">
      <c r="A1450" s="1" t="s">
        <v>971</v>
      </c>
      <c r="B1450" s="1" t="s">
        <v>26</v>
      </c>
      <c r="C1450" s="1" t="s">
        <v>2936</v>
      </c>
      <c r="D1450" s="1" t="s">
        <v>32</v>
      </c>
      <c r="E1450" s="12">
        <f>F1450</f>
        <v>3.1250000000000002E-3</v>
      </c>
      <c r="F1450" s="12">
        <f>Systems!T81</f>
        <v>3.1250000000000002E-3</v>
      </c>
      <c r="G1450" s="1" t="s">
        <v>33</v>
      </c>
      <c r="H1450" s="1" t="s">
        <v>65</v>
      </c>
    </row>
    <row r="1451" spans="1:8" ht="16.5">
      <c r="A1451" s="1" t="s">
        <v>577</v>
      </c>
      <c r="B1451" s="1" t="s">
        <v>26</v>
      </c>
      <c r="C1451" s="1" t="s">
        <v>2936</v>
      </c>
      <c r="D1451" s="1" t="s">
        <v>32</v>
      </c>
      <c r="E1451" s="12">
        <f>225*F1451</f>
        <v>0.22500000000000006</v>
      </c>
      <c r="F1451" s="12">
        <f>POWER('Physical Definitions'!E25,3)</f>
        <v>1.0000000000000002E-3</v>
      </c>
      <c r="G1451" s="1" t="s">
        <v>33</v>
      </c>
      <c r="H1451" s="1" t="s">
        <v>65</v>
      </c>
    </row>
    <row r="1452" spans="1:8" ht="16.5">
      <c r="A1452" s="1" t="s">
        <v>4725</v>
      </c>
      <c r="B1452" s="1" t="s">
        <v>26</v>
      </c>
      <c r="C1452" s="1" t="s">
        <v>2936</v>
      </c>
      <c r="D1452" s="1" t="s">
        <v>32</v>
      </c>
      <c r="E1452" s="12">
        <f>F1452/48</f>
        <v>3.16E-3</v>
      </c>
      <c r="F1452" s="12">
        <f>Systems!T80</f>
        <v>0.15168000000000001</v>
      </c>
      <c r="G1452" s="1" t="s">
        <v>33</v>
      </c>
      <c r="H1452" s="1" t="s">
        <v>65</v>
      </c>
    </row>
    <row r="1453" spans="1:8" ht="16.5">
      <c r="A1453" s="1" t="s">
        <v>4726</v>
      </c>
      <c r="B1453" s="1" t="s">
        <v>26</v>
      </c>
      <c r="C1453" s="1" t="s">
        <v>2936</v>
      </c>
      <c r="D1453" s="1" t="s">
        <v>32</v>
      </c>
      <c r="E1453" s="12">
        <f>F1453</f>
        <v>0.15168000000000001</v>
      </c>
      <c r="F1453" s="12">
        <f>Systems!T80</f>
        <v>0.15168000000000001</v>
      </c>
      <c r="G1453" s="1" t="s">
        <v>33</v>
      </c>
      <c r="H1453" s="1" t="s">
        <v>65</v>
      </c>
    </row>
    <row r="1454" spans="1:8" ht="16.5">
      <c r="A1454" s="1" t="s">
        <v>4727</v>
      </c>
      <c r="B1454" s="1" t="s">
        <v>26</v>
      </c>
      <c r="C1454" s="1" t="s">
        <v>2936</v>
      </c>
      <c r="D1454" s="1" t="s">
        <v>32</v>
      </c>
      <c r="E1454" s="12">
        <f>3*F1454</f>
        <v>0.1028317959149786</v>
      </c>
      <c r="F1454" s="12">
        <f>POWER(Systems!D82,3)</f>
        <v>3.4277265304992866E-2</v>
      </c>
      <c r="G1454" s="1" t="s">
        <v>33</v>
      </c>
      <c r="H1454" s="1" t="s">
        <v>65</v>
      </c>
    </row>
    <row r="1455" spans="1:8" ht="16.5">
      <c r="A1455" s="1" t="s">
        <v>396</v>
      </c>
      <c r="B1455" s="1" t="s">
        <v>26</v>
      </c>
      <c r="C1455" s="1" t="s">
        <v>2936</v>
      </c>
      <c r="D1455" s="1" t="s">
        <v>32</v>
      </c>
      <c r="E1455" s="12">
        <f>F1455</f>
        <v>1</v>
      </c>
      <c r="F1455" s="12">
        <f>POWER(SI!E3,3)</f>
        <v>1</v>
      </c>
      <c r="G1455" s="1" t="s">
        <v>33</v>
      </c>
      <c r="H1455" s="1" t="s">
        <v>65</v>
      </c>
    </row>
    <row r="1456" spans="1:8" ht="16.5">
      <c r="A1456" s="1" t="s">
        <v>4728</v>
      </c>
      <c r="B1456" s="1" t="s">
        <v>26</v>
      </c>
      <c r="C1456" s="1" t="s">
        <v>2936</v>
      </c>
      <c r="D1456" s="1" t="s">
        <v>32</v>
      </c>
      <c r="E1456" s="12">
        <f>100*F1456</f>
        <v>2.8316846592000005</v>
      </c>
      <c r="F1456" s="12">
        <f>POWER(Systems!D6,3)</f>
        <v>2.8316846592000004E-2</v>
      </c>
      <c r="G1456" s="1" t="s">
        <v>33</v>
      </c>
      <c r="H1456" s="1" t="s">
        <v>65</v>
      </c>
    </row>
    <row r="1457" spans="1:8" ht="16.5">
      <c r="A1457" s="1" t="s">
        <v>4729</v>
      </c>
      <c r="B1457" s="1" t="s">
        <v>26</v>
      </c>
      <c r="C1457" s="1" t="s">
        <v>2936</v>
      </c>
      <c r="D1457" s="1" t="s">
        <v>32</v>
      </c>
      <c r="E1457" s="12">
        <f>F1457/2</f>
        <v>1.4158423296000002E-2</v>
      </c>
      <c r="F1457" s="12">
        <f>POWER(Systems!D6,3)</f>
        <v>2.8316846592000004E-2</v>
      </c>
      <c r="G1457" s="1" t="s">
        <v>33</v>
      </c>
      <c r="H1457" s="1" t="s">
        <v>65</v>
      </c>
    </row>
    <row r="1458" spans="1:8" ht="16.5">
      <c r="A1458" s="1" t="s">
        <v>4730</v>
      </c>
      <c r="B1458" s="1" t="s">
        <v>26</v>
      </c>
      <c r="C1458" s="1" t="s">
        <v>2936</v>
      </c>
      <c r="D1458" s="1" t="s">
        <v>32</v>
      </c>
      <c r="E1458" s="12">
        <f>56*F1458</f>
        <v>1.9195268570796005</v>
      </c>
      <c r="F1458" s="12">
        <f>POWER(Systems!D82,3)</f>
        <v>3.4277265304992866E-2</v>
      </c>
      <c r="G1458" s="1" t="s">
        <v>33</v>
      </c>
      <c r="H1458" s="1" t="s">
        <v>65</v>
      </c>
    </row>
    <row r="1459" spans="1:8" ht="16.5">
      <c r="A1459" s="18" t="s">
        <v>1253</v>
      </c>
      <c r="B1459" s="1" t="s">
        <v>26</v>
      </c>
      <c r="C1459" s="1" t="s">
        <v>2935</v>
      </c>
      <c r="D1459" s="1" t="s">
        <v>32</v>
      </c>
      <c r="E1459" s="12">
        <f>8*F1459/3</f>
        <v>1.2122912E-2</v>
      </c>
      <c r="F1459" s="12">
        <f>Systems!P6</f>
        <v>4.5460919999999998E-3</v>
      </c>
      <c r="G1459" s="1" t="s">
        <v>33</v>
      </c>
      <c r="H1459" s="1" t="s">
        <v>65</v>
      </c>
    </row>
    <row r="1460" spans="1:8" ht="16.5">
      <c r="A1460" s="18" t="s">
        <v>1263</v>
      </c>
      <c r="B1460" s="1" t="s">
        <v>26</v>
      </c>
      <c r="C1460" s="1" t="s">
        <v>2935</v>
      </c>
      <c r="D1460" s="1" t="s">
        <v>32</v>
      </c>
      <c r="E1460" s="25">
        <f>36.788*F1460</f>
        <v>3.6787999999999994E-2</v>
      </c>
      <c r="F1460" s="25">
        <f>'Physical Definitions'!E9</f>
        <v>1E-3</v>
      </c>
      <c r="G1460" s="1" t="s">
        <v>33</v>
      </c>
      <c r="H1460" s="1" t="s">
        <v>65</v>
      </c>
    </row>
    <row r="1461" spans="1:8" ht="16.5">
      <c r="A1461" s="1" t="s">
        <v>4731</v>
      </c>
      <c r="B1461" s="1" t="s">
        <v>26</v>
      </c>
      <c r="C1461" s="1" t="s">
        <v>2935</v>
      </c>
      <c r="D1461" s="1" t="s">
        <v>32</v>
      </c>
      <c r="E1461" s="12">
        <f>F1461/6</f>
        <v>7.5768199999999997E-4</v>
      </c>
      <c r="F1461" s="12">
        <f>Systems!P6</f>
        <v>4.5460919999999998E-3</v>
      </c>
      <c r="G1461" s="1" t="s">
        <v>33</v>
      </c>
      <c r="H1461" s="1" t="s">
        <v>65</v>
      </c>
    </row>
    <row r="1462" spans="1:8" ht="16.5">
      <c r="A1462" s="1" t="s">
        <v>2984</v>
      </c>
      <c r="B1462" s="1" t="s">
        <v>26</v>
      </c>
      <c r="C1462" s="1" t="s">
        <v>2935</v>
      </c>
      <c r="D1462" s="1" t="s">
        <v>32</v>
      </c>
      <c r="E1462" s="12">
        <f>2*F1462</f>
        <v>1.9042925169500001E-3</v>
      </c>
      <c r="F1462" s="12">
        <f>Systems!P80</f>
        <v>9.5214625847500004E-4</v>
      </c>
      <c r="G1462" s="1" t="s">
        <v>33</v>
      </c>
      <c r="H1462" s="1" t="s">
        <v>65</v>
      </c>
    </row>
    <row r="1463" spans="1:8" ht="16.5">
      <c r="A1463" s="1" t="s">
        <v>4732</v>
      </c>
      <c r="B1463" s="1" t="s">
        <v>26</v>
      </c>
      <c r="C1463" s="1" t="s">
        <v>2935</v>
      </c>
      <c r="D1463" s="1" t="s">
        <v>32</v>
      </c>
      <c r="E1463" s="12">
        <f>F1463/2</f>
        <v>4.7607312923750002E-4</v>
      </c>
      <c r="F1463" s="12">
        <f>Systems!P80</f>
        <v>9.5214625847500004E-4</v>
      </c>
      <c r="G1463" s="1" t="s">
        <v>33</v>
      </c>
      <c r="H1463" s="1" t="s">
        <v>65</v>
      </c>
    </row>
    <row r="1464" spans="1:8" ht="16.5">
      <c r="A1464" s="1" t="s">
        <v>4733</v>
      </c>
      <c r="B1464" s="1" t="s">
        <v>26</v>
      </c>
      <c r="C1464" s="1" t="s">
        <v>2935</v>
      </c>
      <c r="D1464" s="1" t="s">
        <v>32</v>
      </c>
      <c r="E1464" s="12">
        <f>F1464</f>
        <v>2.2992499999999999E-4</v>
      </c>
      <c r="F1464" s="12">
        <f>Systems!P81</f>
        <v>2.2992499999999999E-4</v>
      </c>
      <c r="G1464" s="1" t="s">
        <v>33</v>
      </c>
      <c r="H1464" s="1" t="s">
        <v>65</v>
      </c>
    </row>
    <row r="1465" spans="1:8" ht="16.5">
      <c r="A1465" s="1" t="s">
        <v>4734</v>
      </c>
      <c r="B1465" s="1" t="s">
        <v>26</v>
      </c>
      <c r="C1465" s="1" t="s">
        <v>2935</v>
      </c>
      <c r="D1465" s="1" t="s">
        <v>32</v>
      </c>
      <c r="E1465" s="12">
        <f>F1465/4</f>
        <v>2.3803656461875001E-4</v>
      </c>
      <c r="F1465" s="12">
        <f>Systems!P80</f>
        <v>9.5214625847500004E-4</v>
      </c>
      <c r="G1465" s="1" t="s">
        <v>33</v>
      </c>
      <c r="H1465" s="1" t="s">
        <v>65</v>
      </c>
    </row>
    <row r="1466" spans="1:8" ht="16.5">
      <c r="A1466" s="1" t="s">
        <v>1499</v>
      </c>
      <c r="B1466" s="1" t="s">
        <v>26</v>
      </c>
      <c r="C1466" s="1" t="s">
        <v>2935</v>
      </c>
      <c r="D1466" s="1" t="s">
        <v>32</v>
      </c>
      <c r="E1466" s="12">
        <f>F1466/8</f>
        <v>1.1901828230937501E-4</v>
      </c>
      <c r="F1466" s="12">
        <f>Systems!P80</f>
        <v>9.5214625847500004E-4</v>
      </c>
      <c r="G1466" s="1" t="s">
        <v>33</v>
      </c>
      <c r="H1466" s="1" t="s">
        <v>65</v>
      </c>
    </row>
    <row r="1467" spans="1:8" ht="16.5">
      <c r="A1467" s="1" t="s">
        <v>1500</v>
      </c>
      <c r="B1467" s="1" t="s">
        <v>26</v>
      </c>
      <c r="C1467" s="1" t="s">
        <v>2935</v>
      </c>
      <c r="D1467" s="1" t="s">
        <v>32</v>
      </c>
      <c r="E1467" s="12">
        <f>F1467/4</f>
        <v>2.3803656461875001E-4</v>
      </c>
      <c r="F1467" s="12">
        <f>Systems!P80</f>
        <v>9.5214625847500004E-4</v>
      </c>
      <c r="G1467" s="1" t="s">
        <v>33</v>
      </c>
      <c r="H1467" s="1" t="s">
        <v>65</v>
      </c>
    </row>
    <row r="1468" spans="1:8" ht="16.5">
      <c r="A1468" s="1" t="s">
        <v>4735</v>
      </c>
      <c r="B1468" s="1" t="s">
        <v>26</v>
      </c>
      <c r="C1468" s="1" t="s">
        <v>2935</v>
      </c>
      <c r="D1468" s="1" t="s">
        <v>32</v>
      </c>
      <c r="E1468" s="12">
        <f>144*F1468</f>
        <v>0.13710906122040001</v>
      </c>
      <c r="F1468" s="12">
        <f>Systems!P80</f>
        <v>9.5214625847500004E-4</v>
      </c>
      <c r="G1468" s="1" t="s">
        <v>33</v>
      </c>
      <c r="H1468" s="1" t="s">
        <v>65</v>
      </c>
    </row>
    <row r="1469" spans="1:8" ht="16.5">
      <c r="A1469" s="1" t="s">
        <v>6874</v>
      </c>
      <c r="B1469" s="1" t="s">
        <v>26</v>
      </c>
      <c r="C1469" s="1" t="s">
        <v>2935</v>
      </c>
      <c r="D1469" s="1" t="s">
        <v>32</v>
      </c>
      <c r="E1469" s="26">
        <f>F1469</f>
        <v>1.0000028001E-3</v>
      </c>
      <c r="F1469" s="26">
        <f>Systems!P82</f>
        <v>1.0000028001E-3</v>
      </c>
      <c r="G1469" s="1" t="s">
        <v>33</v>
      </c>
      <c r="H1469" s="9" t="s">
        <v>65</v>
      </c>
    </row>
    <row r="1470" spans="1:8" ht="16.5">
      <c r="A1470" s="1" t="s">
        <v>1772</v>
      </c>
      <c r="B1470" s="1" t="s">
        <v>26</v>
      </c>
      <c r="C1470" s="1" t="s">
        <v>2935</v>
      </c>
      <c r="D1470" s="1" t="s">
        <v>32</v>
      </c>
      <c r="E1470" s="12">
        <f>2*F1470/3</f>
        <v>3.0307279999999999E-3</v>
      </c>
      <c r="F1470" s="12">
        <f>Systems!P6</f>
        <v>4.5460919999999998E-3</v>
      </c>
      <c r="G1470" s="1" t="s">
        <v>33</v>
      </c>
      <c r="H1470" s="1" t="s">
        <v>65</v>
      </c>
    </row>
    <row r="1471" spans="1:8" ht="16.5">
      <c r="A1471" s="1" t="s">
        <v>1773</v>
      </c>
      <c r="B1471" s="1" t="s">
        <v>26</v>
      </c>
      <c r="C1471" s="1" t="s">
        <v>2935</v>
      </c>
      <c r="D1471" s="1" t="s">
        <v>32</v>
      </c>
      <c r="E1471" s="12">
        <f>F1471/160</f>
        <v>2.8413074999999999E-5</v>
      </c>
      <c r="F1471" s="12">
        <f>Systems!P6</f>
        <v>4.5460919999999998E-3</v>
      </c>
      <c r="G1471" s="1" t="s">
        <v>33</v>
      </c>
      <c r="H1471" s="1" t="s">
        <v>65</v>
      </c>
    </row>
    <row r="1472" spans="1:8" ht="16.5">
      <c r="A1472" s="1" t="s">
        <v>280</v>
      </c>
      <c r="B1472" s="1" t="s">
        <v>26</v>
      </c>
      <c r="C1472" s="1" t="s">
        <v>2935</v>
      </c>
      <c r="D1472" s="1" t="s">
        <v>32</v>
      </c>
      <c r="E1472" s="12">
        <f>F1472/3</f>
        <v>1.5153639999999999E-3</v>
      </c>
      <c r="F1472" s="12">
        <f>Systems!P6</f>
        <v>4.5460919999999998E-3</v>
      </c>
      <c r="G1472" s="1" t="s">
        <v>33</v>
      </c>
      <c r="H1472" s="1" t="s">
        <v>65</v>
      </c>
    </row>
    <row r="1473" spans="1:8" ht="16.5">
      <c r="A1473" s="1" t="s">
        <v>2032</v>
      </c>
      <c r="B1473" s="1" t="s">
        <v>26</v>
      </c>
      <c r="C1473" s="1" t="s">
        <v>2935</v>
      </c>
      <c r="D1473" s="1" t="s">
        <v>32</v>
      </c>
      <c r="E1473" s="12">
        <f>3*F1473/2</f>
        <v>6.8191379999999998E-3</v>
      </c>
      <c r="F1473" s="12">
        <f>Systems!P6</f>
        <v>4.5460919999999998E-3</v>
      </c>
      <c r="G1473" s="1" t="s">
        <v>33</v>
      </c>
      <c r="H1473" s="1" t="s">
        <v>65</v>
      </c>
    </row>
    <row r="1474" spans="1:8" ht="16.5">
      <c r="A1474" s="1" t="s">
        <v>2031</v>
      </c>
      <c r="B1474" s="1" t="s">
        <v>26</v>
      </c>
      <c r="C1474" s="1" t="s">
        <v>2935</v>
      </c>
      <c r="D1474" s="1" t="s">
        <v>32</v>
      </c>
      <c r="E1474" s="12">
        <f>3*F1474/2</f>
        <v>6.8191379999999998E-3</v>
      </c>
      <c r="F1474" s="12">
        <f>Systems!P6</f>
        <v>4.5460919999999998E-3</v>
      </c>
      <c r="G1474" s="1" t="s">
        <v>33</v>
      </c>
      <c r="H1474" s="1" t="s">
        <v>65</v>
      </c>
    </row>
    <row r="1475" spans="1:8" ht="16.5">
      <c r="A1475" s="1" t="s">
        <v>4723</v>
      </c>
      <c r="B1475" s="1" t="s">
        <v>26</v>
      </c>
      <c r="C1475" s="1" t="s">
        <v>2935</v>
      </c>
      <c r="D1475" s="1" t="s">
        <v>32</v>
      </c>
      <c r="E1475" s="12">
        <f>288*F1475</f>
        <v>0.27421812244080002</v>
      </c>
      <c r="F1475" s="12">
        <f>Systems!P80</f>
        <v>9.5214625847500004E-4</v>
      </c>
      <c r="G1475" s="1" t="s">
        <v>33</v>
      </c>
      <c r="H1475" s="1" t="s">
        <v>65</v>
      </c>
    </row>
    <row r="1476" spans="1:8" ht="16.5">
      <c r="A1476" s="1" t="s">
        <v>2117</v>
      </c>
      <c r="B1476" s="1" t="s">
        <v>26</v>
      </c>
      <c r="C1476" s="1" t="s">
        <v>2935</v>
      </c>
      <c r="D1476" s="1" t="s">
        <v>32</v>
      </c>
      <c r="E1476" s="12">
        <f>10*F1476/3</f>
        <v>1.5153640000000001E-2</v>
      </c>
      <c r="F1476" s="12">
        <f>Systems!P6</f>
        <v>4.5460919999999998E-3</v>
      </c>
      <c r="G1476" s="1" t="s">
        <v>33</v>
      </c>
      <c r="H1476" s="1" t="s">
        <v>65</v>
      </c>
    </row>
    <row r="1477" spans="1:8" ht="16.5">
      <c r="A1477" s="1" t="s">
        <v>2116</v>
      </c>
      <c r="B1477" s="1" t="s">
        <v>26</v>
      </c>
      <c r="C1477" s="1" t="s">
        <v>2935</v>
      </c>
      <c r="D1477" s="1" t="s">
        <v>32</v>
      </c>
      <c r="E1477" s="12">
        <f>10*F1477/3</f>
        <v>1.5153640000000001E-2</v>
      </c>
      <c r="F1477" s="12">
        <f>Systems!P6</f>
        <v>4.5460919999999998E-3</v>
      </c>
      <c r="G1477" s="1" t="s">
        <v>33</v>
      </c>
      <c r="H1477" s="1" t="s">
        <v>65</v>
      </c>
    </row>
    <row r="1478" spans="1:8" ht="16.5">
      <c r="A1478" s="1" t="s">
        <v>4736</v>
      </c>
      <c r="B1478" s="1" t="s">
        <v>26</v>
      </c>
      <c r="C1478" s="1" t="s">
        <v>2935</v>
      </c>
      <c r="D1478" s="1" t="s">
        <v>32</v>
      </c>
      <c r="E1478" s="12">
        <f>36*F1478</f>
        <v>3.4277265305100002E-2</v>
      </c>
      <c r="F1478" s="12">
        <f>Systems!P80</f>
        <v>9.5214625847500004E-4</v>
      </c>
      <c r="G1478" s="1" t="s">
        <v>33</v>
      </c>
      <c r="H1478" s="1" t="s">
        <v>65</v>
      </c>
    </row>
    <row r="1479" spans="1:8" ht="16.5">
      <c r="A1479" s="1" t="s">
        <v>4737</v>
      </c>
      <c r="B1479" s="1" t="s">
        <v>26</v>
      </c>
      <c r="C1479" s="1" t="s">
        <v>2935</v>
      </c>
      <c r="D1479" s="1" t="s">
        <v>32</v>
      </c>
      <c r="E1479" s="12">
        <f>F1479</f>
        <v>9.5214625847500004E-4</v>
      </c>
      <c r="F1479" s="12">
        <f>Systems!P80</f>
        <v>9.5214625847500004E-4</v>
      </c>
      <c r="G1479" s="1" t="s">
        <v>33</v>
      </c>
      <c r="H1479" s="1" t="s">
        <v>65</v>
      </c>
    </row>
    <row r="1480" spans="1:8" ht="16.5">
      <c r="A1480" s="1" t="s">
        <v>4738</v>
      </c>
      <c r="B1480" s="1" t="s">
        <v>26</v>
      </c>
      <c r="C1480" s="1" t="s">
        <v>2935</v>
      </c>
      <c r="D1480" s="1" t="s">
        <v>32</v>
      </c>
      <c r="E1480" s="12">
        <f>459.85*F1480</f>
        <v>4.5985000000000009E-4</v>
      </c>
      <c r="F1480" s="12">
        <f>POWER('Physical Definitions'!E22,3)</f>
        <v>1.0000000000000002E-6</v>
      </c>
      <c r="G1480" s="1" t="s">
        <v>33</v>
      </c>
      <c r="H1480" s="1" t="s">
        <v>65</v>
      </c>
    </row>
    <row r="1481" spans="1:8" ht="16.5">
      <c r="A1481" s="1" t="s">
        <v>2255</v>
      </c>
      <c r="B1481" s="1" t="s">
        <v>26</v>
      </c>
      <c r="C1481" s="1" t="s">
        <v>2935</v>
      </c>
      <c r="D1481" s="1" t="s">
        <v>32</v>
      </c>
      <c r="E1481" s="12">
        <f>432*F1481</f>
        <v>0.41132718366120002</v>
      </c>
      <c r="F1481" s="12">
        <f>Systems!P80</f>
        <v>9.5214625847500004E-4</v>
      </c>
      <c r="G1481" s="1" t="s">
        <v>33</v>
      </c>
      <c r="H1481" s="1" t="s">
        <v>65</v>
      </c>
    </row>
    <row r="1482" spans="1:8" ht="16.5">
      <c r="A1482" s="1" t="s">
        <v>4739</v>
      </c>
      <c r="B1482" s="1" t="s">
        <v>26</v>
      </c>
      <c r="C1482" s="1" t="s">
        <v>2935</v>
      </c>
      <c r="D1482" s="1" t="s">
        <v>32</v>
      </c>
      <c r="E1482" s="12">
        <f>F1482/8</f>
        <v>1.1901828230937501E-4</v>
      </c>
      <c r="F1482" s="12">
        <f>Systems!P80</f>
        <v>9.5214625847500004E-4</v>
      </c>
      <c r="G1482" s="1" t="s">
        <v>33</v>
      </c>
      <c r="H1482" s="1" t="s">
        <v>65</v>
      </c>
    </row>
    <row r="1483" spans="1:8" ht="16.5">
      <c r="A1483" s="1" t="s">
        <v>4740</v>
      </c>
      <c r="B1483" s="1" t="s">
        <v>26</v>
      </c>
      <c r="C1483" s="1" t="s">
        <v>2935</v>
      </c>
      <c r="D1483" s="1" t="s">
        <v>32</v>
      </c>
      <c r="E1483" s="12">
        <f>2*F1483</f>
        <v>1.9042925169500001E-3</v>
      </c>
      <c r="F1483" s="12">
        <f>Systems!P80</f>
        <v>9.5214625847500004E-4</v>
      </c>
      <c r="G1483" s="1" t="s">
        <v>33</v>
      </c>
      <c r="H1483" s="1" t="s">
        <v>65</v>
      </c>
    </row>
    <row r="1484" spans="1:8" ht="16.5">
      <c r="A1484" s="1" t="s">
        <v>4741</v>
      </c>
      <c r="B1484" s="1" t="s">
        <v>26</v>
      </c>
      <c r="C1484" s="1" t="s">
        <v>2935</v>
      </c>
      <c r="D1484" s="1" t="s">
        <v>32</v>
      </c>
      <c r="E1484" s="12">
        <f>4*F1484</f>
        <v>9.1969999999999997E-4</v>
      </c>
      <c r="F1484" s="12">
        <f>Systems!P81</f>
        <v>2.2992499999999999E-4</v>
      </c>
      <c r="G1484" s="1" t="s">
        <v>33</v>
      </c>
      <c r="H1484" s="1" t="s">
        <v>65</v>
      </c>
    </row>
    <row r="1485" spans="1:8" ht="16.5">
      <c r="A1485" s="1" t="s">
        <v>4742</v>
      </c>
      <c r="B1485" s="1" t="s">
        <v>26</v>
      </c>
      <c r="C1485" s="1" t="s">
        <v>2935</v>
      </c>
      <c r="D1485" s="1" t="s">
        <v>32</v>
      </c>
      <c r="E1485" s="12">
        <f>76*F1485</f>
        <v>34.473020120000001</v>
      </c>
      <c r="F1485" s="12">
        <f>Systems!L6</f>
        <v>0.45359237000000002</v>
      </c>
      <c r="G1485" s="1" t="s">
        <v>33</v>
      </c>
      <c r="H1485" s="1" t="s">
        <v>65</v>
      </c>
    </row>
    <row r="1486" spans="1:8" ht="16.5">
      <c r="A1486" s="1" t="s">
        <v>4743</v>
      </c>
      <c r="B1486" s="1" t="s">
        <v>26</v>
      </c>
      <c r="C1486" s="1" t="s">
        <v>2935</v>
      </c>
      <c r="D1486" s="1" t="s">
        <v>32</v>
      </c>
      <c r="E1486" s="12">
        <f>F1486/48</f>
        <v>1.9836380384895834E-5</v>
      </c>
      <c r="F1486" s="12">
        <f>Systems!P80</f>
        <v>9.5214625847500004E-4</v>
      </c>
      <c r="G1486" s="1" t="s">
        <v>33</v>
      </c>
      <c r="H1486" s="1" t="s">
        <v>65</v>
      </c>
    </row>
    <row r="1487" spans="1:8" ht="16.5">
      <c r="A1487" s="1" t="s">
        <v>4744</v>
      </c>
      <c r="B1487" s="1" t="s">
        <v>26</v>
      </c>
      <c r="C1487" s="1" t="s">
        <v>2935</v>
      </c>
      <c r="D1487" s="1" t="s">
        <v>32</v>
      </c>
      <c r="E1487" s="12">
        <f>2*F1487</f>
        <v>1.9042925169500001E-3</v>
      </c>
      <c r="F1487" s="12">
        <f>Systems!P80</f>
        <v>9.5214625847500004E-4</v>
      </c>
      <c r="G1487" s="1" t="s">
        <v>33</v>
      </c>
      <c r="H1487" s="1" t="s">
        <v>65</v>
      </c>
    </row>
    <row r="1488" spans="1:8" ht="16.5">
      <c r="A1488" s="1" t="s">
        <v>2339</v>
      </c>
      <c r="B1488" s="1" t="s">
        <v>26</v>
      </c>
      <c r="C1488" s="1" t="s">
        <v>2935</v>
      </c>
      <c r="D1488" s="1" t="s">
        <v>32</v>
      </c>
      <c r="E1488" s="12">
        <f>72*F1488</f>
        <v>6.8554530610200004E-2</v>
      </c>
      <c r="F1488" s="12">
        <f>Systems!P80</f>
        <v>9.5214625847500004E-4</v>
      </c>
      <c r="G1488" s="1" t="s">
        <v>33</v>
      </c>
      <c r="H1488" s="1" t="s">
        <v>65</v>
      </c>
    </row>
    <row r="1489" spans="1:8" ht="16.5">
      <c r="A1489" s="1" t="s">
        <v>4745</v>
      </c>
      <c r="B1489" s="1" t="s">
        <v>26</v>
      </c>
      <c r="C1489" s="1" t="s">
        <v>2935</v>
      </c>
      <c r="D1489" s="1" t="s">
        <v>32</v>
      </c>
      <c r="E1489" s="12">
        <f>72*F1489</f>
        <v>6.8554530610200004E-2</v>
      </c>
      <c r="F1489" s="12">
        <f>Systems!P80</f>
        <v>9.5214625847500004E-4</v>
      </c>
      <c r="G1489" s="1" t="s">
        <v>33</v>
      </c>
      <c r="H1489" s="1" t="s">
        <v>65</v>
      </c>
    </row>
    <row r="1490" spans="1:8" ht="16.5">
      <c r="A1490" s="1" t="s">
        <v>2372</v>
      </c>
      <c r="B1490" s="1" t="s">
        <v>26</v>
      </c>
      <c r="C1490" s="1" t="s">
        <v>2935</v>
      </c>
      <c r="D1490" s="1" t="s">
        <v>32</v>
      </c>
      <c r="E1490" s="12">
        <f>F1490</f>
        <v>4.5460919999999998E-3</v>
      </c>
      <c r="F1490" s="12">
        <f>Systems!P6</f>
        <v>4.5460919999999998E-3</v>
      </c>
      <c r="G1490" s="1" t="s">
        <v>33</v>
      </c>
      <c r="H1490" s="1" t="s">
        <v>65</v>
      </c>
    </row>
    <row r="1491" spans="1:8" ht="16.5">
      <c r="A1491" s="1" t="s">
        <v>4746</v>
      </c>
      <c r="B1491" s="1" t="s">
        <v>26</v>
      </c>
      <c r="C1491" s="1" t="s">
        <v>2935</v>
      </c>
      <c r="D1491" s="1" t="s">
        <v>32</v>
      </c>
      <c r="E1491" s="12">
        <f>F1491/6</f>
        <v>7.5768199999999997E-4</v>
      </c>
      <c r="F1491" s="12">
        <f>Systems!P6</f>
        <v>4.5460919999999998E-3</v>
      </c>
      <c r="G1491" s="1" t="s">
        <v>33</v>
      </c>
      <c r="H1491" s="1" t="s">
        <v>65</v>
      </c>
    </row>
    <row r="1492" spans="1:8" ht="16.5">
      <c r="A1492" s="1" t="s">
        <v>4747</v>
      </c>
      <c r="B1492" s="1" t="s">
        <v>26</v>
      </c>
      <c r="C1492" s="1" t="s">
        <v>2935</v>
      </c>
      <c r="D1492" s="1" t="s">
        <v>32</v>
      </c>
      <c r="E1492" s="12">
        <f>F1492/32</f>
        <v>2.9754570577343751E-5</v>
      </c>
      <c r="F1492" s="12">
        <f>Systems!P80</f>
        <v>9.5214625847500004E-4</v>
      </c>
      <c r="G1492" s="1" t="s">
        <v>33</v>
      </c>
      <c r="H1492" s="1" t="s">
        <v>65</v>
      </c>
    </row>
    <row r="1493" spans="1:8" ht="16.5">
      <c r="A1493" s="1" t="s">
        <v>2423</v>
      </c>
      <c r="B1493" s="1" t="s">
        <v>26</v>
      </c>
      <c r="C1493" s="1" t="s">
        <v>2935</v>
      </c>
      <c r="D1493" s="1" t="s">
        <v>32</v>
      </c>
      <c r="E1493" s="12">
        <f>2*F1493</f>
        <v>9.0921839999999997E-3</v>
      </c>
      <c r="F1493" s="12">
        <f>Systems!P6</f>
        <v>4.5460919999999998E-3</v>
      </c>
      <c r="G1493" s="1" t="s">
        <v>33</v>
      </c>
      <c r="H1493" s="1" t="s">
        <v>65</v>
      </c>
    </row>
    <row r="1494" spans="1:8" ht="16.5">
      <c r="A1494" s="1" t="s">
        <v>2422</v>
      </c>
      <c r="B1494" s="1" t="s">
        <v>26</v>
      </c>
      <c r="C1494" s="1" t="s">
        <v>2935</v>
      </c>
      <c r="D1494" s="1" t="s">
        <v>32</v>
      </c>
      <c r="E1494" s="12">
        <f>2*F1494</f>
        <v>9.0921839999999997E-3</v>
      </c>
      <c r="F1494" s="12">
        <f>Systems!P6</f>
        <v>4.5460919999999998E-3</v>
      </c>
      <c r="G1494" s="1" t="s">
        <v>33</v>
      </c>
      <c r="H1494" s="1" t="s">
        <v>65</v>
      </c>
    </row>
    <row r="1495" spans="1:8" ht="16.5">
      <c r="A1495" s="1" t="s">
        <v>588</v>
      </c>
      <c r="B1495" s="1" t="s">
        <v>26</v>
      </c>
      <c r="C1495" s="1" t="s">
        <v>2935</v>
      </c>
      <c r="D1495" s="1" t="s">
        <v>32</v>
      </c>
      <c r="E1495" s="12">
        <f>4*F1495</f>
        <v>1.8184367999999999E-2</v>
      </c>
      <c r="F1495" s="12">
        <f>Systems!P6</f>
        <v>4.5460919999999998E-3</v>
      </c>
      <c r="G1495" s="1" t="s">
        <v>33</v>
      </c>
      <c r="H1495" s="1" t="s">
        <v>65</v>
      </c>
    </row>
    <row r="1496" spans="1:8" ht="16.5">
      <c r="A1496" s="1" t="s">
        <v>598</v>
      </c>
      <c r="B1496" s="1" t="s">
        <v>26</v>
      </c>
      <c r="C1496" s="1" t="s">
        <v>2935</v>
      </c>
      <c r="D1496" s="1" t="s">
        <v>32</v>
      </c>
      <c r="E1496" s="12">
        <f>4*F1496</f>
        <v>1.8184367999999999E-2</v>
      </c>
      <c r="F1496" s="12">
        <f>Systems!P6</f>
        <v>4.5460919999999998E-3</v>
      </c>
      <c r="G1496" s="1" t="s">
        <v>33</v>
      </c>
      <c r="H1496" s="1" t="s">
        <v>65</v>
      </c>
    </row>
    <row r="1497" spans="1:8" ht="16.5">
      <c r="A1497" s="1" t="s">
        <v>2685</v>
      </c>
      <c r="B1497" s="1" t="s">
        <v>26</v>
      </c>
      <c r="C1497" s="1" t="s">
        <v>2935</v>
      </c>
      <c r="D1497" s="1" t="s">
        <v>32</v>
      </c>
      <c r="E1497" s="12">
        <f>288*F1497</f>
        <v>0.27421812244080002</v>
      </c>
      <c r="F1497" s="12">
        <f>Systems!P80</f>
        <v>9.5214625847500004E-4</v>
      </c>
      <c r="G1497" s="1" t="s">
        <v>33</v>
      </c>
      <c r="H1497" s="1" t="s">
        <v>65</v>
      </c>
    </row>
    <row r="1498" spans="1:8" ht="16.5">
      <c r="A1498" s="1" t="s">
        <v>4748</v>
      </c>
      <c r="B1498" s="1" t="s">
        <v>26</v>
      </c>
      <c r="C1498" s="1" t="s">
        <v>2935</v>
      </c>
      <c r="D1498" s="1" t="s">
        <v>32</v>
      </c>
      <c r="E1498" s="12">
        <f>8*F1498</f>
        <v>7.6171700678000004E-3</v>
      </c>
      <c r="F1498" s="12">
        <f>Systems!P80</f>
        <v>9.5214625847500004E-4</v>
      </c>
      <c r="G1498" s="1" t="s">
        <v>33</v>
      </c>
      <c r="H1498" s="1" t="s">
        <v>65</v>
      </c>
    </row>
    <row r="1499" spans="1:8">
      <c r="A1499" s="1" t="s">
        <v>1494</v>
      </c>
      <c r="B1499" s="1" t="s">
        <v>26</v>
      </c>
      <c r="C1499" s="1" t="s">
        <v>17</v>
      </c>
      <c r="D1499" s="1" t="s">
        <v>20</v>
      </c>
      <c r="E1499" s="12">
        <f>100*F1499</f>
        <v>100</v>
      </c>
      <c r="F1499" s="12">
        <f>SI!E2</f>
        <v>1</v>
      </c>
      <c r="G1499" s="1" t="s">
        <v>23</v>
      </c>
      <c r="H1499" s="1" t="s">
        <v>65</v>
      </c>
    </row>
    <row r="1500" spans="1:8">
      <c r="A1500" s="1" t="s">
        <v>4749</v>
      </c>
      <c r="B1500" s="1" t="s">
        <v>26</v>
      </c>
      <c r="C1500" s="1" t="s">
        <v>17</v>
      </c>
      <c r="D1500" s="1" t="s">
        <v>20</v>
      </c>
      <c r="E1500" s="12">
        <f>F1500/240</f>
        <v>1.5296999999999999E-3</v>
      </c>
      <c r="F1500" s="12">
        <f>Systems!L81</f>
        <v>0.36712800000000001</v>
      </c>
      <c r="G1500" s="1" t="s">
        <v>23</v>
      </c>
      <c r="H1500" s="1" t="s">
        <v>65</v>
      </c>
    </row>
    <row r="1501" spans="1:8">
      <c r="A1501" s="1" t="s">
        <v>4750</v>
      </c>
      <c r="B1501" s="1" t="s">
        <v>26</v>
      </c>
      <c r="C1501" s="1" t="s">
        <v>17</v>
      </c>
      <c r="D1501" s="1" t="s">
        <v>20</v>
      </c>
      <c r="E1501" s="12">
        <f>F1501/384</f>
        <v>1.2747548177083335E-3</v>
      </c>
      <c r="F1501" s="12">
        <f>Systems!L80</f>
        <v>0.48950585000000002</v>
      </c>
      <c r="G1501" s="1" t="s">
        <v>23</v>
      </c>
      <c r="H1501" s="1" t="s">
        <v>65</v>
      </c>
    </row>
    <row r="1502" spans="1:8">
      <c r="A1502" s="1" t="s">
        <v>4752</v>
      </c>
      <c r="B1502" s="1" t="s">
        <v>26</v>
      </c>
      <c r="C1502" s="1" t="s">
        <v>17</v>
      </c>
      <c r="D1502" s="1" t="s">
        <v>20</v>
      </c>
      <c r="E1502" s="12">
        <f>F1502/1000</f>
        <v>1E-3</v>
      </c>
      <c r="F1502" s="12">
        <f>Systems!L82</f>
        <v>1</v>
      </c>
      <c r="G1502" s="1" t="s">
        <v>23</v>
      </c>
      <c r="H1502" s="1" t="s">
        <v>65</v>
      </c>
    </row>
    <row r="1503" spans="1:8">
      <c r="A1503" s="1" t="s">
        <v>4751</v>
      </c>
      <c r="B1503" s="1" t="s">
        <v>26</v>
      </c>
      <c r="C1503" s="1" t="s">
        <v>17</v>
      </c>
      <c r="D1503" s="1" t="s">
        <v>20</v>
      </c>
      <c r="E1503" s="12">
        <f>F1503/5760</f>
        <v>6.3737499999999997E-5</v>
      </c>
      <c r="F1503" s="12">
        <f>Systems!L81</f>
        <v>0.36712800000000001</v>
      </c>
      <c r="G1503" s="1" t="s">
        <v>23</v>
      </c>
      <c r="H1503" s="1" t="s">
        <v>65</v>
      </c>
    </row>
    <row r="1504" spans="1:8">
      <c r="A1504" s="1" t="s">
        <v>4753</v>
      </c>
      <c r="B1504" s="1" t="s">
        <v>26</v>
      </c>
      <c r="C1504" s="1" t="s">
        <v>17</v>
      </c>
      <c r="D1504" s="1" t="s">
        <v>20</v>
      </c>
      <c r="E1504" s="12">
        <f>F1504/9216</f>
        <v>5.3114784071180561E-5</v>
      </c>
      <c r="F1504" s="12">
        <f>Systems!L80</f>
        <v>0.48950585000000002</v>
      </c>
      <c r="G1504" s="1" t="s">
        <v>23</v>
      </c>
      <c r="H1504" s="1" t="s">
        <v>65</v>
      </c>
    </row>
    <row r="1505" spans="1:8">
      <c r="A1505" s="1" t="s">
        <v>4754</v>
      </c>
      <c r="B1505" s="1" t="s">
        <v>26</v>
      </c>
      <c r="C1505" s="1" t="s">
        <v>17</v>
      </c>
      <c r="D1505" s="1" t="s">
        <v>20</v>
      </c>
      <c r="E1505" s="12">
        <f>F1505/10000</f>
        <v>1E-4</v>
      </c>
      <c r="F1505" s="12">
        <f>Systems!L82</f>
        <v>1</v>
      </c>
      <c r="G1505" s="1" t="s">
        <v>23</v>
      </c>
      <c r="H1505" s="1" t="s">
        <v>65</v>
      </c>
    </row>
    <row r="1506" spans="1:8">
      <c r="A1506" s="1" t="s">
        <v>4755</v>
      </c>
      <c r="B1506" s="1" t="s">
        <v>26</v>
      </c>
      <c r="C1506" s="1" t="s">
        <v>17</v>
      </c>
      <c r="D1506" s="1" t="s">
        <v>20</v>
      </c>
      <c r="E1506" s="12">
        <f>F1506/128</f>
        <v>3.8242644531250002E-3</v>
      </c>
      <c r="F1506" s="12">
        <f>Systems!L80</f>
        <v>0.48950585000000002</v>
      </c>
      <c r="G1506" s="1" t="s">
        <v>23</v>
      </c>
      <c r="H1506" s="1" t="s">
        <v>65</v>
      </c>
    </row>
    <row r="1507" spans="1:8">
      <c r="A1507" s="1" t="s">
        <v>4756</v>
      </c>
      <c r="B1507" s="1" t="s">
        <v>26</v>
      </c>
      <c r="C1507" s="1" t="s">
        <v>17</v>
      </c>
      <c r="D1507" s="1" t="s">
        <v>20</v>
      </c>
      <c r="E1507" s="12">
        <f>F1507/100</f>
        <v>0.01</v>
      </c>
      <c r="F1507" s="12">
        <f>Systems!L82</f>
        <v>1</v>
      </c>
      <c r="G1507" s="1" t="s">
        <v>23</v>
      </c>
      <c r="H1507" s="1" t="s">
        <v>65</v>
      </c>
    </row>
    <row r="1508" spans="1:8">
      <c r="A1508" s="1" t="s">
        <v>4757</v>
      </c>
      <c r="B1508" s="1" t="s">
        <v>26</v>
      </c>
      <c r="C1508" s="1" t="s">
        <v>17</v>
      </c>
      <c r="D1508" s="1" t="s">
        <v>20</v>
      </c>
      <c r="E1508" s="12">
        <f>F1508</f>
        <v>0.36712800000000001</v>
      </c>
      <c r="F1508" s="12">
        <f>Systems!L81</f>
        <v>0.36712800000000001</v>
      </c>
      <c r="G1508" s="1" t="s">
        <v>23</v>
      </c>
      <c r="H1508" s="1" t="s">
        <v>65</v>
      </c>
    </row>
    <row r="1509" spans="1:8">
      <c r="A1509" s="1" t="s">
        <v>4758</v>
      </c>
      <c r="B1509" s="1" t="s">
        <v>26</v>
      </c>
      <c r="C1509" s="1" t="s">
        <v>17</v>
      </c>
      <c r="D1509" s="1" t="s">
        <v>20</v>
      </c>
      <c r="E1509" s="12">
        <f>F1509</f>
        <v>0.48950585000000002</v>
      </c>
      <c r="F1509" s="12">
        <f>Systems!L80</f>
        <v>0.48950585000000002</v>
      </c>
      <c r="G1509" s="1" t="s">
        <v>23</v>
      </c>
      <c r="H1509" s="1" t="s">
        <v>65</v>
      </c>
    </row>
    <row r="1510" spans="1:8">
      <c r="A1510" s="1" t="s">
        <v>4759</v>
      </c>
      <c r="B1510" s="1" t="s">
        <v>26</v>
      </c>
      <c r="C1510" s="1" t="s">
        <v>17</v>
      </c>
      <c r="D1510" s="1" t="s">
        <v>20</v>
      </c>
      <c r="E1510" s="12">
        <f>F1510</f>
        <v>0.48950585000000002</v>
      </c>
      <c r="F1510" s="12">
        <f>Systems!L80</f>
        <v>0.48950585000000002</v>
      </c>
      <c r="G1510" s="1" t="s">
        <v>23</v>
      </c>
      <c r="H1510" s="1" t="s">
        <v>65</v>
      </c>
    </row>
    <row r="1511" spans="1:8">
      <c r="A1511" s="1" t="s">
        <v>4760</v>
      </c>
      <c r="B1511" s="1" t="s">
        <v>26</v>
      </c>
      <c r="C1511" s="1" t="s">
        <v>17</v>
      </c>
      <c r="D1511" s="1" t="s">
        <v>20</v>
      </c>
      <c r="E1511" s="12">
        <f>F1511</f>
        <v>1</v>
      </c>
      <c r="F1511" s="12">
        <f>Systems!L82</f>
        <v>1</v>
      </c>
      <c r="G1511" s="1" t="s">
        <v>23</v>
      </c>
      <c r="H1511" s="1" t="s">
        <v>65</v>
      </c>
    </row>
    <row r="1512" spans="1:8">
      <c r="A1512" s="1" t="s">
        <v>4761</v>
      </c>
      <c r="B1512" s="1" t="s">
        <v>26</v>
      </c>
      <c r="C1512" s="1" t="s">
        <v>17</v>
      </c>
      <c r="D1512" s="1" t="s">
        <v>20</v>
      </c>
      <c r="E1512" s="12">
        <f>F1512/32</f>
        <v>1.5297057812500001E-2</v>
      </c>
      <c r="F1512" s="12">
        <f>Systems!L80</f>
        <v>0.48950585000000002</v>
      </c>
      <c r="G1512" s="1" t="s">
        <v>23</v>
      </c>
      <c r="H1512" s="1" t="s">
        <v>65</v>
      </c>
    </row>
    <row r="1513" spans="1:8">
      <c r="A1513" s="1" t="s">
        <v>4762</v>
      </c>
      <c r="B1513" s="1" t="s">
        <v>26</v>
      </c>
      <c r="C1513" s="1" t="s">
        <v>17</v>
      </c>
      <c r="D1513" s="1" t="s">
        <v>20</v>
      </c>
      <c r="E1513" s="12">
        <f>F1513/2</f>
        <v>0.24475292500000001</v>
      </c>
      <c r="F1513" s="12">
        <f>Systems!L80</f>
        <v>0.48950585000000002</v>
      </c>
      <c r="G1513" s="1" t="s">
        <v>23</v>
      </c>
      <c r="H1513" s="1" t="s">
        <v>65</v>
      </c>
    </row>
    <row r="1514" spans="1:8">
      <c r="A1514" s="1" t="s">
        <v>4763</v>
      </c>
      <c r="B1514" s="1" t="s">
        <v>26</v>
      </c>
      <c r="C1514" s="1" t="s">
        <v>17</v>
      </c>
      <c r="D1514" s="1" t="s">
        <v>20</v>
      </c>
      <c r="E1514" s="12">
        <f>1000*F1514</f>
        <v>489.50585000000001</v>
      </c>
      <c r="F1514" s="12">
        <f>Systems!L80</f>
        <v>0.48950585000000002</v>
      </c>
      <c r="G1514" s="1" t="s">
        <v>23</v>
      </c>
      <c r="H1514" s="1" t="s">
        <v>65</v>
      </c>
    </row>
    <row r="1515" spans="1:8">
      <c r="A1515" s="1" t="s">
        <v>4764</v>
      </c>
      <c r="B1515" s="1" t="s">
        <v>26</v>
      </c>
      <c r="C1515" s="1" t="s">
        <v>17</v>
      </c>
      <c r="D1515" s="1" t="s">
        <v>20</v>
      </c>
      <c r="E1515" s="12">
        <f>1000*F1515</f>
        <v>1000</v>
      </c>
      <c r="F1515" s="12">
        <f>Systems!L82</f>
        <v>1</v>
      </c>
      <c r="G1515" s="1" t="s">
        <v>23</v>
      </c>
      <c r="H1515" s="1" t="s">
        <v>65</v>
      </c>
    </row>
    <row r="1516" spans="1:8">
      <c r="A1516" s="1" t="s">
        <v>4765</v>
      </c>
      <c r="B1516" s="1" t="s">
        <v>26</v>
      </c>
      <c r="C1516" s="1" t="s">
        <v>17</v>
      </c>
      <c r="D1516" s="1" t="s">
        <v>20</v>
      </c>
      <c r="E1516" s="12">
        <f>F1516/480</f>
        <v>7.6484999999999997E-4</v>
      </c>
      <c r="F1516" s="12">
        <f>Systems!L81</f>
        <v>0.36712800000000001</v>
      </c>
      <c r="G1516" s="1" t="s">
        <v>23</v>
      </c>
      <c r="H1516" s="1" t="s">
        <v>65</v>
      </c>
    </row>
    <row r="1517" spans="1:8">
      <c r="A1517" s="1" t="s">
        <v>4766</v>
      </c>
      <c r="B1517" s="1" t="s">
        <v>26</v>
      </c>
      <c r="C1517" s="1" t="s">
        <v>17</v>
      </c>
      <c r="D1517" s="1" t="s">
        <v>20</v>
      </c>
      <c r="E1517" s="12">
        <f>F1517/16</f>
        <v>3.0594115625000001E-2</v>
      </c>
      <c r="F1517" s="12">
        <f>Systems!L80</f>
        <v>0.48950585000000002</v>
      </c>
      <c r="G1517" s="1" t="s">
        <v>23</v>
      </c>
      <c r="H1517" s="1" t="s">
        <v>65</v>
      </c>
    </row>
    <row r="1518" spans="1:8">
      <c r="A1518" s="1" t="s">
        <v>4767</v>
      </c>
      <c r="B1518" s="1" t="s">
        <v>26</v>
      </c>
      <c r="C1518" s="1" t="s">
        <v>17</v>
      </c>
      <c r="D1518" s="1" t="s">
        <v>20</v>
      </c>
      <c r="E1518" s="12">
        <f>F1518/10</f>
        <v>0.1</v>
      </c>
      <c r="F1518" s="12">
        <f>Systems!L82</f>
        <v>1</v>
      </c>
      <c r="G1518" s="1" t="s">
        <v>23</v>
      </c>
      <c r="H1518" s="1" t="s">
        <v>65</v>
      </c>
    </row>
    <row r="1519" spans="1:8">
      <c r="A1519" s="1" t="s">
        <v>4768</v>
      </c>
      <c r="B1519" s="1" t="s">
        <v>26</v>
      </c>
      <c r="C1519" s="1" t="s">
        <v>17</v>
      </c>
      <c r="D1519" s="1" t="s">
        <v>20</v>
      </c>
      <c r="E1519" s="12">
        <f>F1519/4</f>
        <v>0.12237646250000001</v>
      </c>
      <c r="F1519" s="12">
        <f>Systems!L80</f>
        <v>0.48950585000000002</v>
      </c>
      <c r="G1519" s="1" t="s">
        <v>23</v>
      </c>
      <c r="H1519" s="1" t="s">
        <v>65</v>
      </c>
    </row>
    <row r="1520" spans="1:8">
      <c r="A1520" s="1" t="s">
        <v>2357</v>
      </c>
      <c r="B1520" s="1" t="s">
        <v>354</v>
      </c>
      <c r="C1520" s="1" t="s">
        <v>17</v>
      </c>
      <c r="D1520" s="1" t="s">
        <v>20</v>
      </c>
      <c r="E1520" s="12">
        <f>100*F1520</f>
        <v>48.950585000000004</v>
      </c>
      <c r="F1520" s="12">
        <f>Systems!L80</f>
        <v>0.48950585000000002</v>
      </c>
      <c r="G1520" s="1" t="s">
        <v>23</v>
      </c>
      <c r="H1520" s="1" t="s">
        <v>65</v>
      </c>
    </row>
    <row r="1521" spans="1:8">
      <c r="A1521" s="1" t="s">
        <v>4769</v>
      </c>
      <c r="B1521" s="1" t="s">
        <v>4770</v>
      </c>
      <c r="C1521" s="1" t="s">
        <v>17</v>
      </c>
      <c r="D1521" s="1" t="s">
        <v>20</v>
      </c>
      <c r="E1521" s="12">
        <f>100*F1521</f>
        <v>100</v>
      </c>
      <c r="F1521" s="12">
        <f>SI!E2</f>
        <v>1</v>
      </c>
      <c r="G1521" s="1" t="s">
        <v>23</v>
      </c>
      <c r="H1521" s="1" t="s">
        <v>65</v>
      </c>
    </row>
    <row r="1522" spans="1:8">
      <c r="A1522" s="1" t="s">
        <v>4771</v>
      </c>
      <c r="B1522" s="1" t="s">
        <v>26</v>
      </c>
      <c r="C1522" s="1" t="s">
        <v>17</v>
      </c>
      <c r="D1522" s="1" t="s">
        <v>20</v>
      </c>
      <c r="E1522" s="12">
        <f>50*F1522</f>
        <v>50</v>
      </c>
      <c r="F1522" s="12">
        <f>SI!E2</f>
        <v>1</v>
      </c>
      <c r="G1522" s="1" t="s">
        <v>23</v>
      </c>
      <c r="H1522" s="1" t="s">
        <v>65</v>
      </c>
    </row>
    <row r="1523" spans="1:8">
      <c r="A1523" s="1" t="s">
        <v>4772</v>
      </c>
      <c r="B1523" s="1" t="s">
        <v>26</v>
      </c>
      <c r="C1523" s="1" t="s">
        <v>17</v>
      </c>
      <c r="D1523" s="1" t="s">
        <v>20</v>
      </c>
      <c r="E1523" s="12">
        <f>F1523/20</f>
        <v>1.8356400000000002E-2</v>
      </c>
      <c r="F1523" s="12">
        <f>Systems!L81</f>
        <v>0.36712800000000001</v>
      </c>
      <c r="G1523" s="1" t="s">
        <v>23</v>
      </c>
      <c r="H1523" s="1" t="s">
        <v>65</v>
      </c>
    </row>
    <row r="1524" spans="1:8">
      <c r="A1524" s="1" t="s">
        <v>4729</v>
      </c>
      <c r="B1524" s="1" t="s">
        <v>26</v>
      </c>
      <c r="C1524" s="1" t="s">
        <v>17</v>
      </c>
      <c r="D1524" s="1" t="s">
        <v>20</v>
      </c>
      <c r="E1524" s="12">
        <f>2000*F1524</f>
        <v>979.01170000000002</v>
      </c>
      <c r="F1524" s="12">
        <f>Systems!L80</f>
        <v>0.48950585000000002</v>
      </c>
      <c r="G1524" s="1" t="s">
        <v>23</v>
      </c>
      <c r="H1524" s="1" t="s">
        <v>65</v>
      </c>
    </row>
    <row r="1525" spans="1:8">
      <c r="A1525" s="248"/>
      <c r="B1525" s="253"/>
      <c r="C1525" s="248"/>
      <c r="D1525" s="249"/>
      <c r="E1525" s="250"/>
      <c r="F1525" s="250"/>
      <c r="G1525" s="248"/>
      <c r="H1525" s="248"/>
    </row>
    <row r="1526" spans="1:8">
      <c r="A1526" s="1" t="s">
        <v>875</v>
      </c>
      <c r="B1526" s="1" t="s">
        <v>26</v>
      </c>
      <c r="C1526" s="1" t="s">
        <v>3033</v>
      </c>
      <c r="D1526" s="1" t="s">
        <v>19</v>
      </c>
      <c r="E1526" s="12">
        <f>17*F1526/8</f>
        <v>0.66694612499999995</v>
      </c>
      <c r="F1526" s="12">
        <f>Systems!D89</f>
        <v>0.313857</v>
      </c>
      <c r="G1526" s="1" t="s">
        <v>14</v>
      </c>
      <c r="H1526" s="1" t="s">
        <v>59</v>
      </c>
    </row>
    <row r="1527" spans="1:8">
      <c r="A1527" s="1" t="s">
        <v>200</v>
      </c>
      <c r="B1527" s="1" t="s">
        <v>26</v>
      </c>
      <c r="C1527" s="1" t="s">
        <v>3033</v>
      </c>
      <c r="D1527" s="1" t="s">
        <v>19</v>
      </c>
      <c r="E1527" s="12">
        <f>F1527</f>
        <v>0.313857</v>
      </c>
      <c r="F1527" s="12">
        <f>Systems!D89</f>
        <v>0.313857</v>
      </c>
      <c r="G1527" s="1" t="s">
        <v>14</v>
      </c>
      <c r="H1527" s="1" t="s">
        <v>59</v>
      </c>
    </row>
    <row r="1528" spans="1:8">
      <c r="A1528" s="1" t="s">
        <v>817</v>
      </c>
      <c r="B1528" s="1" t="s">
        <v>26</v>
      </c>
      <c r="C1528" s="1" t="s">
        <v>3033</v>
      </c>
      <c r="D1528" s="1" t="s">
        <v>19</v>
      </c>
      <c r="E1528" s="12">
        <f>F1528</f>
        <v>0.313857</v>
      </c>
      <c r="F1528" s="12">
        <f>Systems!D89</f>
        <v>0.313857</v>
      </c>
      <c r="G1528" s="1" t="s">
        <v>14</v>
      </c>
      <c r="H1528" s="1" t="s">
        <v>59</v>
      </c>
    </row>
    <row r="1529" spans="1:8">
      <c r="A1529" s="1" t="s">
        <v>245</v>
      </c>
      <c r="B1529" s="1" t="s">
        <v>26</v>
      </c>
      <c r="C1529" s="1" t="s">
        <v>3033</v>
      </c>
      <c r="D1529" s="1" t="s">
        <v>19</v>
      </c>
      <c r="E1529" s="12">
        <f>F1529/12</f>
        <v>2.6154750000000001E-2</v>
      </c>
      <c r="F1529" s="12">
        <f>Systems!D89</f>
        <v>0.313857</v>
      </c>
      <c r="G1529" s="1" t="s">
        <v>14</v>
      </c>
      <c r="H1529" s="1" t="s">
        <v>59</v>
      </c>
    </row>
    <row r="1530" spans="1:8">
      <c r="A1530" s="1" t="s">
        <v>961</v>
      </c>
      <c r="B1530" s="1" t="s">
        <v>26</v>
      </c>
      <c r="C1530" s="1" t="s">
        <v>3033</v>
      </c>
      <c r="D1530" s="1" t="s">
        <v>19</v>
      </c>
      <c r="E1530" s="12">
        <f>6*F1530</f>
        <v>1.8831419999999999</v>
      </c>
      <c r="F1530" s="12">
        <f>Systems!D89</f>
        <v>0.313857</v>
      </c>
      <c r="G1530" s="1" t="s">
        <v>14</v>
      </c>
      <c r="H1530" s="1" t="s">
        <v>59</v>
      </c>
    </row>
    <row r="1531" spans="1:8">
      <c r="A1531" s="1" t="s">
        <v>1922</v>
      </c>
      <c r="B1531" s="1" t="s">
        <v>26</v>
      </c>
      <c r="C1531" s="1" t="s">
        <v>3033</v>
      </c>
      <c r="D1531" s="1" t="s">
        <v>19</v>
      </c>
      <c r="E1531" s="12">
        <f>63*F1531/10</f>
        <v>1.9772991000000002</v>
      </c>
      <c r="F1531" s="12">
        <f>Systems!D89</f>
        <v>0.313857</v>
      </c>
      <c r="G1531" s="1" t="s">
        <v>14</v>
      </c>
      <c r="H1531" s="1" t="s">
        <v>59</v>
      </c>
    </row>
    <row r="1532" spans="1:8">
      <c r="A1532" s="1" t="s">
        <v>255</v>
      </c>
      <c r="B1532" s="1" t="s">
        <v>26</v>
      </c>
      <c r="C1532" s="1" t="s">
        <v>3033</v>
      </c>
      <c r="D1532" s="1" t="s">
        <v>19</v>
      </c>
      <c r="E1532" s="12">
        <f>F1532/144</f>
        <v>2.1795625000000001E-3</v>
      </c>
      <c r="F1532" s="12">
        <f>Systems!D89</f>
        <v>0.313857</v>
      </c>
      <c r="G1532" s="1" t="s">
        <v>14</v>
      </c>
      <c r="H1532" s="1" t="s">
        <v>59</v>
      </c>
    </row>
    <row r="1533" spans="1:8">
      <c r="A1533" s="1" t="s">
        <v>1968</v>
      </c>
      <c r="B1533" s="1" t="s">
        <v>26</v>
      </c>
      <c r="C1533" s="1" t="s">
        <v>3033</v>
      </c>
      <c r="D1533" s="1" t="s">
        <v>19</v>
      </c>
      <c r="E1533" s="12">
        <f>F1533/144</f>
        <v>2.1795625000000001E-3</v>
      </c>
      <c r="F1533" s="12">
        <f>Systems!D89</f>
        <v>0.313857</v>
      </c>
      <c r="G1533" s="1" t="s">
        <v>14</v>
      </c>
      <c r="H1533" s="1" t="s">
        <v>59</v>
      </c>
    </row>
    <row r="1534" spans="1:8">
      <c r="A1534" s="1" t="s">
        <v>2044</v>
      </c>
      <c r="B1534" s="1" t="s">
        <v>26</v>
      </c>
      <c r="C1534" s="1" t="s">
        <v>3033</v>
      </c>
      <c r="D1534" s="1" t="s">
        <v>19</v>
      </c>
      <c r="E1534" s="12">
        <f>24000*F1534</f>
        <v>7532.5680000000002</v>
      </c>
      <c r="F1534" s="12">
        <f>Systems!D89</f>
        <v>0.313857</v>
      </c>
      <c r="G1534" s="1" t="s">
        <v>14</v>
      </c>
      <c r="H1534" s="1" t="s">
        <v>59</v>
      </c>
    </row>
    <row r="1535" spans="1:8">
      <c r="A1535" s="1" t="s">
        <v>4773</v>
      </c>
      <c r="B1535" s="1" t="s">
        <v>26</v>
      </c>
      <c r="C1535" s="1" t="s">
        <v>3033</v>
      </c>
      <c r="D1535" s="1" t="s">
        <v>19</v>
      </c>
      <c r="E1535" s="12">
        <f>8889*F1535</f>
        <v>8889</v>
      </c>
      <c r="F1535" s="12">
        <f>SI!E3</f>
        <v>1</v>
      </c>
      <c r="G1535" s="1" t="s">
        <v>14</v>
      </c>
      <c r="H1535" s="1" t="s">
        <v>59</v>
      </c>
    </row>
    <row r="1536" spans="1:8">
      <c r="A1536" s="1" t="s">
        <v>4774</v>
      </c>
      <c r="B1536" s="1" t="s">
        <v>26</v>
      </c>
      <c r="C1536" s="1" t="s">
        <v>3033</v>
      </c>
      <c r="D1536" s="1" t="s">
        <v>19</v>
      </c>
      <c r="E1536" s="12">
        <f>7467.5*F1536</f>
        <v>7467.5</v>
      </c>
      <c r="F1536" s="12">
        <f>SI!E3</f>
        <v>1</v>
      </c>
      <c r="G1536" s="1" t="s">
        <v>14</v>
      </c>
      <c r="H1536" s="1" t="s">
        <v>59</v>
      </c>
    </row>
    <row r="1537" spans="1:8">
      <c r="A1537" s="1" t="s">
        <v>4775</v>
      </c>
      <c r="B1537" s="1" t="s">
        <v>26</v>
      </c>
      <c r="C1537" s="1" t="s">
        <v>3033</v>
      </c>
      <c r="D1537" s="1" t="s">
        <v>19</v>
      </c>
      <c r="E1537" s="12">
        <f>7420.438*F1537</f>
        <v>7420.4380000000001</v>
      </c>
      <c r="F1537" s="12">
        <f>SI!E3</f>
        <v>1</v>
      </c>
      <c r="G1537" s="1" t="s">
        <v>14</v>
      </c>
      <c r="H1537" s="1" t="s">
        <v>59</v>
      </c>
    </row>
    <row r="1538" spans="1:8">
      <c r="A1538" s="1" t="s">
        <v>1484</v>
      </c>
      <c r="B1538" s="1" t="s">
        <v>26</v>
      </c>
      <c r="C1538" s="1" t="s">
        <v>3033</v>
      </c>
      <c r="D1538" s="1" t="s">
        <v>19</v>
      </c>
      <c r="E1538" s="12">
        <f>24000*F1538</f>
        <v>7532.5680000000002</v>
      </c>
      <c r="F1538" s="12">
        <f>Systems!D89</f>
        <v>0.313857</v>
      </c>
      <c r="G1538" s="1" t="s">
        <v>14</v>
      </c>
      <c r="H1538" s="1" t="s">
        <v>59</v>
      </c>
    </row>
    <row r="1539" spans="1:8">
      <c r="A1539" s="1" t="s">
        <v>2312</v>
      </c>
      <c r="B1539" s="1" t="s">
        <v>26</v>
      </c>
      <c r="C1539" s="1" t="s">
        <v>3033</v>
      </c>
      <c r="D1539" s="1" t="s">
        <v>19</v>
      </c>
      <c r="E1539" s="12">
        <f>F1539/1728</f>
        <v>1.8163020833333334E-4</v>
      </c>
      <c r="F1539" s="12">
        <f>Systems!D89</f>
        <v>0.313857</v>
      </c>
      <c r="G1539" s="1" t="s">
        <v>14</v>
      </c>
      <c r="H1539" s="1" t="s">
        <v>59</v>
      </c>
    </row>
    <row r="1540" spans="1:8">
      <c r="A1540" s="1" t="s">
        <v>2406</v>
      </c>
      <c r="B1540" s="1" t="s">
        <v>26</v>
      </c>
      <c r="C1540" s="1" t="s">
        <v>3033</v>
      </c>
      <c r="D1540" s="1" t="s">
        <v>19</v>
      </c>
      <c r="E1540" s="12">
        <f>12*F1540</f>
        <v>3.7662839999999997</v>
      </c>
      <c r="F1540" s="12">
        <f>Systems!D89</f>
        <v>0.313857</v>
      </c>
      <c r="G1540" s="1" t="s">
        <v>14</v>
      </c>
      <c r="H1540" s="1" t="s">
        <v>59</v>
      </c>
    </row>
    <row r="1541" spans="1:8">
      <c r="A1541" s="1" t="s">
        <v>2790</v>
      </c>
      <c r="B1541" s="1" t="s">
        <v>26</v>
      </c>
      <c r="C1541" s="1" t="s">
        <v>3033</v>
      </c>
      <c r="D1541" s="1" t="s">
        <v>19</v>
      </c>
      <c r="E1541" s="12">
        <f>12000*F1541</f>
        <v>3766.2840000000001</v>
      </c>
      <c r="F1541" s="12">
        <f>Systems!D89</f>
        <v>0.313857</v>
      </c>
      <c r="G1541" s="1" t="s">
        <v>14</v>
      </c>
      <c r="H1541" s="1" t="s">
        <v>59</v>
      </c>
    </row>
    <row r="1542" spans="1:8">
      <c r="A1542" s="1" t="s">
        <v>431</v>
      </c>
      <c r="B1542" s="1" t="s">
        <v>26</v>
      </c>
      <c r="C1542" s="1" t="s">
        <v>3033</v>
      </c>
      <c r="D1542" s="1" t="s">
        <v>19</v>
      </c>
      <c r="E1542" s="12">
        <f>12*F1542</f>
        <v>3.7662839999999997</v>
      </c>
      <c r="F1542" s="12">
        <f>Systems!D89</f>
        <v>0.313857</v>
      </c>
      <c r="G1542" s="1" t="s">
        <v>14</v>
      </c>
      <c r="H1542" s="1" t="s">
        <v>59</v>
      </c>
    </row>
    <row r="1543" spans="1:8" ht="16.5">
      <c r="A1543" s="1" t="s">
        <v>839</v>
      </c>
      <c r="B1543" s="1" t="s">
        <v>26</v>
      </c>
      <c r="C1543" s="1" t="s">
        <v>3034</v>
      </c>
      <c r="D1543" s="1" t="s">
        <v>38</v>
      </c>
      <c r="E1543" s="12">
        <f>40*F1543</f>
        <v>5760.0813383000004</v>
      </c>
      <c r="F1543" s="12">
        <f>Systems!H89</f>
        <v>144.0020334575</v>
      </c>
      <c r="G1543" s="1" t="s">
        <v>39</v>
      </c>
      <c r="H1543" s="1" t="s">
        <v>59</v>
      </c>
    </row>
    <row r="1544" spans="1:8" ht="16.5">
      <c r="A1544" s="1" t="s">
        <v>961</v>
      </c>
      <c r="B1544" s="1" t="s">
        <v>26</v>
      </c>
      <c r="C1544" s="1" t="s">
        <v>3034</v>
      </c>
      <c r="D1544" s="1" t="s">
        <v>38</v>
      </c>
      <c r="E1544" s="12">
        <f>F1544</f>
        <v>144.0020334575</v>
      </c>
      <c r="F1544" s="12">
        <f>Systems!H89</f>
        <v>144.0020334575</v>
      </c>
      <c r="G1544" s="1" t="s">
        <v>39</v>
      </c>
      <c r="H1544" s="1" t="s">
        <v>59</v>
      </c>
    </row>
    <row r="1545" spans="1:8" ht="16.5">
      <c r="A1545" s="1" t="s">
        <v>973</v>
      </c>
      <c r="B1545" s="1" t="s">
        <v>26</v>
      </c>
      <c r="C1545" s="1" t="s">
        <v>3034</v>
      </c>
      <c r="D1545" s="1" t="s">
        <v>38</v>
      </c>
      <c r="E1545" s="12">
        <f>180*F1545</f>
        <v>2553.2811303580797</v>
      </c>
      <c r="F1545" s="12">
        <f>POWER(12*Systems!D89,2)</f>
        <v>14.184895168655999</v>
      </c>
      <c r="G1545" s="1" t="s">
        <v>39</v>
      </c>
      <c r="H1545" s="1" t="s">
        <v>59</v>
      </c>
    </row>
    <row r="1546" spans="1:8" ht="16.5">
      <c r="A1546" s="1" t="s">
        <v>1556</v>
      </c>
      <c r="B1546" s="1" t="s">
        <v>26</v>
      </c>
      <c r="C1546" s="1" t="s">
        <v>2936</v>
      </c>
      <c r="D1546" s="1" t="s">
        <v>32</v>
      </c>
      <c r="E1546" s="12">
        <f>F1546/32</f>
        <v>1.1581124999999999E-3</v>
      </c>
      <c r="F1546" s="12">
        <f>Systems!T89</f>
        <v>3.7059599999999998E-2</v>
      </c>
      <c r="G1546" s="1" t="s">
        <v>33</v>
      </c>
      <c r="H1546" s="1" t="s">
        <v>59</v>
      </c>
    </row>
    <row r="1547" spans="1:8" ht="16.5">
      <c r="A1547" s="1" t="s">
        <v>2028</v>
      </c>
      <c r="B1547" s="1" t="s">
        <v>26</v>
      </c>
      <c r="C1547" s="1" t="s">
        <v>2936</v>
      </c>
      <c r="D1547" s="1" t="s">
        <v>32</v>
      </c>
      <c r="E1547" s="12">
        <f>F1547/8</f>
        <v>4.6324499999999998E-3</v>
      </c>
      <c r="F1547" s="12">
        <f>Systems!T89</f>
        <v>3.7059599999999998E-2</v>
      </c>
      <c r="G1547" s="1" t="s">
        <v>33</v>
      </c>
      <c r="H1547" s="1" t="s">
        <v>59</v>
      </c>
    </row>
    <row r="1548" spans="1:8" ht="16.5">
      <c r="A1548" s="1" t="s">
        <v>975</v>
      </c>
      <c r="B1548" s="1" t="s">
        <v>26</v>
      </c>
      <c r="C1548" s="1" t="s">
        <v>2936</v>
      </c>
      <c r="D1548" s="1" t="s">
        <v>32</v>
      </c>
      <c r="E1548" s="12">
        <f>F1548</f>
        <v>3.43589E-3</v>
      </c>
      <c r="F1548" s="12">
        <f>Systems!T90</f>
        <v>3.43589E-3</v>
      </c>
      <c r="G1548" s="1" t="s">
        <v>33</v>
      </c>
      <c r="H1548" s="1" t="s">
        <v>59</v>
      </c>
    </row>
    <row r="1549" spans="1:8" ht="16.5">
      <c r="A1549" s="1" t="s">
        <v>843</v>
      </c>
      <c r="B1549" s="1" t="s">
        <v>26</v>
      </c>
      <c r="C1549" s="1" t="s">
        <v>2936</v>
      </c>
      <c r="D1549" s="1" t="s">
        <v>32</v>
      </c>
      <c r="E1549" s="12">
        <f>F1549</f>
        <v>3.7059599999999998E-2</v>
      </c>
      <c r="F1549" s="12">
        <f>Systems!T89</f>
        <v>3.7059599999999998E-2</v>
      </c>
      <c r="G1549" s="1" t="s">
        <v>33</v>
      </c>
      <c r="H1549" s="1" t="s">
        <v>59</v>
      </c>
    </row>
    <row r="1550" spans="1:8" ht="16.5">
      <c r="A1550" s="1" t="s">
        <v>842</v>
      </c>
      <c r="B1550" s="1" t="s">
        <v>26</v>
      </c>
      <c r="C1550" s="1" t="s">
        <v>2936</v>
      </c>
      <c r="D1550" s="1" t="s">
        <v>32</v>
      </c>
      <c r="E1550" s="12">
        <f>F1550/3</f>
        <v>1.1452966666666666E-3</v>
      </c>
      <c r="F1550" s="12">
        <f>Systems!T90</f>
        <v>3.43589E-3</v>
      </c>
      <c r="G1550" s="1" t="s">
        <v>33</v>
      </c>
      <c r="H1550" s="1" t="s">
        <v>59</v>
      </c>
    </row>
    <row r="1551" spans="1:8" ht="16.5">
      <c r="A1551" s="1" t="s">
        <v>2444</v>
      </c>
      <c r="B1551" s="1" t="s">
        <v>26</v>
      </c>
      <c r="C1551" s="1" t="s">
        <v>2936</v>
      </c>
      <c r="D1551" s="1" t="s">
        <v>32</v>
      </c>
      <c r="E1551" s="12">
        <f>6*F1551</f>
        <v>0.22235759999999999</v>
      </c>
      <c r="F1551" s="12">
        <f>Systems!T89</f>
        <v>3.7059599999999998E-2</v>
      </c>
      <c r="G1551" s="1" t="s">
        <v>33</v>
      </c>
      <c r="H1551" s="1" t="s">
        <v>59</v>
      </c>
    </row>
    <row r="1552" spans="1:8" ht="16.5">
      <c r="A1552" s="1" t="s">
        <v>1174</v>
      </c>
      <c r="B1552" s="1" t="s">
        <v>26</v>
      </c>
      <c r="C1552" s="1" t="s">
        <v>2935</v>
      </c>
      <c r="D1552" s="1" t="s">
        <v>32</v>
      </c>
      <c r="E1552" s="12">
        <f>300*F1552</f>
        <v>0.34352072862259775</v>
      </c>
      <c r="F1552" s="12">
        <f>Systems!P89</f>
        <v>1.1450690954086591E-3</v>
      </c>
      <c r="G1552" s="1" t="s">
        <v>33</v>
      </c>
      <c r="H1552" s="1" t="s">
        <v>59</v>
      </c>
    </row>
    <row r="1553" spans="1:8" ht="16.5">
      <c r="A1553" s="1" t="s">
        <v>1215</v>
      </c>
      <c r="B1553" s="1" t="s">
        <v>26</v>
      </c>
      <c r="C1553" s="1" t="s">
        <v>2935</v>
      </c>
      <c r="D1553" s="1" t="s">
        <v>32</v>
      </c>
      <c r="E1553" s="12">
        <f>30*F1553</f>
        <v>3.4352072862259775E-2</v>
      </c>
      <c r="F1553" s="12">
        <f>Systems!P89</f>
        <v>1.1450690954086591E-3</v>
      </c>
      <c r="G1553" s="1" t="s">
        <v>33</v>
      </c>
      <c r="H1553" s="1" t="s">
        <v>59</v>
      </c>
    </row>
    <row r="1554" spans="1:8" ht="16.5">
      <c r="A1554" s="1" t="s">
        <v>847</v>
      </c>
      <c r="B1554" s="1" t="s">
        <v>26</v>
      </c>
      <c r="C1554" s="1" t="s">
        <v>2935</v>
      </c>
      <c r="D1554" s="1" t="s">
        <v>32</v>
      </c>
      <c r="E1554" s="12">
        <f>60*F1554</f>
        <v>6.870414572451955E-2</v>
      </c>
      <c r="F1554" s="12">
        <f>Systems!P89</f>
        <v>1.1450690954086591E-3</v>
      </c>
      <c r="G1554" s="1" t="s">
        <v>33</v>
      </c>
      <c r="H1554" s="1" t="s">
        <v>59</v>
      </c>
    </row>
    <row r="1555" spans="1:8" ht="16.5">
      <c r="A1555" s="1" t="s">
        <v>1637</v>
      </c>
      <c r="B1555" s="1" t="s">
        <v>26</v>
      </c>
      <c r="C1555" s="1" t="s">
        <v>2935</v>
      </c>
      <c r="D1555" s="1" t="s">
        <v>32</v>
      </c>
      <c r="E1555" s="12">
        <f>720*F1555</f>
        <v>0.8244497486942346</v>
      </c>
      <c r="F1555" s="12">
        <f>Systems!P89</f>
        <v>1.1450690954086591E-3</v>
      </c>
      <c r="G1555" s="1" t="s">
        <v>33</v>
      </c>
      <c r="H1555" s="1" t="s">
        <v>59</v>
      </c>
    </row>
    <row r="1556" spans="1:8" ht="16.5">
      <c r="A1556" s="1" t="s">
        <v>1709</v>
      </c>
      <c r="B1556" s="1" t="s">
        <v>26</v>
      </c>
      <c r="C1556" s="1" t="s">
        <v>2935</v>
      </c>
      <c r="D1556" s="1" t="s">
        <v>32</v>
      </c>
      <c r="E1556" s="12">
        <f>15*F1556/32</f>
        <v>5.3675113847280898E-4</v>
      </c>
      <c r="F1556" s="12">
        <f>Systems!P89</f>
        <v>1.1450690954086591E-3</v>
      </c>
      <c r="G1556" s="1" t="s">
        <v>33</v>
      </c>
      <c r="H1556" s="1" t="s">
        <v>59</v>
      </c>
    </row>
    <row r="1557" spans="1:8" ht="16.5">
      <c r="A1557" s="1" t="s">
        <v>1800</v>
      </c>
      <c r="B1557" s="1" t="s">
        <v>26</v>
      </c>
      <c r="C1557" s="1" t="s">
        <v>2935</v>
      </c>
      <c r="D1557" s="1" t="s">
        <v>32</v>
      </c>
      <c r="E1557" s="12">
        <f>15*F1557/4</f>
        <v>4.2940091077824719E-3</v>
      </c>
      <c r="F1557" s="12">
        <f>Systems!P89</f>
        <v>1.1450690954086591E-3</v>
      </c>
      <c r="G1557" s="1" t="s">
        <v>33</v>
      </c>
      <c r="H1557" s="1" t="s">
        <v>59</v>
      </c>
    </row>
    <row r="1558" spans="1:8" ht="16.5">
      <c r="A1558" s="1" t="s">
        <v>2143</v>
      </c>
      <c r="B1558" s="1" t="s">
        <v>26</v>
      </c>
      <c r="C1558" s="1" t="s">
        <v>2935</v>
      </c>
      <c r="D1558" s="1" t="s">
        <v>32</v>
      </c>
      <c r="E1558" s="12">
        <f>15*F1558/16</f>
        <v>1.073502276945618E-3</v>
      </c>
      <c r="F1558" s="12">
        <f>Systems!P89</f>
        <v>1.1450690954086591E-3</v>
      </c>
      <c r="G1558" s="1" t="s">
        <v>33</v>
      </c>
      <c r="H1558" s="1" t="s">
        <v>59</v>
      </c>
    </row>
    <row r="1559" spans="1:8" ht="16.5">
      <c r="A1559" s="1" t="s">
        <v>314</v>
      </c>
      <c r="B1559" s="1" t="s">
        <v>26</v>
      </c>
      <c r="C1559" s="1" t="s">
        <v>2935</v>
      </c>
      <c r="D1559" s="1" t="s">
        <v>32</v>
      </c>
      <c r="E1559" s="12">
        <f>120*F1559</f>
        <v>0.1374082914490391</v>
      </c>
      <c r="F1559" s="12">
        <f>Systems!P89</f>
        <v>1.1450690954086591E-3</v>
      </c>
      <c r="G1559" s="1" t="s">
        <v>33</v>
      </c>
      <c r="H1559" s="1" t="s">
        <v>59</v>
      </c>
    </row>
    <row r="1560" spans="1:8" ht="16.5">
      <c r="A1560" s="1" t="s">
        <v>2196</v>
      </c>
      <c r="B1560" s="1" t="s">
        <v>26</v>
      </c>
      <c r="C1560" s="1" t="s">
        <v>2935</v>
      </c>
      <c r="D1560" s="1" t="s">
        <v>32</v>
      </c>
      <c r="E1560" s="12">
        <f>180*F1560</f>
        <v>0.20611243717355865</v>
      </c>
      <c r="F1560" s="12">
        <f>Systems!P89</f>
        <v>1.1450690954086591E-3</v>
      </c>
      <c r="G1560" s="1" t="s">
        <v>33</v>
      </c>
      <c r="H1560" s="1" t="s">
        <v>59</v>
      </c>
    </row>
    <row r="1561" spans="1:8" ht="16.5">
      <c r="A1561" s="1" t="s">
        <v>842</v>
      </c>
      <c r="B1561" s="1" t="s">
        <v>26</v>
      </c>
      <c r="C1561" s="1" t="s">
        <v>2935</v>
      </c>
      <c r="D1561" s="1" t="s">
        <v>32</v>
      </c>
      <c r="E1561" s="12">
        <f>F1561</f>
        <v>1.1450690954086591E-3</v>
      </c>
      <c r="F1561" s="12">
        <f>Systems!P89</f>
        <v>1.1450690954086591E-3</v>
      </c>
      <c r="G1561" s="1" t="s">
        <v>33</v>
      </c>
      <c r="H1561" s="1" t="s">
        <v>59</v>
      </c>
    </row>
    <row r="1562" spans="1:8" ht="16.5">
      <c r="A1562" s="1" t="s">
        <v>2344</v>
      </c>
      <c r="B1562" s="1" t="s">
        <v>26</v>
      </c>
      <c r="C1562" s="1" t="s">
        <v>2935</v>
      </c>
      <c r="D1562" s="1" t="s">
        <v>32</v>
      </c>
      <c r="E1562" s="12">
        <f>15*F1562/8</f>
        <v>2.1470045538912359E-3</v>
      </c>
      <c r="F1562" s="12">
        <f>Systems!P89</f>
        <v>1.1450690954086591E-3</v>
      </c>
      <c r="G1562" s="1" t="s">
        <v>33</v>
      </c>
      <c r="H1562" s="1" t="s">
        <v>59</v>
      </c>
    </row>
    <row r="1563" spans="1:8" ht="16.5">
      <c r="A1563" s="1" t="s">
        <v>2567</v>
      </c>
      <c r="B1563" s="1" t="s">
        <v>26</v>
      </c>
      <c r="C1563" s="1" t="s">
        <v>2935</v>
      </c>
      <c r="D1563" s="1" t="s">
        <v>32</v>
      </c>
      <c r="E1563" s="12">
        <f>15*F1563/2</f>
        <v>8.5880182155649437E-3</v>
      </c>
      <c r="F1563" s="12">
        <f>Systems!P89</f>
        <v>1.1450690954086591E-3</v>
      </c>
      <c r="G1563" s="1" t="s">
        <v>33</v>
      </c>
      <c r="H1563" s="1" t="s">
        <v>59</v>
      </c>
    </row>
    <row r="1564" spans="1:8" ht="16.5">
      <c r="A1564" s="1" t="s">
        <v>2586</v>
      </c>
      <c r="B1564" s="1" t="s">
        <v>26</v>
      </c>
      <c r="C1564" s="1" t="s">
        <v>2935</v>
      </c>
      <c r="D1564" s="1" t="s">
        <v>32</v>
      </c>
      <c r="E1564" s="12">
        <f>15*F1564/2</f>
        <v>8.5880182155649437E-3</v>
      </c>
      <c r="F1564" s="12">
        <f>Systems!P89</f>
        <v>1.1450690954086591E-3</v>
      </c>
      <c r="G1564" s="1" t="s">
        <v>33</v>
      </c>
      <c r="H1564" s="1" t="s">
        <v>59</v>
      </c>
    </row>
    <row r="1565" spans="1:8" ht="16.5">
      <c r="A1565" s="1" t="s">
        <v>2774</v>
      </c>
      <c r="B1565" s="1" t="s">
        <v>26</v>
      </c>
      <c r="C1565" s="1" t="s">
        <v>2935</v>
      </c>
      <c r="D1565" s="1" t="s">
        <v>32</v>
      </c>
      <c r="E1565" s="12">
        <f>15*F1565</f>
        <v>1.7176036431129887E-2</v>
      </c>
      <c r="F1565" s="12">
        <f>Systems!P89</f>
        <v>1.1450690954086591E-3</v>
      </c>
      <c r="G1565" s="1" t="s">
        <v>33</v>
      </c>
      <c r="H1565" s="1" t="s">
        <v>59</v>
      </c>
    </row>
    <row r="1566" spans="1:8" ht="16.5">
      <c r="A1566" s="1" t="s">
        <v>2775</v>
      </c>
      <c r="B1566" s="1" t="s">
        <v>26</v>
      </c>
      <c r="C1566" s="1" t="s">
        <v>2935</v>
      </c>
      <c r="D1566" s="1" t="s">
        <v>32</v>
      </c>
      <c r="E1566" s="12">
        <f>15*F1566/64</f>
        <v>2.6837556923640449E-4</v>
      </c>
      <c r="F1566" s="12">
        <f>Systems!P89</f>
        <v>1.1450690954086591E-3</v>
      </c>
      <c r="G1566" s="1" t="s">
        <v>33</v>
      </c>
      <c r="H1566" s="1" t="s">
        <v>59</v>
      </c>
    </row>
    <row r="1567" spans="1:8">
      <c r="A1567" s="1" t="s">
        <v>1544</v>
      </c>
      <c r="B1567" s="1" t="s">
        <v>26</v>
      </c>
      <c r="C1567" s="1" t="s">
        <v>17</v>
      </c>
      <c r="D1567" s="1" t="s">
        <v>20</v>
      </c>
      <c r="E1567" s="12">
        <f>220*F1567</f>
        <v>102.89641999999999</v>
      </c>
      <c r="F1567" s="12">
        <f>Systems!L89</f>
        <v>0.46771099999999999</v>
      </c>
      <c r="G1567" s="1" t="s">
        <v>23</v>
      </c>
      <c r="H1567" s="1" t="s">
        <v>59</v>
      </c>
    </row>
    <row r="1568" spans="1:8">
      <c r="A1568" s="1" t="s">
        <v>1692</v>
      </c>
      <c r="B1568" s="1" t="s">
        <v>26</v>
      </c>
      <c r="C1568" s="1" t="s">
        <v>17</v>
      </c>
      <c r="D1568" s="1" t="s">
        <v>20</v>
      </c>
      <c r="E1568" s="12">
        <f>F1568/7680</f>
        <v>6.0899869791666664E-5</v>
      </c>
      <c r="F1568" s="12">
        <f>Systems!L89</f>
        <v>0.46771099999999999</v>
      </c>
      <c r="G1568" s="1" t="s">
        <v>23</v>
      </c>
      <c r="H1568" s="1" t="s">
        <v>59</v>
      </c>
    </row>
    <row r="1569" spans="1:8">
      <c r="A1569" s="1" t="s">
        <v>1764</v>
      </c>
      <c r="B1569" s="1" t="s">
        <v>26</v>
      </c>
      <c r="C1569" s="1" t="s">
        <v>17</v>
      </c>
      <c r="D1569" s="1" t="s">
        <v>20</v>
      </c>
      <c r="E1569" s="12">
        <f>F1569</f>
        <v>9.8066499999999994</v>
      </c>
      <c r="F1569" s="12">
        <f>'Physical Definitions'!E13</f>
        <v>9.8066499999999994</v>
      </c>
      <c r="G1569" s="1" t="s">
        <v>23</v>
      </c>
      <c r="H1569" s="1" t="s">
        <v>59</v>
      </c>
    </row>
    <row r="1570" spans="1:8">
      <c r="A1570" s="1" t="s">
        <v>1868</v>
      </c>
      <c r="B1570" s="1" t="s">
        <v>26</v>
      </c>
      <c r="C1570" s="1" t="s">
        <v>17</v>
      </c>
      <c r="D1570" s="1" t="s">
        <v>20</v>
      </c>
      <c r="E1570" s="12">
        <f>3*F1570</f>
        <v>3000</v>
      </c>
      <c r="F1570" s="12">
        <v>1000</v>
      </c>
      <c r="G1570" s="1" t="s">
        <v>23</v>
      </c>
      <c r="H1570" s="1" t="s">
        <v>59</v>
      </c>
    </row>
    <row r="1571" spans="1:8">
      <c r="A1571" s="1" t="s">
        <v>1988</v>
      </c>
      <c r="B1571" s="1" t="s">
        <v>26</v>
      </c>
      <c r="C1571" s="1" t="s">
        <v>17</v>
      </c>
      <c r="D1571" s="1" t="s">
        <v>20</v>
      </c>
      <c r="E1571" s="12">
        <f>F1571/32</f>
        <v>1.461596875E-2</v>
      </c>
      <c r="F1571" s="12">
        <f>Systems!L89</f>
        <v>0.46771099999999999</v>
      </c>
      <c r="G1571" s="1" t="s">
        <v>23</v>
      </c>
      <c r="H1571" s="1" t="s">
        <v>59</v>
      </c>
    </row>
    <row r="1572" spans="1:8">
      <c r="A1572" s="1" t="s">
        <v>2021</v>
      </c>
      <c r="B1572" s="1" t="s">
        <v>26</v>
      </c>
      <c r="C1572" s="1" t="s">
        <v>17</v>
      </c>
      <c r="D1572" s="1" t="s">
        <v>20</v>
      </c>
      <c r="E1572" s="12">
        <f>F1572/2</f>
        <v>0.23385549999999999</v>
      </c>
      <c r="F1572" s="12">
        <f>Systems!L89</f>
        <v>0.46771099999999999</v>
      </c>
      <c r="G1572" s="1" t="s">
        <v>23</v>
      </c>
      <c r="H1572" s="1" t="s">
        <v>59</v>
      </c>
    </row>
    <row r="1573" spans="1:8">
      <c r="A1573" s="1" t="s">
        <v>4776</v>
      </c>
      <c r="B1573" s="1" t="s">
        <v>26</v>
      </c>
      <c r="C1573" s="1" t="s">
        <v>17</v>
      </c>
      <c r="D1573" s="1" t="s">
        <v>20</v>
      </c>
      <c r="E1573" s="12">
        <f>F1573</f>
        <v>9.8066499999999994</v>
      </c>
      <c r="F1573" s="12">
        <f>'Physical Definitions'!E13*SI!E2*SI!E3/(SI!E3/POWER(SI!E4,2))</f>
        <v>9.8066499999999994</v>
      </c>
      <c r="G1573" s="1" t="s">
        <v>23</v>
      </c>
      <c r="H1573" s="1" t="s">
        <v>59</v>
      </c>
    </row>
    <row r="1574" spans="1:8">
      <c r="A1574" s="1" t="s">
        <v>288</v>
      </c>
      <c r="B1574" s="1" t="s">
        <v>26</v>
      </c>
      <c r="C1574" s="1" t="s">
        <v>17</v>
      </c>
      <c r="D1574" s="1" t="s">
        <v>20</v>
      </c>
      <c r="E1574" s="12">
        <f>F1574</f>
        <v>9.8066499999999994</v>
      </c>
      <c r="F1574" s="12">
        <f>'Physical Definitions'!E13*POWER(SI!E4,2)/SI!E3</f>
        <v>9.8066499999999994</v>
      </c>
      <c r="G1574" s="1" t="s">
        <v>23</v>
      </c>
      <c r="H1574" s="1" t="s">
        <v>59</v>
      </c>
    </row>
    <row r="1575" spans="1:8">
      <c r="A1575" s="1" t="s">
        <v>317</v>
      </c>
      <c r="B1575" s="1" t="s">
        <v>26</v>
      </c>
      <c r="C1575" s="1" t="s">
        <v>17</v>
      </c>
      <c r="D1575" s="1" t="s">
        <v>20</v>
      </c>
      <c r="E1575" s="12">
        <f>F1575</f>
        <v>9.8066499999999994</v>
      </c>
      <c r="F1575" s="12">
        <f>'Physical Definitions'!E13*POWER(SI!E4,2)/SI!E3</f>
        <v>9.8066499999999994</v>
      </c>
      <c r="G1575" s="1" t="s">
        <v>23</v>
      </c>
      <c r="H1575" s="1" t="s">
        <v>59</v>
      </c>
    </row>
    <row r="1576" spans="1:8">
      <c r="A1576" s="1" t="s">
        <v>2254</v>
      </c>
      <c r="B1576" s="1" t="s">
        <v>26</v>
      </c>
      <c r="C1576" s="1" t="s">
        <v>17</v>
      </c>
      <c r="D1576" s="1" t="s">
        <v>20</v>
      </c>
      <c r="E1576" s="12">
        <f>F1576/512</f>
        <v>9.1349804687499998E-4</v>
      </c>
      <c r="F1576" s="12">
        <f>Systems!L89</f>
        <v>0.46771099999999999</v>
      </c>
      <c r="G1576" s="1" t="s">
        <v>23</v>
      </c>
      <c r="H1576" s="1" t="s">
        <v>59</v>
      </c>
    </row>
    <row r="1577" spans="1:8">
      <c r="A1577" s="1" t="s">
        <v>840</v>
      </c>
      <c r="B1577" s="1" t="s">
        <v>26</v>
      </c>
      <c r="C1577" s="1" t="s">
        <v>17</v>
      </c>
      <c r="D1577" s="1" t="s">
        <v>20</v>
      </c>
      <c r="E1577" s="12">
        <f>F1577</f>
        <v>0.46771099999999999</v>
      </c>
      <c r="F1577" s="12">
        <f>Systems!L89</f>
        <v>0.46771099999999999</v>
      </c>
      <c r="G1577" s="1" t="s">
        <v>23</v>
      </c>
      <c r="H1577" s="1" t="s">
        <v>59</v>
      </c>
    </row>
    <row r="1578" spans="1:8">
      <c r="A1578" s="1" t="s">
        <v>819</v>
      </c>
      <c r="B1578" s="1" t="s">
        <v>26</v>
      </c>
      <c r="C1578" s="1" t="s">
        <v>17</v>
      </c>
      <c r="D1578" s="1" t="s">
        <v>20</v>
      </c>
      <c r="E1578" s="12">
        <v>0.46771099999999999</v>
      </c>
      <c r="F1578" s="12">
        <f>Systems!L89</f>
        <v>0.46771099999999999</v>
      </c>
      <c r="G1578" s="1" t="s">
        <v>23</v>
      </c>
      <c r="H1578" s="1" t="s">
        <v>59</v>
      </c>
    </row>
    <row r="1579" spans="1:8">
      <c r="A1579" s="1" t="s">
        <v>2352</v>
      </c>
      <c r="B1579" s="1" t="s">
        <v>26</v>
      </c>
      <c r="C1579" s="1" t="s">
        <v>17</v>
      </c>
      <c r="D1579" s="1" t="s">
        <v>20</v>
      </c>
      <c r="E1579" s="12">
        <f>F1579/96</f>
        <v>4.8719895833333332E-3</v>
      </c>
      <c r="F1579" s="12">
        <f>Systems!L89</f>
        <v>0.46771099999999999</v>
      </c>
      <c r="G1579" s="1" t="s">
        <v>23</v>
      </c>
      <c r="H1579" s="1" t="s">
        <v>59</v>
      </c>
    </row>
    <row r="1580" spans="1:8">
      <c r="A1580" s="1" t="s">
        <v>2356</v>
      </c>
      <c r="B1580" s="1" t="s">
        <v>26</v>
      </c>
      <c r="C1580" s="1" t="s">
        <v>17</v>
      </c>
      <c r="D1580" s="1" t="s">
        <v>20</v>
      </c>
      <c r="E1580" s="12">
        <f>F1580/128</f>
        <v>3.6539921874999999E-3</v>
      </c>
      <c r="F1580" s="12">
        <f>Systems!L89</f>
        <v>0.46771099999999999</v>
      </c>
      <c r="G1580" s="1" t="s">
        <v>23</v>
      </c>
      <c r="H1580" s="1" t="s">
        <v>59</v>
      </c>
    </row>
    <row r="1581" spans="1:8">
      <c r="A1581" s="1" t="s">
        <v>2357</v>
      </c>
      <c r="B1581" s="1" t="s">
        <v>26</v>
      </c>
      <c r="C1581" s="1" t="s">
        <v>17</v>
      </c>
      <c r="D1581" s="1" t="s">
        <v>20</v>
      </c>
      <c r="E1581" s="12">
        <f>110*F1581</f>
        <v>51.448209999999996</v>
      </c>
      <c r="F1581" s="12">
        <f>Systems!L89</f>
        <v>0.46771099999999999</v>
      </c>
      <c r="G1581" s="1" t="s">
        <v>23</v>
      </c>
      <c r="H1581" s="1" t="s">
        <v>59</v>
      </c>
    </row>
    <row r="1582" spans="1:8">
      <c r="A1582" s="1" t="s">
        <v>2446</v>
      </c>
      <c r="B1582" s="1" t="s">
        <v>26</v>
      </c>
      <c r="C1582" s="1" t="s">
        <v>17</v>
      </c>
      <c r="D1582" s="1" t="s">
        <v>20</v>
      </c>
      <c r="E1582" s="12">
        <f>330*F1582</f>
        <v>154.34463</v>
      </c>
      <c r="F1582" s="12">
        <f>Systems!L89</f>
        <v>0.46771099999999999</v>
      </c>
      <c r="G1582" s="1" t="s">
        <v>23</v>
      </c>
      <c r="H1582" s="1" t="s">
        <v>59</v>
      </c>
    </row>
    <row r="1583" spans="1:8">
      <c r="A1583" s="1" t="s">
        <v>2570</v>
      </c>
      <c r="B1583" s="1" t="s">
        <v>26</v>
      </c>
      <c r="C1583" s="1" t="s">
        <v>17</v>
      </c>
      <c r="D1583" s="1" t="s">
        <v>20</v>
      </c>
      <c r="E1583" s="12">
        <f>22*F1583</f>
        <v>10.289642000000001</v>
      </c>
      <c r="F1583" s="12">
        <f>Systems!L89</f>
        <v>0.46771099999999999</v>
      </c>
      <c r="G1583" s="1" t="s">
        <v>23</v>
      </c>
      <c r="H1583" s="1" t="s">
        <v>59</v>
      </c>
    </row>
    <row r="1584" spans="1:8">
      <c r="A1584" s="1" t="s">
        <v>403</v>
      </c>
      <c r="B1584" s="1" t="s">
        <v>26</v>
      </c>
      <c r="C1584" s="1" t="s">
        <v>17</v>
      </c>
      <c r="D1584" s="1" t="s">
        <v>20</v>
      </c>
      <c r="E1584" s="12">
        <f>F1584</f>
        <v>9.8066499999999994</v>
      </c>
      <c r="F1584" s="12">
        <f>SI!E2*'Physical Definitions'!E13*POWER(SI!E4,2)/SI!E3</f>
        <v>9.8066499999999994</v>
      </c>
      <c r="G1584" s="1" t="s">
        <v>23</v>
      </c>
      <c r="H1584" s="1" t="s">
        <v>59</v>
      </c>
    </row>
    <row r="1585" spans="1:8">
      <c r="A1585" s="1" t="s">
        <v>2666</v>
      </c>
      <c r="B1585" s="1" t="s">
        <v>26</v>
      </c>
      <c r="C1585" s="1" t="s">
        <v>17</v>
      </c>
      <c r="D1585" s="1" t="s">
        <v>20</v>
      </c>
      <c r="E1585" s="12">
        <f>F1585</f>
        <v>9.8066499999999994</v>
      </c>
      <c r="F1585" s="12">
        <f>SI!E2*'Physical Definitions'!E13*POWER(SI!E4,2)/SI!E3</f>
        <v>9.8066499999999994</v>
      </c>
      <c r="G1585" s="1" t="s">
        <v>23</v>
      </c>
      <c r="H1585" s="1" t="s">
        <v>59</v>
      </c>
    </row>
    <row r="1586" spans="1:8">
      <c r="A1586" s="1" t="s">
        <v>2744</v>
      </c>
      <c r="B1586" s="1" t="s">
        <v>26</v>
      </c>
      <c r="C1586" s="1" t="s">
        <v>17</v>
      </c>
      <c r="D1586" s="1" t="s">
        <v>20</v>
      </c>
      <c r="E1586" s="12">
        <f>F1586/16</f>
        <v>2.9231937499999999E-2</v>
      </c>
      <c r="F1586" s="12">
        <f>Systems!L89</f>
        <v>0.46771099999999999</v>
      </c>
      <c r="G1586" s="1" t="s">
        <v>23</v>
      </c>
      <c r="H1586" s="1" t="s">
        <v>59</v>
      </c>
    </row>
    <row r="1587" spans="1:8">
      <c r="A1587" s="1" t="s">
        <v>2819</v>
      </c>
      <c r="B1587" s="1" t="s">
        <v>26</v>
      </c>
      <c r="C1587" s="1" t="s">
        <v>17</v>
      </c>
      <c r="D1587" s="1" t="s">
        <v>20</v>
      </c>
      <c r="E1587" s="12">
        <f>110*F1587</f>
        <v>51.448209999999996</v>
      </c>
      <c r="F1587" s="12">
        <f>Systems!L89</f>
        <v>0.46771099999999999</v>
      </c>
      <c r="G1587" s="1" t="s">
        <v>23</v>
      </c>
      <c r="H1587" s="1" t="s">
        <v>59</v>
      </c>
    </row>
    <row r="1588" spans="1:8">
      <c r="A1588" s="1" t="s">
        <v>979</v>
      </c>
      <c r="B1588" s="1" t="s">
        <v>26</v>
      </c>
      <c r="C1588" s="1" t="s">
        <v>17</v>
      </c>
      <c r="D1588" s="1" t="s">
        <v>20</v>
      </c>
      <c r="E1588" s="12">
        <f>F1588</f>
        <v>0.51448210000000005</v>
      </c>
      <c r="F1588" s="12">
        <f>Systems!L90</f>
        <v>0.51448210000000005</v>
      </c>
      <c r="G1588" s="1" t="s">
        <v>23</v>
      </c>
      <c r="H1588" s="1" t="s">
        <v>59</v>
      </c>
    </row>
    <row r="1589" spans="1:8">
      <c r="A1589" s="248"/>
      <c r="B1589" s="248"/>
      <c r="C1589" s="248"/>
      <c r="D1589" s="248"/>
      <c r="E1589" s="250"/>
      <c r="F1589" s="250"/>
      <c r="G1589" s="248"/>
      <c r="H1589" s="248"/>
    </row>
    <row r="1590" spans="1:8">
      <c r="A1590" s="1" t="s">
        <v>4777</v>
      </c>
      <c r="B1590" s="1" t="s">
        <v>26</v>
      </c>
      <c r="C1590" s="1" t="s">
        <v>3033</v>
      </c>
      <c r="D1590" s="1" t="s">
        <v>19</v>
      </c>
      <c r="E1590" s="12">
        <f>F1590</f>
        <v>21</v>
      </c>
      <c r="F1590" s="12">
        <f>Systems!D94</f>
        <v>21</v>
      </c>
      <c r="G1590" s="1" t="s">
        <v>14</v>
      </c>
      <c r="H1590" s="1" t="s">
        <v>373</v>
      </c>
    </row>
    <row r="1591" spans="1:8">
      <c r="A1591" s="1" t="s">
        <v>4778</v>
      </c>
      <c r="B1591" s="1" t="s">
        <v>26</v>
      </c>
      <c r="C1591" s="1" t="s">
        <v>3033</v>
      </c>
      <c r="D1591" s="1" t="s">
        <v>19</v>
      </c>
      <c r="E1591" s="12">
        <f>F1591</f>
        <v>0.66900000000000004</v>
      </c>
      <c r="F1591" s="12">
        <f>Systems!D92</f>
        <v>0.66900000000000004</v>
      </c>
      <c r="G1591" s="1" t="s">
        <v>14</v>
      </c>
      <c r="H1591" s="1" t="s">
        <v>373</v>
      </c>
    </row>
    <row r="1592" spans="1:8">
      <c r="A1592" s="1" t="s">
        <v>4779</v>
      </c>
      <c r="B1592" s="1" t="s">
        <v>26</v>
      </c>
      <c r="C1592" s="1" t="s">
        <v>3033</v>
      </c>
      <c r="D1592" s="1" t="s">
        <v>19</v>
      </c>
      <c r="E1592" s="12">
        <f>F1592</f>
        <v>0.75</v>
      </c>
      <c r="F1592" s="12">
        <f>Systems!D93</f>
        <v>0.75</v>
      </c>
      <c r="G1592" s="1" t="s">
        <v>14</v>
      </c>
      <c r="H1592" s="1" t="s">
        <v>373</v>
      </c>
    </row>
    <row r="1593" spans="1:8">
      <c r="A1593" s="1" t="s">
        <v>4780</v>
      </c>
      <c r="B1593" s="1" t="s">
        <v>26</v>
      </c>
      <c r="C1593" s="1" t="s">
        <v>3033</v>
      </c>
      <c r="D1593" s="1" t="s">
        <v>19</v>
      </c>
      <c r="E1593" s="12">
        <f>F1593</f>
        <v>0.64800000000000002</v>
      </c>
      <c r="F1593" s="12">
        <f>Systems!D91</f>
        <v>0.64800000000000002</v>
      </c>
      <c r="G1593" s="1" t="s">
        <v>14</v>
      </c>
      <c r="H1593" s="1" t="s">
        <v>373</v>
      </c>
    </row>
    <row r="1594" spans="1:8" ht="16.5">
      <c r="A1594" s="1" t="s">
        <v>977</v>
      </c>
      <c r="B1594" s="1" t="s">
        <v>26</v>
      </c>
      <c r="C1594" s="1" t="s">
        <v>3034</v>
      </c>
      <c r="D1594" s="1" t="s">
        <v>38</v>
      </c>
      <c r="E1594" s="12">
        <f>F1594</f>
        <v>1000</v>
      </c>
      <c r="F1594" s="12">
        <f>Systems!H91</f>
        <v>1000</v>
      </c>
      <c r="G1594" s="1" t="s">
        <v>39</v>
      </c>
      <c r="H1594" s="1" t="s">
        <v>373</v>
      </c>
    </row>
    <row r="1595" spans="1:8" ht="16.5">
      <c r="A1595" s="1" t="s">
        <v>4781</v>
      </c>
      <c r="B1595" s="1" t="s">
        <v>26</v>
      </c>
      <c r="C1595" s="1" t="s">
        <v>3034</v>
      </c>
      <c r="D1595" s="1" t="s">
        <v>38</v>
      </c>
      <c r="E1595" s="12">
        <f>1.27*F1595</f>
        <v>1270</v>
      </c>
      <c r="F1595" s="12">
        <f>Systems!H91</f>
        <v>1000</v>
      </c>
      <c r="G1595" s="1" t="s">
        <v>39</v>
      </c>
      <c r="H1595" s="1" t="s">
        <v>373</v>
      </c>
    </row>
    <row r="1596" spans="1:8" ht="16.5">
      <c r="A1596" s="1" t="s">
        <v>2490</v>
      </c>
      <c r="B1596" s="1" t="s">
        <v>26</v>
      </c>
      <c r="C1596" s="1" t="s">
        <v>2936</v>
      </c>
      <c r="D1596" s="1" t="s">
        <v>32</v>
      </c>
      <c r="E1596" s="12">
        <f>F1596</f>
        <v>5.4000000000000001E-4</v>
      </c>
      <c r="F1596" s="12">
        <f>Systems!T91</f>
        <v>5.4000000000000001E-4</v>
      </c>
      <c r="G1596" s="1" t="s">
        <v>33</v>
      </c>
      <c r="H1596" s="1" t="s">
        <v>373</v>
      </c>
    </row>
    <row r="1597" spans="1:8" ht="16.5">
      <c r="A1597" s="22" t="s">
        <v>830</v>
      </c>
      <c r="B1597" s="19" t="s">
        <v>26</v>
      </c>
      <c r="C1597" s="1" t="s">
        <v>2935</v>
      </c>
      <c r="D1597" s="1" t="s">
        <v>32</v>
      </c>
      <c r="E1597" s="21">
        <f>F1597</f>
        <v>7.4235999999999996E-2</v>
      </c>
      <c r="F1597" s="21">
        <f>Systems!P92</f>
        <v>7.4235999999999996E-2</v>
      </c>
      <c r="G1597" s="1" t="s">
        <v>33</v>
      </c>
      <c r="H1597" s="1" t="s">
        <v>373</v>
      </c>
    </row>
    <row r="1598" spans="1:8" ht="16.5">
      <c r="A1598" s="1" t="s">
        <v>834</v>
      </c>
      <c r="B1598" s="8" t="s">
        <v>26</v>
      </c>
      <c r="C1598" s="1" t="s">
        <v>2935</v>
      </c>
      <c r="D1598" s="1" t="s">
        <v>32</v>
      </c>
      <c r="E1598" s="12">
        <f>F1598</f>
        <v>1.3365E-3</v>
      </c>
      <c r="F1598" s="12">
        <f>Systems!P91</f>
        <v>1.3365E-3</v>
      </c>
      <c r="G1598" s="1" t="s">
        <v>33</v>
      </c>
      <c r="H1598" s="1" t="s">
        <v>373</v>
      </c>
    </row>
    <row r="1599" spans="1:8">
      <c r="A1599" s="1" t="s">
        <v>1553</v>
      </c>
      <c r="C1599" s="1" t="s">
        <v>17</v>
      </c>
      <c r="D1599" s="1" t="s">
        <v>20</v>
      </c>
      <c r="E1599" s="12">
        <f>8*F1599/3125</f>
        <v>3.2767999999999999E-3</v>
      </c>
      <c r="F1599" s="12">
        <f>Systems!L91</f>
        <v>1.28</v>
      </c>
      <c r="G1599" s="1" t="s">
        <v>23</v>
      </c>
      <c r="H1599" s="1" t="s">
        <v>373</v>
      </c>
    </row>
    <row r="1600" spans="1:8">
      <c r="A1600" s="1" t="s">
        <v>2082</v>
      </c>
      <c r="B1600" s="1" t="s">
        <v>26</v>
      </c>
      <c r="C1600" s="1" t="s">
        <v>17</v>
      </c>
      <c r="D1600" s="1" t="s">
        <v>20</v>
      </c>
      <c r="E1600" s="12">
        <f>6*F1600/5</f>
        <v>1.536</v>
      </c>
      <c r="F1600" s="12">
        <f>Systems!L91</f>
        <v>1.28</v>
      </c>
      <c r="G1600" s="1" t="s">
        <v>23</v>
      </c>
      <c r="H1600" s="1" t="s">
        <v>373</v>
      </c>
    </row>
    <row r="1601" spans="1:8">
      <c r="A1601" s="1" t="s">
        <v>834</v>
      </c>
      <c r="B1601" s="8" t="s">
        <v>26</v>
      </c>
      <c r="C1601" s="1" t="s">
        <v>17</v>
      </c>
      <c r="D1601" s="1" t="s">
        <v>20</v>
      </c>
      <c r="E1601" s="12">
        <f>F1601</f>
        <v>1.28</v>
      </c>
      <c r="F1601" s="12">
        <f>Systems!L91</f>
        <v>1.28</v>
      </c>
      <c r="G1601" s="1" t="s">
        <v>23</v>
      </c>
      <c r="H1601" s="1" t="s">
        <v>373</v>
      </c>
    </row>
    <row r="1602" spans="1:8">
      <c r="A1602" s="1" t="s">
        <v>819</v>
      </c>
      <c r="B1602" s="1" t="s">
        <v>26</v>
      </c>
      <c r="C1602" s="1" t="s">
        <v>17</v>
      </c>
      <c r="D1602" s="1" t="s">
        <v>20</v>
      </c>
      <c r="E1602" s="12">
        <f>2*F1602/5</f>
        <v>0.51200000000000001</v>
      </c>
      <c r="F1602" s="12">
        <f>Systems!L91</f>
        <v>1.28</v>
      </c>
      <c r="G1602" s="1" t="s">
        <v>23</v>
      </c>
      <c r="H1602" s="1" t="s">
        <v>373</v>
      </c>
    </row>
    <row r="1603" spans="1:8">
      <c r="A1603" s="1" t="s">
        <v>2563</v>
      </c>
      <c r="B1603" s="1" t="s">
        <v>26</v>
      </c>
      <c r="C1603" s="1" t="s">
        <v>17</v>
      </c>
      <c r="D1603" s="1" t="s">
        <v>20</v>
      </c>
      <c r="E1603" s="12">
        <f>100*F1603</f>
        <v>51.2</v>
      </c>
      <c r="F1603" s="12">
        <f>2*Systems!L91/5</f>
        <v>0.51200000000000001</v>
      </c>
      <c r="G1603" s="1" t="s">
        <v>23</v>
      </c>
      <c r="H1603" s="1" t="s">
        <v>373</v>
      </c>
    </row>
    <row r="1604" spans="1:8">
      <c r="A1604" s="1" t="s">
        <v>2601</v>
      </c>
      <c r="B1604" s="1" t="s">
        <v>26</v>
      </c>
      <c r="C1604" s="1" t="s">
        <v>17</v>
      </c>
      <c r="D1604" s="1" t="s">
        <v>20</v>
      </c>
      <c r="E1604" s="12">
        <f>120*F1604</f>
        <v>153.6</v>
      </c>
      <c r="F1604" s="12">
        <f>Systems!L91</f>
        <v>1.28</v>
      </c>
      <c r="G1604" s="1" t="s">
        <v>23</v>
      </c>
      <c r="H1604" s="1" t="s">
        <v>373</v>
      </c>
    </row>
    <row r="1605" spans="1:8">
      <c r="A1605" s="248"/>
      <c r="B1605" s="248"/>
      <c r="C1605" s="248"/>
      <c r="D1605" s="248"/>
      <c r="E1605" s="250"/>
      <c r="F1605" s="250"/>
      <c r="G1605" s="248"/>
      <c r="H1605" s="248"/>
    </row>
    <row r="1606" spans="1:8">
      <c r="A1606" s="1" t="s">
        <v>1448</v>
      </c>
      <c r="B1606" s="1" t="s">
        <v>26</v>
      </c>
      <c r="C1606" s="1" t="s">
        <v>3033</v>
      </c>
      <c r="D1606" s="1" t="s">
        <v>19</v>
      </c>
      <c r="E1606" s="12">
        <f>F1606/4</f>
        <v>0.20897499999999999</v>
      </c>
      <c r="F1606" s="12">
        <f>Systems!D95</f>
        <v>0.83589999999999998</v>
      </c>
      <c r="G1606" s="1" t="s">
        <v>14</v>
      </c>
      <c r="H1606" s="1" t="s">
        <v>475</v>
      </c>
    </row>
    <row r="1607" spans="1:8">
      <c r="A1607" s="1" t="s">
        <v>2037</v>
      </c>
      <c r="B1607" s="1" t="s">
        <v>26</v>
      </c>
      <c r="C1607" s="1" t="s">
        <v>3033</v>
      </c>
      <c r="D1607" s="1" t="s">
        <v>19</v>
      </c>
      <c r="E1607" s="12">
        <f>24*F1607</f>
        <v>20.061599999999999</v>
      </c>
      <c r="F1607" s="12">
        <f>Systems!D95</f>
        <v>0.83589999999999998</v>
      </c>
      <c r="G1607" s="1" t="s">
        <v>14</v>
      </c>
      <c r="H1607" s="1" t="s">
        <v>475</v>
      </c>
    </row>
    <row r="1608" spans="1:8">
      <c r="A1608" s="1" t="s">
        <v>2306</v>
      </c>
      <c r="B1608" s="1" t="s">
        <v>26</v>
      </c>
      <c r="C1608" s="1" t="s">
        <v>3033</v>
      </c>
      <c r="D1608" s="1" t="s">
        <v>19</v>
      </c>
      <c r="E1608" s="12">
        <f>F1608/36</f>
        <v>2.3219444444444445E-2</v>
      </c>
      <c r="F1608" s="12">
        <f>Systems!D95</f>
        <v>0.83589999999999998</v>
      </c>
      <c r="G1608" s="1" t="s">
        <v>14</v>
      </c>
      <c r="H1608" s="1" t="s">
        <v>475</v>
      </c>
    </row>
    <row r="1609" spans="1:8">
      <c r="A1609" s="1" t="s">
        <v>2635</v>
      </c>
      <c r="B1609" s="1" t="s">
        <v>26</v>
      </c>
      <c r="C1609" s="1" t="s">
        <v>3033</v>
      </c>
      <c r="D1609" s="1" t="s">
        <v>19</v>
      </c>
      <c r="E1609" s="12">
        <f>F1609/3</f>
        <v>0.27863333333333334</v>
      </c>
      <c r="F1609" s="12">
        <f>Systems!D95</f>
        <v>0.83589999999999998</v>
      </c>
      <c r="G1609" s="1" t="s">
        <v>14</v>
      </c>
      <c r="H1609" s="1" t="s">
        <v>475</v>
      </c>
    </row>
    <row r="1610" spans="1:8">
      <c r="A1610" s="1" t="s">
        <v>821</v>
      </c>
      <c r="B1610" s="1" t="s">
        <v>26</v>
      </c>
      <c r="C1610" s="1" t="s">
        <v>3033</v>
      </c>
      <c r="D1610" s="1" t="s">
        <v>19</v>
      </c>
      <c r="E1610" s="12">
        <f>F1610</f>
        <v>0.83589999999999998</v>
      </c>
      <c r="F1610" s="12">
        <f>Systems!D95</f>
        <v>0.83589999999999998</v>
      </c>
      <c r="G1610" s="1" t="s">
        <v>14</v>
      </c>
      <c r="H1610" s="1" t="s">
        <v>475</v>
      </c>
    </row>
    <row r="1611" spans="1:8" ht="16.5">
      <c r="A1611" s="1" t="s">
        <v>1332</v>
      </c>
      <c r="B1611" s="1" t="s">
        <v>26</v>
      </c>
      <c r="C1611" s="1" t="s">
        <v>3034</v>
      </c>
      <c r="D1611" s="1" t="s">
        <v>38</v>
      </c>
      <c r="E1611" s="12">
        <f>640000*F1611</f>
        <v>447186.43839999998</v>
      </c>
      <c r="F1611" s="12">
        <f>POWER(Systems!D95,2)</f>
        <v>0.69872880999999998</v>
      </c>
      <c r="G1611" s="1" t="s">
        <v>39</v>
      </c>
      <c r="H1611" s="1" t="s">
        <v>475</v>
      </c>
    </row>
    <row r="1612" spans="1:8" ht="16.5">
      <c r="A1612" s="1" t="s">
        <v>930</v>
      </c>
      <c r="B1612" s="1" t="s">
        <v>26</v>
      </c>
      <c r="C1612" s="1" t="s">
        <v>3034</v>
      </c>
      <c r="D1612" s="1" t="s">
        <v>38</v>
      </c>
      <c r="E1612" s="12">
        <f>F1612</f>
        <v>6987.2880999999998</v>
      </c>
      <c r="F1612" s="12">
        <f>Systems!H95</f>
        <v>6987.2880999999998</v>
      </c>
      <c r="G1612" s="1" t="s">
        <v>39</v>
      </c>
      <c r="H1612" s="1" t="s">
        <v>475</v>
      </c>
    </row>
    <row r="1613" spans="1:8" ht="16.5">
      <c r="A1613" s="1" t="s">
        <v>4513</v>
      </c>
      <c r="B1613" s="1" t="s">
        <v>26</v>
      </c>
      <c r="C1613" s="1" t="s">
        <v>3034</v>
      </c>
      <c r="D1613" s="1" t="s">
        <v>38</v>
      </c>
      <c r="E1613" s="12">
        <f>F1613</f>
        <v>0.69872880999999998</v>
      </c>
      <c r="F1613" s="12">
        <f>POWER(Systems!D95,2)</f>
        <v>0.69872880999999998</v>
      </c>
      <c r="G1613" s="1" t="s">
        <v>39</v>
      </c>
      <c r="H1613" s="1" t="s">
        <v>475</v>
      </c>
    </row>
    <row r="1614" spans="1:8" ht="16.5">
      <c r="A1614" s="1" t="s">
        <v>4514</v>
      </c>
      <c r="B1614" s="1" t="s">
        <v>26</v>
      </c>
      <c r="C1614" s="1" t="s">
        <v>2936</v>
      </c>
      <c r="D1614" s="1" t="s">
        <v>32</v>
      </c>
      <c r="E1614" s="12">
        <f>F1614</f>
        <v>0.58406741227899994</v>
      </c>
      <c r="F1614" s="12">
        <f>Systems!T95</f>
        <v>0.58406741227899994</v>
      </c>
      <c r="G1614" s="1" t="s">
        <v>33</v>
      </c>
      <c r="H1614" s="1" t="s">
        <v>475</v>
      </c>
    </row>
    <row r="1615" spans="1:8" ht="16.5">
      <c r="A1615" s="1" t="s">
        <v>1307</v>
      </c>
      <c r="B1615" s="1" t="s">
        <v>26</v>
      </c>
      <c r="C1615" s="1" t="s">
        <v>2935</v>
      </c>
      <c r="D1615" s="1" t="s">
        <v>32</v>
      </c>
      <c r="E1615" s="12">
        <f>F1615</f>
        <v>6.4999999999999997E-4</v>
      </c>
      <c r="F1615" s="12">
        <f>Systems!P95</f>
        <v>6.4999999999999997E-4</v>
      </c>
      <c r="G1615" s="1" t="s">
        <v>33</v>
      </c>
      <c r="H1615" s="1" t="s">
        <v>475</v>
      </c>
    </row>
    <row r="1616" spans="1:8" ht="16.5">
      <c r="A1616" s="1" t="s">
        <v>1341</v>
      </c>
      <c r="B1616" s="1" t="s">
        <v>26</v>
      </c>
      <c r="C1616" s="1" t="s">
        <v>2935</v>
      </c>
      <c r="D1616" s="1" t="s">
        <v>32</v>
      </c>
      <c r="E1616" s="12">
        <f>25*F1616</f>
        <v>1.6250000000000001E-2</v>
      </c>
      <c r="F1616" s="12">
        <f>Systems!P95</f>
        <v>6.4999999999999997E-4</v>
      </c>
      <c r="G1616" s="1" t="s">
        <v>33</v>
      </c>
      <c r="H1616" s="1" t="s">
        <v>475</v>
      </c>
    </row>
    <row r="1617" spans="1:8" ht="16.5">
      <c r="A1617" s="1" t="s">
        <v>936</v>
      </c>
      <c r="B1617" s="1" t="s">
        <v>26</v>
      </c>
      <c r="C1617" s="1" t="s">
        <v>2935</v>
      </c>
      <c r="D1617" s="1" t="s">
        <v>32</v>
      </c>
      <c r="E1617" s="12">
        <f>25*F1617/32</f>
        <v>5.0781250000000002E-4</v>
      </c>
      <c r="F1617" s="12">
        <f>Systems!P95</f>
        <v>6.4999999999999997E-4</v>
      </c>
      <c r="G1617" s="1" t="s">
        <v>33</v>
      </c>
      <c r="H1617" s="1" t="s">
        <v>475</v>
      </c>
    </row>
    <row r="1618" spans="1:8">
      <c r="A1618" s="1" t="s">
        <v>1340</v>
      </c>
      <c r="B1618" s="1" t="s">
        <v>26</v>
      </c>
      <c r="C1618" s="1" t="s">
        <v>17</v>
      </c>
      <c r="D1618" s="1" t="s">
        <v>20</v>
      </c>
      <c r="E1618" s="12">
        <f>4*F1618/23</f>
        <v>16</v>
      </c>
      <c r="F1618" s="12">
        <f>Systems!L95</f>
        <v>92</v>
      </c>
      <c r="G1618" s="1" t="s">
        <v>23</v>
      </c>
      <c r="H1618" s="1" t="s">
        <v>475</v>
      </c>
    </row>
    <row r="1619" spans="1:8">
      <c r="A1619" s="1" t="s">
        <v>1358</v>
      </c>
      <c r="B1619" s="1" t="s">
        <v>26</v>
      </c>
      <c r="C1619" s="1" t="s">
        <v>17</v>
      </c>
      <c r="D1619" s="1" t="s">
        <v>20</v>
      </c>
      <c r="E1619" s="12">
        <f>7*F1619/4</f>
        <v>161</v>
      </c>
      <c r="F1619" s="12">
        <f>Systems!L95</f>
        <v>92</v>
      </c>
      <c r="G1619" s="1" t="s">
        <v>23</v>
      </c>
      <c r="H1619" s="1" t="s">
        <v>475</v>
      </c>
    </row>
    <row r="1620" spans="1:8">
      <c r="A1620" s="1" t="s">
        <v>823</v>
      </c>
      <c r="B1620" s="1" t="s">
        <v>26</v>
      </c>
      <c r="C1620" s="1" t="s">
        <v>17</v>
      </c>
      <c r="D1620" s="1" t="s">
        <v>20</v>
      </c>
      <c r="E1620" s="12">
        <f>F1620</f>
        <v>92</v>
      </c>
      <c r="F1620" s="12">
        <f>Systems!L95</f>
        <v>92</v>
      </c>
      <c r="G1620" s="1" t="s">
        <v>23</v>
      </c>
      <c r="H1620" s="1" t="s">
        <v>475</v>
      </c>
    </row>
    <row r="1621" spans="1:8">
      <c r="A1621" s="248"/>
      <c r="B1621" s="248"/>
      <c r="C1621" s="248"/>
      <c r="D1621" s="248"/>
      <c r="E1621" s="250"/>
      <c r="F1621" s="250"/>
      <c r="G1621" s="248"/>
      <c r="H1621" s="248"/>
    </row>
    <row r="1622" spans="1:8">
      <c r="A1622" s="1" t="s">
        <v>1771</v>
      </c>
      <c r="B1622" s="1" t="s">
        <v>26</v>
      </c>
      <c r="C1622" s="1" t="s">
        <v>3033</v>
      </c>
      <c r="D1622" s="1" t="s">
        <v>19</v>
      </c>
      <c r="E1622" s="12">
        <f>18986*F1622/3000</f>
        <v>3.657969333333333</v>
      </c>
      <c r="F1622" s="12">
        <f>Systems!D98</f>
        <v>0.57799999999999996</v>
      </c>
      <c r="G1622" s="1" t="s">
        <v>14</v>
      </c>
      <c r="H1622" s="1" t="s">
        <v>439</v>
      </c>
    </row>
    <row r="1623" spans="1:8">
      <c r="A1623" s="1" t="s">
        <v>1770</v>
      </c>
      <c r="B1623" s="1" t="s">
        <v>26</v>
      </c>
      <c r="C1623" s="1" t="s">
        <v>3033</v>
      </c>
      <c r="D1623" s="1" t="s">
        <v>19</v>
      </c>
      <c r="E1623" s="12">
        <f>18986*F1623/3000</f>
        <v>3.657969333333333</v>
      </c>
      <c r="F1623" s="12">
        <f>Systems!D98</f>
        <v>0.57799999999999996</v>
      </c>
      <c r="G1623" s="1" t="s">
        <v>14</v>
      </c>
      <c r="H1623" s="1" t="s">
        <v>439</v>
      </c>
    </row>
    <row r="1624" spans="1:8">
      <c r="A1624" s="1" t="s">
        <v>835</v>
      </c>
      <c r="B1624" s="1" t="s">
        <v>26</v>
      </c>
      <c r="C1624" s="1" t="s">
        <v>3033</v>
      </c>
      <c r="D1624" s="1" t="s">
        <v>19</v>
      </c>
      <c r="E1624" s="12">
        <f>F1624</f>
        <v>0.57799999999999996</v>
      </c>
      <c r="F1624" s="12">
        <f>Systems!D98</f>
        <v>0.57799999999999996</v>
      </c>
      <c r="G1624" s="1" t="s">
        <v>14</v>
      </c>
      <c r="H1624" s="1" t="s">
        <v>439</v>
      </c>
    </row>
    <row r="1625" spans="1:8">
      <c r="A1625" s="1" t="s">
        <v>2266</v>
      </c>
      <c r="B1625" s="1" t="s">
        <v>26</v>
      </c>
      <c r="C1625" s="1" t="s">
        <v>3033</v>
      </c>
      <c r="D1625" s="1" t="s">
        <v>19</v>
      </c>
      <c r="E1625" s="12">
        <f>F1625</f>
        <v>0.23563999999999999</v>
      </c>
      <c r="F1625" s="12">
        <f>Systems!D146</f>
        <v>0.23563999999999999</v>
      </c>
      <c r="G1625" s="1" t="s">
        <v>14</v>
      </c>
      <c r="H1625" s="1" t="s">
        <v>439</v>
      </c>
    </row>
    <row r="1626" spans="1:8" ht="16.5">
      <c r="A1626" s="1" t="s">
        <v>4345</v>
      </c>
      <c r="B1626" s="1" t="s">
        <v>26</v>
      </c>
      <c r="C1626" s="1" t="s">
        <v>3034</v>
      </c>
      <c r="D1626" s="1" t="s">
        <v>38</v>
      </c>
      <c r="E1626" s="12">
        <f>F1626</f>
        <v>0.33408399999999994</v>
      </c>
      <c r="F1626" s="12">
        <f>Systems!H98</f>
        <v>0.33408399999999994</v>
      </c>
      <c r="G1626" s="1" t="s">
        <v>39</v>
      </c>
      <c r="H1626" s="1" t="s">
        <v>439</v>
      </c>
    </row>
    <row r="1627" spans="1:8" ht="16.5">
      <c r="A1627" s="1" t="s">
        <v>4346</v>
      </c>
      <c r="B1627" s="1" t="s">
        <v>26</v>
      </c>
      <c r="C1627" s="1" t="s">
        <v>2936</v>
      </c>
      <c r="D1627" s="1" t="s">
        <v>32</v>
      </c>
      <c r="E1627" s="12">
        <f>F1627</f>
        <v>0.19310055199999995</v>
      </c>
      <c r="F1627" s="12">
        <f>Systems!T98</f>
        <v>0.19310055199999995</v>
      </c>
      <c r="G1627" s="1" t="s">
        <v>33</v>
      </c>
      <c r="H1627" s="1" t="s">
        <v>439</v>
      </c>
    </row>
    <row r="1628" spans="1:8" ht="16.5">
      <c r="A1628" s="1" t="s">
        <v>4346</v>
      </c>
      <c r="B1628" s="1" t="s">
        <v>26</v>
      </c>
      <c r="C1628" s="1" t="s">
        <v>2935</v>
      </c>
      <c r="D1628" s="1" t="s">
        <v>32</v>
      </c>
      <c r="E1628" s="12">
        <f>F1628</f>
        <v>0.19310055199999995</v>
      </c>
      <c r="F1628" s="12">
        <f>Systems!P98</f>
        <v>0.19310055199999995</v>
      </c>
      <c r="G1628" s="1" t="s">
        <v>33</v>
      </c>
      <c r="H1628" s="1" t="s">
        <v>439</v>
      </c>
    </row>
    <row r="1629" spans="1:8">
      <c r="A1629" s="1" t="s">
        <v>1171</v>
      </c>
      <c r="B1629" s="1" t="s">
        <v>26</v>
      </c>
      <c r="C1629" s="1" t="s">
        <v>17</v>
      </c>
      <c r="D1629" s="1" t="s">
        <v>20</v>
      </c>
      <c r="E1629" s="12">
        <f>F1629/16</f>
        <v>4.0124999999999996E-3</v>
      </c>
      <c r="F1629" s="12">
        <f>Systems!L98</f>
        <v>6.4199999999999993E-2</v>
      </c>
      <c r="G1629" s="1" t="s">
        <v>23</v>
      </c>
      <c r="H1629" s="1" t="s">
        <v>439</v>
      </c>
    </row>
    <row r="1630" spans="1:8">
      <c r="A1630" s="1" t="s">
        <v>1177</v>
      </c>
      <c r="B1630" s="1" t="s">
        <v>26</v>
      </c>
      <c r="C1630" s="1" t="s">
        <v>17</v>
      </c>
      <c r="D1630" s="1" t="s">
        <v>20</v>
      </c>
      <c r="E1630" s="12">
        <f>F1630/48</f>
        <v>1.3374999999999999E-3</v>
      </c>
      <c r="F1630" s="12">
        <f>Systems!L98</f>
        <v>6.4199999999999993E-2</v>
      </c>
      <c r="G1630" s="1" t="s">
        <v>23</v>
      </c>
      <c r="H1630" s="1" t="s">
        <v>439</v>
      </c>
    </row>
    <row r="1631" spans="1:8">
      <c r="A1631" s="1" t="s">
        <v>901</v>
      </c>
      <c r="B1631" s="1" t="s">
        <v>26</v>
      </c>
      <c r="C1631" s="1" t="s">
        <v>17</v>
      </c>
      <c r="D1631" s="1" t="s">
        <v>20</v>
      </c>
      <c r="E1631" s="12">
        <f>F1631</f>
        <v>6.4199999999999993E-2</v>
      </c>
      <c r="F1631" s="12">
        <f>Systems!L98</f>
        <v>6.4199999999999993E-2</v>
      </c>
      <c r="G1631" s="1" t="s">
        <v>23</v>
      </c>
      <c r="H1631" s="1" t="s">
        <v>439</v>
      </c>
    </row>
    <row r="1632" spans="1:8">
      <c r="A1632" s="1" t="s">
        <v>1570</v>
      </c>
      <c r="B1632" s="1" t="s">
        <v>26</v>
      </c>
      <c r="C1632" s="1" t="s">
        <v>17</v>
      </c>
      <c r="D1632" s="1" t="s">
        <v>20</v>
      </c>
      <c r="E1632" s="12">
        <f>F1632/3</f>
        <v>2.1399999999999999E-2</v>
      </c>
      <c r="F1632" s="12">
        <f>Systems!L98</f>
        <v>6.4199999999999993E-2</v>
      </c>
      <c r="G1632" s="1" t="s">
        <v>23</v>
      </c>
      <c r="H1632" s="1" t="s">
        <v>439</v>
      </c>
    </row>
    <row r="1633" spans="1:8">
      <c r="A1633" s="1" t="s">
        <v>1649</v>
      </c>
      <c r="B1633" s="1" t="s">
        <v>26</v>
      </c>
      <c r="C1633" s="1" t="s">
        <v>17</v>
      </c>
      <c r="D1633" s="1" t="s">
        <v>20</v>
      </c>
      <c r="E1633" s="12">
        <f>15218*F1633/5</f>
        <v>195.39911999999998</v>
      </c>
      <c r="F1633" s="12">
        <f>Systems!L98</f>
        <v>6.4199999999999993E-2</v>
      </c>
      <c r="G1633" s="1" t="s">
        <v>23</v>
      </c>
      <c r="H1633" s="1" t="s">
        <v>439</v>
      </c>
    </row>
    <row r="1634" spans="1:8">
      <c r="A1634" s="1" t="s">
        <v>1805</v>
      </c>
      <c r="B1634" s="1" t="s">
        <v>26</v>
      </c>
      <c r="C1634" s="1" t="s">
        <v>17</v>
      </c>
      <c r="D1634" s="1" t="s">
        <v>20</v>
      </c>
      <c r="E1634" s="12">
        <f>15218*F1634</f>
        <v>976.99559999999985</v>
      </c>
      <c r="F1634" s="12">
        <f>Systems!L98</f>
        <v>6.4199999999999993E-2</v>
      </c>
      <c r="G1634" s="1" t="s">
        <v>23</v>
      </c>
      <c r="H1634" s="1" t="s">
        <v>439</v>
      </c>
    </row>
    <row r="1635" spans="1:8">
      <c r="A1635" s="1" t="s">
        <v>2039</v>
      </c>
      <c r="B1635" s="1" t="s">
        <v>26</v>
      </c>
      <c r="C1635" s="1" t="s">
        <v>17</v>
      </c>
      <c r="D1635" s="1" t="s">
        <v>20</v>
      </c>
      <c r="E1635" s="12">
        <f>F1635/32</f>
        <v>2.0062499999999998E-3</v>
      </c>
      <c r="F1635" s="12">
        <f>Systems!L98</f>
        <v>6.4199999999999993E-2</v>
      </c>
      <c r="G1635" s="1" t="s">
        <v>23</v>
      </c>
      <c r="H1635" s="1" t="s">
        <v>439</v>
      </c>
    </row>
    <row r="1636" spans="1:8">
      <c r="A1636" s="1" t="s">
        <v>2159</v>
      </c>
      <c r="B1636" s="1" t="s">
        <v>26</v>
      </c>
      <c r="C1636" s="1" t="s">
        <v>17</v>
      </c>
      <c r="D1636" s="1" t="s">
        <v>20</v>
      </c>
      <c r="E1636" s="12">
        <f>F1636/2</f>
        <v>3.2099999999999997E-2</v>
      </c>
      <c r="F1636" s="12">
        <f>Systems!L98</f>
        <v>6.4199999999999993E-2</v>
      </c>
      <c r="G1636" s="1" t="s">
        <v>23</v>
      </c>
      <c r="H1636" s="1" t="s">
        <v>439</v>
      </c>
    </row>
    <row r="1637" spans="1:8">
      <c r="A1637" s="1" t="s">
        <v>2279</v>
      </c>
      <c r="B1637" s="1" t="s">
        <v>26</v>
      </c>
      <c r="C1637" s="1" t="s">
        <v>17</v>
      </c>
      <c r="D1637" s="1" t="s">
        <v>20</v>
      </c>
      <c r="E1637" s="12">
        <f>F1637/8</f>
        <v>8.0249999999999991E-3</v>
      </c>
      <c r="F1637" s="12">
        <f>Systems!L98</f>
        <v>6.4199999999999993E-2</v>
      </c>
      <c r="G1637" s="1" t="s">
        <v>23</v>
      </c>
      <c r="H1637" s="1" t="s">
        <v>439</v>
      </c>
    </row>
    <row r="1638" spans="1:8">
      <c r="A1638" s="1" t="s">
        <v>2360</v>
      </c>
      <c r="B1638" s="1" t="s">
        <v>26</v>
      </c>
      <c r="C1638" s="1" t="s">
        <v>17</v>
      </c>
      <c r="D1638" s="1" t="s">
        <v>20</v>
      </c>
      <c r="E1638" s="12">
        <f>3*F1638/32</f>
        <v>6.0187499999999998E-3</v>
      </c>
      <c r="F1638" s="12">
        <f>Systems!L98</f>
        <v>6.4199999999999993E-2</v>
      </c>
      <c r="G1638" s="1" t="s">
        <v>23</v>
      </c>
      <c r="H1638" s="1" t="s">
        <v>439</v>
      </c>
    </row>
    <row r="1639" spans="1:8">
      <c r="A1639" s="1" t="s">
        <v>2482</v>
      </c>
      <c r="B1639" s="1" t="s">
        <v>26</v>
      </c>
      <c r="C1639" s="1" t="s">
        <v>17</v>
      </c>
      <c r="D1639" s="1" t="s">
        <v>20</v>
      </c>
      <c r="E1639" s="12">
        <f>3*F1639/16</f>
        <v>1.20375E-2</v>
      </c>
      <c r="F1639" s="12">
        <f>Systems!L98</f>
        <v>6.4199999999999993E-2</v>
      </c>
      <c r="G1639" s="1" t="s">
        <v>23</v>
      </c>
      <c r="H1639" s="1" t="s">
        <v>439</v>
      </c>
    </row>
    <row r="1640" spans="1:8">
      <c r="A1640" s="1" t="s">
        <v>2753</v>
      </c>
      <c r="B1640" s="1" t="s">
        <v>26</v>
      </c>
      <c r="C1640" s="1" t="s">
        <v>17</v>
      </c>
      <c r="D1640" s="1" t="s">
        <v>20</v>
      </c>
      <c r="E1640" s="12">
        <f>F1640/8</f>
        <v>8.0249999999999991E-3</v>
      </c>
      <c r="F1640" s="12">
        <f>Systems!L98</f>
        <v>6.4199999999999993E-2</v>
      </c>
      <c r="G1640" s="1" t="s">
        <v>23</v>
      </c>
      <c r="H1640" s="1" t="s">
        <v>439</v>
      </c>
    </row>
    <row r="1641" spans="1:8">
      <c r="A1641" s="248"/>
      <c r="B1641" s="248"/>
      <c r="C1641" s="248"/>
      <c r="D1641" s="248"/>
      <c r="E1641" s="250"/>
      <c r="F1641" s="250"/>
      <c r="G1641" s="248"/>
      <c r="H1641" s="248"/>
    </row>
    <row r="1642" spans="1:8">
      <c r="A1642" s="1" t="s">
        <v>70</v>
      </c>
      <c r="B1642" s="1" t="s">
        <v>26</v>
      </c>
      <c r="C1642" s="1" t="s">
        <v>3033</v>
      </c>
      <c r="D1642" s="1" t="s">
        <v>19</v>
      </c>
      <c r="E1642" s="12">
        <f>99*F1642/1624</f>
        <v>0.11880000000000002</v>
      </c>
      <c r="F1642" s="12">
        <f>Systems!D99</f>
        <v>1.9488000000000001</v>
      </c>
      <c r="G1642" s="1" t="s">
        <v>14</v>
      </c>
      <c r="H1642" s="1" t="s">
        <v>462</v>
      </c>
    </row>
    <row r="1643" spans="1:8">
      <c r="A1643" s="1" t="s">
        <v>812</v>
      </c>
      <c r="B1643" s="1" t="s">
        <v>26</v>
      </c>
      <c r="C1643" s="1" t="s">
        <v>3033</v>
      </c>
      <c r="D1643" s="1" t="s">
        <v>19</v>
      </c>
      <c r="E1643" s="12">
        <f>F1643</f>
        <v>1.9488000000000001</v>
      </c>
      <c r="F1643" s="12">
        <f>Systems!D99</f>
        <v>1.9488000000000001</v>
      </c>
      <c r="G1643" s="1" t="s">
        <v>14</v>
      </c>
      <c r="H1643" s="1" t="s">
        <v>462</v>
      </c>
    </row>
    <row r="1644" spans="1:8" ht="16.5">
      <c r="A1644" s="1" t="s">
        <v>946</v>
      </c>
      <c r="B1644" s="1" t="s">
        <v>26</v>
      </c>
      <c r="C1644" s="1" t="s">
        <v>3034</v>
      </c>
      <c r="D1644" s="1" t="s">
        <v>38</v>
      </c>
      <c r="E1644" s="12">
        <f>F1644</f>
        <v>1292.3</v>
      </c>
      <c r="F1644" s="12">
        <f>Systems!H99</f>
        <v>1292.3</v>
      </c>
      <c r="G1644" s="1" t="s">
        <v>39</v>
      </c>
      <c r="H1644" s="1" t="s">
        <v>462</v>
      </c>
    </row>
    <row r="1645" spans="1:8" ht="16.5">
      <c r="A1645" s="1" t="s">
        <v>4782</v>
      </c>
      <c r="B1645" s="1" t="s">
        <v>26</v>
      </c>
      <c r="C1645" s="1" t="s">
        <v>2936</v>
      </c>
      <c r="D1645" s="1" t="s">
        <v>32</v>
      </c>
      <c r="E1645" s="12">
        <f>F1645</f>
        <v>7.4011944222720008</v>
      </c>
      <c r="F1645" s="12">
        <f>Systems!T99</f>
        <v>7.4011944222720008</v>
      </c>
      <c r="G1645" s="1" t="s">
        <v>33</v>
      </c>
      <c r="H1645" s="19" t="s">
        <v>462</v>
      </c>
    </row>
    <row r="1646" spans="1:8" ht="16.5">
      <c r="A1646" s="23" t="s">
        <v>830</v>
      </c>
      <c r="B1646" s="19" t="s">
        <v>26</v>
      </c>
      <c r="C1646" s="1" t="s">
        <v>2935</v>
      </c>
      <c r="D1646" s="1" t="s">
        <v>32</v>
      </c>
      <c r="E1646" s="21">
        <f>F1646</f>
        <v>0.1</v>
      </c>
      <c r="F1646" s="21">
        <f>Systems!P99</f>
        <v>0.1</v>
      </c>
      <c r="G1646" s="1" t="s">
        <v>33</v>
      </c>
      <c r="H1646" s="19" t="s">
        <v>462</v>
      </c>
    </row>
    <row r="1647" spans="1:8" ht="16.5">
      <c r="A1647" s="1" t="s">
        <v>1435</v>
      </c>
      <c r="B1647" s="1" t="s">
        <v>26</v>
      </c>
      <c r="C1647" s="1" t="s">
        <v>2935</v>
      </c>
      <c r="D1647" s="1" t="s">
        <v>32</v>
      </c>
      <c r="E1647" s="12">
        <f>192*F1647/5</f>
        <v>3.8400000000000007</v>
      </c>
      <c r="F1647" s="12">
        <f>Systems!P99</f>
        <v>0.1</v>
      </c>
      <c r="G1647" s="1" t="s">
        <v>33</v>
      </c>
      <c r="H1647" s="1" t="s">
        <v>462</v>
      </c>
    </row>
    <row r="1648" spans="1:8" ht="16.5">
      <c r="A1648" s="1" t="s">
        <v>4783</v>
      </c>
      <c r="B1648" s="1" t="s">
        <v>26</v>
      </c>
      <c r="C1648" s="1" t="s">
        <v>2935</v>
      </c>
      <c r="D1648" s="1" t="s">
        <v>32</v>
      </c>
      <c r="E1648" s="12">
        <f>80*F1648</f>
        <v>8</v>
      </c>
      <c r="F1648" s="12">
        <f>Systems!P99</f>
        <v>0.1</v>
      </c>
      <c r="G1648" s="1" t="s">
        <v>33</v>
      </c>
      <c r="H1648" s="1" t="s">
        <v>462</v>
      </c>
    </row>
    <row r="1649" spans="1:8">
      <c r="A1649" s="1" t="s">
        <v>4784</v>
      </c>
      <c r="B1649" s="1" t="s">
        <v>26</v>
      </c>
      <c r="C1649" s="1" t="s">
        <v>17</v>
      </c>
      <c r="D1649" s="1" t="s">
        <v>20</v>
      </c>
      <c r="E1649" s="12">
        <f>F1649</f>
        <v>1.7</v>
      </c>
      <c r="F1649" s="12">
        <f>Systems!L99</f>
        <v>1.7</v>
      </c>
      <c r="G1649" s="1" t="s">
        <v>23</v>
      </c>
      <c r="H1649" s="1" t="s">
        <v>462</v>
      </c>
    </row>
    <row r="1650" spans="1:8">
      <c r="A1650" s="248"/>
      <c r="B1650" s="248"/>
      <c r="C1650" s="248"/>
      <c r="D1650" s="248"/>
      <c r="E1650" s="250"/>
      <c r="F1650" s="250"/>
      <c r="G1650" s="248"/>
      <c r="H1650" s="248"/>
    </row>
    <row r="1651" spans="1:8">
      <c r="A1651" s="1" t="s">
        <v>1206</v>
      </c>
      <c r="B1651" s="1" t="s">
        <v>26</v>
      </c>
      <c r="C1651" s="1" t="s">
        <v>3033</v>
      </c>
      <c r="D1651" s="1" t="s">
        <v>19</v>
      </c>
      <c r="E1651" s="12">
        <f>F1651</f>
        <v>0.55500000000000005</v>
      </c>
      <c r="F1651" s="12">
        <f>Systems!D100</f>
        <v>0.55500000000000005</v>
      </c>
      <c r="G1651" s="1" t="s">
        <v>14</v>
      </c>
      <c r="H1651" s="1" t="s">
        <v>87</v>
      </c>
    </row>
    <row r="1652" spans="1:8">
      <c r="A1652" s="1" t="s">
        <v>1421</v>
      </c>
      <c r="B1652" s="1" t="s">
        <v>26</v>
      </c>
      <c r="C1652" s="1" t="s">
        <v>3033</v>
      </c>
      <c r="D1652" s="1" t="s">
        <v>19</v>
      </c>
      <c r="E1652" s="12">
        <f>F1652</f>
        <v>0.55500000000000005</v>
      </c>
      <c r="F1652" s="12">
        <f>Systems!D100</f>
        <v>0.55500000000000005</v>
      </c>
      <c r="G1652" s="1" t="s">
        <v>14</v>
      </c>
      <c r="H1652" s="1" t="s">
        <v>87</v>
      </c>
    </row>
    <row r="1653" spans="1:8">
      <c r="A1653" s="1" t="s">
        <v>4785</v>
      </c>
      <c r="B1653" s="1" t="s">
        <v>26</v>
      </c>
      <c r="C1653" s="1" t="s">
        <v>3033</v>
      </c>
      <c r="D1653" s="1" t="s">
        <v>19</v>
      </c>
      <c r="E1653" s="12">
        <f>F1653</f>
        <v>0.64</v>
      </c>
      <c r="F1653" s="12">
        <f>Systems!D101</f>
        <v>0.64</v>
      </c>
      <c r="G1653" s="1" t="s">
        <v>14</v>
      </c>
      <c r="H1653" s="1" t="s">
        <v>87</v>
      </c>
    </row>
    <row r="1654" spans="1:8">
      <c r="A1654" s="1" t="s">
        <v>4786</v>
      </c>
      <c r="B1654" s="1" t="s">
        <v>26</v>
      </c>
      <c r="C1654" s="1" t="s">
        <v>3033</v>
      </c>
      <c r="D1654" s="1" t="s">
        <v>19</v>
      </c>
      <c r="E1654" s="12">
        <f>80000*F1654</f>
        <v>44400.000000000007</v>
      </c>
      <c r="F1654" s="12">
        <f>Systems!D100</f>
        <v>0.55500000000000005</v>
      </c>
      <c r="G1654" s="1" t="s">
        <v>14</v>
      </c>
      <c r="H1654" s="1" t="s">
        <v>87</v>
      </c>
    </row>
    <row r="1655" spans="1:8">
      <c r="A1655" s="1" t="s">
        <v>838</v>
      </c>
      <c r="B1655" s="1" t="s">
        <v>26</v>
      </c>
      <c r="C1655" s="1" t="s">
        <v>3033</v>
      </c>
      <c r="D1655" s="1" t="s">
        <v>19</v>
      </c>
      <c r="E1655" s="12">
        <f>F1655</f>
        <v>0.55500000000000005</v>
      </c>
      <c r="F1655" s="12">
        <f>Systems!D100</f>
        <v>0.55500000000000005</v>
      </c>
      <c r="G1655" s="1" t="s">
        <v>14</v>
      </c>
      <c r="H1655" s="1" t="s">
        <v>87</v>
      </c>
    </row>
    <row r="1656" spans="1:8">
      <c r="A1656" s="1" t="s">
        <v>1586</v>
      </c>
      <c r="B1656" s="1" t="s">
        <v>26</v>
      </c>
      <c r="C1656" s="1" t="s">
        <v>3033</v>
      </c>
      <c r="D1656" s="1" t="s">
        <v>19</v>
      </c>
      <c r="E1656" s="12">
        <f>F1656/24</f>
        <v>2.3125000000000003E-2</v>
      </c>
      <c r="F1656" s="12">
        <f>Systems!D100</f>
        <v>0.55500000000000005</v>
      </c>
      <c r="G1656" s="1" t="s">
        <v>14</v>
      </c>
      <c r="H1656" s="1" t="s">
        <v>87</v>
      </c>
    </row>
    <row r="1657" spans="1:8">
      <c r="A1657" s="1" t="s">
        <v>1238</v>
      </c>
      <c r="B1657" s="1" t="s">
        <v>26</v>
      </c>
      <c r="C1657" s="1" t="s">
        <v>3033</v>
      </c>
      <c r="D1657" s="1" t="s">
        <v>19</v>
      </c>
      <c r="E1657" s="12">
        <f>F1657/24</f>
        <v>2.3125000000000003E-2</v>
      </c>
      <c r="F1657" s="12">
        <f>Systems!D100</f>
        <v>0.55500000000000005</v>
      </c>
      <c r="G1657" s="1" t="s">
        <v>14</v>
      </c>
      <c r="H1657" s="1" t="s">
        <v>87</v>
      </c>
    </row>
    <row r="1658" spans="1:8">
      <c r="A1658" s="1" t="s">
        <v>200</v>
      </c>
      <c r="B1658" s="1" t="s">
        <v>26</v>
      </c>
      <c r="C1658" s="1" t="s">
        <v>3033</v>
      </c>
      <c r="D1658" s="1" t="s">
        <v>19</v>
      </c>
      <c r="E1658" s="12">
        <f>F1658/2</f>
        <v>0.32</v>
      </c>
      <c r="F1658" s="12">
        <f>Systems!D101</f>
        <v>0.64</v>
      </c>
      <c r="G1658" s="1" t="s">
        <v>14</v>
      </c>
      <c r="H1658" s="1" t="s">
        <v>87</v>
      </c>
    </row>
    <row r="1659" spans="1:8">
      <c r="A1659" s="1" t="s">
        <v>1722</v>
      </c>
      <c r="B1659" s="1" t="s">
        <v>26</v>
      </c>
      <c r="C1659" s="1" t="s">
        <v>3033</v>
      </c>
      <c r="D1659" s="1" t="s">
        <v>19</v>
      </c>
      <c r="E1659" s="12">
        <f>F1659/3</f>
        <v>0.18500000000000003</v>
      </c>
      <c r="F1659" s="12">
        <f>Systems!D100</f>
        <v>0.55500000000000005</v>
      </c>
      <c r="G1659" s="1" t="s">
        <v>14</v>
      </c>
      <c r="H1659" s="1" t="s">
        <v>87</v>
      </c>
    </row>
    <row r="1660" spans="1:8">
      <c r="A1660" s="1" t="s">
        <v>293</v>
      </c>
      <c r="B1660" s="1" t="s">
        <v>26</v>
      </c>
      <c r="C1660" s="1" t="s">
        <v>3033</v>
      </c>
      <c r="D1660" s="1" t="s">
        <v>19</v>
      </c>
      <c r="E1660" s="12">
        <f>2000*F1660</f>
        <v>1110</v>
      </c>
      <c r="F1660" s="12">
        <f>Systems!D100</f>
        <v>0.55500000000000005</v>
      </c>
      <c r="G1660" s="1" t="s">
        <v>14</v>
      </c>
      <c r="H1660" s="1" t="s">
        <v>87</v>
      </c>
    </row>
    <row r="1661" spans="1:8">
      <c r="A1661" s="1" t="s">
        <v>1334</v>
      </c>
      <c r="B1661" s="1" t="s">
        <v>26</v>
      </c>
      <c r="C1661" s="1" t="s">
        <v>3033</v>
      </c>
      <c r="D1661" s="1" t="s">
        <v>19</v>
      </c>
      <c r="E1661" s="12">
        <f>F1661/6</f>
        <v>9.2500000000000013E-2</v>
      </c>
      <c r="F1661" s="12">
        <f>Systems!D100</f>
        <v>0.55500000000000005</v>
      </c>
      <c r="G1661" s="1" t="s">
        <v>14</v>
      </c>
      <c r="H1661" s="1" t="s">
        <v>87</v>
      </c>
    </row>
    <row r="1662" spans="1:8">
      <c r="A1662" s="1" t="s">
        <v>2226</v>
      </c>
      <c r="B1662" s="1" t="s">
        <v>26</v>
      </c>
      <c r="C1662" s="1" t="s">
        <v>3033</v>
      </c>
      <c r="D1662" s="1" t="s">
        <v>19</v>
      </c>
      <c r="E1662" s="12">
        <f>8000*F1662</f>
        <v>4440</v>
      </c>
      <c r="F1662" s="12">
        <f>Systems!D100</f>
        <v>0.55500000000000005</v>
      </c>
      <c r="G1662" s="1" t="s">
        <v>14</v>
      </c>
      <c r="H1662" s="1" t="s">
        <v>87</v>
      </c>
    </row>
    <row r="1663" spans="1:8">
      <c r="A1663" s="1" t="s">
        <v>2251</v>
      </c>
      <c r="B1663" s="1" t="s">
        <v>26</v>
      </c>
      <c r="C1663" s="1" t="s">
        <v>3033</v>
      </c>
      <c r="D1663" s="1" t="s">
        <v>19</v>
      </c>
      <c r="E1663" s="12">
        <f>F1663</f>
        <v>0.55500000000000005</v>
      </c>
      <c r="F1663" s="12">
        <f>Systems!D100</f>
        <v>0.55500000000000005</v>
      </c>
      <c r="G1663" s="1" t="s">
        <v>14</v>
      </c>
      <c r="H1663" s="1" t="s">
        <v>87</v>
      </c>
    </row>
    <row r="1664" spans="1:8">
      <c r="A1664" s="1" t="s">
        <v>2384</v>
      </c>
      <c r="B1664" s="1" t="s">
        <v>26</v>
      </c>
      <c r="C1664" s="1" t="s">
        <v>3033</v>
      </c>
      <c r="D1664" s="1" t="s">
        <v>19</v>
      </c>
      <c r="E1664" s="12">
        <f>1600*F1664/6</f>
        <v>148.00000000000003</v>
      </c>
      <c r="F1664" s="12">
        <f>Systems!D100</f>
        <v>0.55500000000000005</v>
      </c>
      <c r="G1664" s="1" t="s">
        <v>14</v>
      </c>
      <c r="H1664" s="1" t="s">
        <v>87</v>
      </c>
    </row>
    <row r="1665" spans="1:8">
      <c r="A1665" s="1" t="s">
        <v>2629</v>
      </c>
      <c r="B1665" s="1" t="s">
        <v>26</v>
      </c>
      <c r="C1665" s="1" t="s">
        <v>3033</v>
      </c>
      <c r="D1665" s="1" t="s">
        <v>19</v>
      </c>
      <c r="E1665" s="12">
        <f>F1665/6</f>
        <v>9.2500000000000013E-2</v>
      </c>
      <c r="F1665" s="12">
        <f>Systems!D100</f>
        <v>0.55500000000000005</v>
      </c>
      <c r="G1665" s="1" t="s">
        <v>14</v>
      </c>
      <c r="H1665" s="1" t="s">
        <v>87</v>
      </c>
    </row>
    <row r="1666" spans="1:8">
      <c r="A1666" s="1" t="s">
        <v>2820</v>
      </c>
      <c r="B1666" s="1" t="s">
        <v>26</v>
      </c>
      <c r="C1666" s="1" t="s">
        <v>3033</v>
      </c>
      <c r="D1666" s="1" t="s">
        <v>19</v>
      </c>
      <c r="E1666" s="12">
        <f>F1666/2</f>
        <v>0.27750000000000002</v>
      </c>
      <c r="F1666" s="12">
        <f>Systems!D100</f>
        <v>0.55500000000000005</v>
      </c>
      <c r="G1666" s="1" t="s">
        <v>14</v>
      </c>
      <c r="H1666" s="1" t="s">
        <v>87</v>
      </c>
    </row>
    <row r="1667" spans="1:8">
      <c r="A1667" s="1" t="s">
        <v>800</v>
      </c>
      <c r="B1667" s="1" t="s">
        <v>26</v>
      </c>
      <c r="C1667" s="1" t="s">
        <v>3033</v>
      </c>
      <c r="D1667" s="1" t="s">
        <v>19</v>
      </c>
      <c r="E1667" s="12">
        <f>F1667/2</f>
        <v>0.27750000000000002</v>
      </c>
      <c r="F1667" s="12">
        <f>Systems!D100</f>
        <v>0.55500000000000005</v>
      </c>
      <c r="G1667" s="1" t="s">
        <v>14</v>
      </c>
      <c r="H1667" s="1" t="s">
        <v>87</v>
      </c>
    </row>
    <row r="1668" spans="1:8" ht="16.5">
      <c r="A1668" s="1" t="s">
        <v>1164</v>
      </c>
      <c r="B1668" s="1" t="s">
        <v>26</v>
      </c>
      <c r="C1668" s="1" t="s">
        <v>3034</v>
      </c>
      <c r="D1668" s="1" t="s">
        <v>38</v>
      </c>
      <c r="E1668" s="12">
        <f>F1668/9</f>
        <v>3.4906585039886593E-5</v>
      </c>
      <c r="F1668" s="12">
        <f>Systems!H100</f>
        <v>3.1415926535897931E-4</v>
      </c>
      <c r="G1668" s="1" t="s">
        <v>39</v>
      </c>
      <c r="H1668" s="1" t="s">
        <v>87</v>
      </c>
    </row>
    <row r="1669" spans="1:8" ht="16.5">
      <c r="A1669" s="1" t="s">
        <v>4787</v>
      </c>
      <c r="B1669" s="1" t="s">
        <v>26</v>
      </c>
      <c r="C1669" s="1" t="s">
        <v>3034</v>
      </c>
      <c r="D1669" s="1" t="s">
        <v>38</v>
      </c>
      <c r="E1669" s="12">
        <f>F1669</f>
        <v>0.30802500000000005</v>
      </c>
      <c r="F1669" s="12">
        <f>POWER(Systems!D100,2)</f>
        <v>0.30802500000000005</v>
      </c>
      <c r="G1669" s="1" t="s">
        <v>39</v>
      </c>
      <c r="H1669" s="1" t="s">
        <v>87</v>
      </c>
    </row>
    <row r="1670" spans="1:8" ht="16.5">
      <c r="A1670" s="1" t="s">
        <v>4788</v>
      </c>
      <c r="B1670" s="1" t="s">
        <v>26</v>
      </c>
      <c r="C1670" s="1" t="s">
        <v>3034</v>
      </c>
      <c r="D1670" s="1" t="s">
        <v>38</v>
      </c>
      <c r="E1670" s="12">
        <f>74670*F1670</f>
        <v>23000.226750000005</v>
      </c>
      <c r="F1670" s="12">
        <f>POWER(Systems!D100,2)</f>
        <v>0.30802500000000005</v>
      </c>
      <c r="G1670" s="1" t="s">
        <v>39</v>
      </c>
      <c r="H1670" s="1" t="s">
        <v>87</v>
      </c>
    </row>
    <row r="1671" spans="1:8" ht="16.5">
      <c r="A1671" s="1" t="s">
        <v>4789</v>
      </c>
      <c r="B1671" s="1" t="s">
        <v>26</v>
      </c>
      <c r="C1671" s="1" t="s">
        <v>3034</v>
      </c>
      <c r="D1671" s="1" t="s">
        <v>38</v>
      </c>
      <c r="E1671" s="12">
        <f>110.25*F1671</f>
        <v>33.959756250000005</v>
      </c>
      <c r="F1671" s="12">
        <f>POWER(Systems!D100,2)</f>
        <v>0.30802500000000005</v>
      </c>
      <c r="G1671" s="1" t="s">
        <v>39</v>
      </c>
      <c r="H1671" s="1" t="s">
        <v>87</v>
      </c>
    </row>
    <row r="1672" spans="1:8" ht="16.5">
      <c r="A1672" s="1" t="s">
        <v>4790</v>
      </c>
      <c r="B1672" s="1" t="s">
        <v>26</v>
      </c>
      <c r="C1672" s="1" t="s">
        <v>3034</v>
      </c>
      <c r="D1672" s="1" t="s">
        <v>38</v>
      </c>
      <c r="E1672" s="12">
        <f>2280*F1672</f>
        <v>702.29700000000014</v>
      </c>
      <c r="F1672" s="12">
        <f>POWER(Systems!D100,2)</f>
        <v>0.30802500000000005</v>
      </c>
      <c r="G1672" s="1" t="s">
        <v>39</v>
      </c>
      <c r="H1672" s="1" t="s">
        <v>87</v>
      </c>
    </row>
    <row r="1673" spans="1:8" ht="16.5">
      <c r="A1673" s="1" t="s">
        <v>1029</v>
      </c>
      <c r="B1673" s="1" t="s">
        <v>26</v>
      </c>
      <c r="C1673" s="1" t="s">
        <v>3034</v>
      </c>
      <c r="D1673" s="1" t="s">
        <v>38</v>
      </c>
      <c r="E1673" s="12">
        <f>F1673</f>
        <v>3.1415926535897931E-4</v>
      </c>
      <c r="F1673" s="12">
        <f>Systems!H100</f>
        <v>3.1415926535897931E-4</v>
      </c>
      <c r="G1673" s="1" t="s">
        <v>39</v>
      </c>
      <c r="H1673" s="1" t="s">
        <v>87</v>
      </c>
    </row>
    <row r="1674" spans="1:8" ht="16.5">
      <c r="A1674" s="1" t="s">
        <v>2462</v>
      </c>
      <c r="B1674" s="1" t="s">
        <v>26</v>
      </c>
      <c r="C1674" s="1" t="s">
        <v>3034</v>
      </c>
      <c r="D1674" s="1" t="s">
        <v>38</v>
      </c>
      <c r="E1674" s="12">
        <f>F1674/36</f>
        <v>8.7266462599716482E-6</v>
      </c>
      <c r="F1674" s="12">
        <f>Systems!H100</f>
        <v>3.1415926535897931E-4</v>
      </c>
      <c r="G1674" s="1" t="s">
        <v>39</v>
      </c>
      <c r="H1674" s="1" t="s">
        <v>87</v>
      </c>
    </row>
    <row r="1675" spans="1:8" ht="16.5">
      <c r="A1675" s="1" t="s">
        <v>1282</v>
      </c>
      <c r="B1675" s="1" t="s">
        <v>26</v>
      </c>
      <c r="C1675" s="1" t="s">
        <v>2936</v>
      </c>
      <c r="D1675" s="1" t="s">
        <v>32</v>
      </c>
      <c r="E1675" s="12">
        <f>Factors!F458/432</f>
        <v>1.2963194444444446E-3</v>
      </c>
      <c r="F1675" s="12">
        <f>Systems!T101</f>
        <v>2.1420000000000002E-2</v>
      </c>
      <c r="G1675" s="1" t="s">
        <v>33</v>
      </c>
      <c r="H1675" s="1" t="s">
        <v>87</v>
      </c>
    </row>
    <row r="1676" spans="1:8" ht="16.5">
      <c r="A1676" s="1" t="s">
        <v>1328</v>
      </c>
      <c r="B1676" s="1" t="s">
        <v>26</v>
      </c>
      <c r="C1676" s="1" t="s">
        <v>2936</v>
      </c>
      <c r="D1676" s="1" t="s">
        <v>32</v>
      </c>
      <c r="E1676" s="12">
        <f>F1676/18</f>
        <v>1.1900000000000001E-3</v>
      </c>
      <c r="F1676" s="12">
        <f>Systems!T101</f>
        <v>2.1420000000000002E-2</v>
      </c>
      <c r="G1676" s="1" t="s">
        <v>33</v>
      </c>
      <c r="H1676" s="1" t="s">
        <v>87</v>
      </c>
    </row>
    <row r="1677" spans="1:8" ht="16.5">
      <c r="A1677" s="1" t="s">
        <v>1433</v>
      </c>
      <c r="B1677" s="1" t="s">
        <v>26</v>
      </c>
      <c r="C1677" s="1" t="s">
        <v>2936</v>
      </c>
      <c r="D1677" s="1" t="s">
        <v>32</v>
      </c>
      <c r="E1677" s="12">
        <f>10*F1677</f>
        <v>0.2142</v>
      </c>
      <c r="F1677" s="12">
        <f>Systems!T101</f>
        <v>2.1420000000000002E-2</v>
      </c>
      <c r="G1677" s="1" t="s">
        <v>33</v>
      </c>
      <c r="H1677" s="1" t="s">
        <v>87</v>
      </c>
    </row>
    <row r="1678" spans="1:8" ht="16.5">
      <c r="A1678" s="1" t="s">
        <v>4791</v>
      </c>
      <c r="B1678" s="1" t="s">
        <v>26</v>
      </c>
      <c r="C1678" s="1" t="s">
        <v>2936</v>
      </c>
      <c r="D1678" s="1" t="s">
        <v>32</v>
      </c>
      <c r="E1678" s="12">
        <f>F1678</f>
        <v>2.1420000000000002E-2</v>
      </c>
      <c r="F1678" s="12">
        <f>Systems!T101</f>
        <v>2.1420000000000002E-2</v>
      </c>
      <c r="G1678" s="1" t="s">
        <v>33</v>
      </c>
      <c r="H1678" s="1" t="s">
        <v>87</v>
      </c>
    </row>
    <row r="1679" spans="1:8" ht="16.5">
      <c r="A1679" s="1" t="s">
        <v>4792</v>
      </c>
      <c r="B1679" s="1" t="s">
        <v>26</v>
      </c>
      <c r="C1679" s="1" t="s">
        <v>2936</v>
      </c>
      <c r="D1679" s="1" t="s">
        <v>32</v>
      </c>
      <c r="E1679" s="12">
        <f>F1679</f>
        <v>2.9375999999999999E-2</v>
      </c>
      <c r="F1679" s="12">
        <f>Systems!T100</f>
        <v>2.9375999999999999E-2</v>
      </c>
      <c r="G1679" s="1" t="s">
        <v>33</v>
      </c>
      <c r="H1679" s="1" t="s">
        <v>87</v>
      </c>
    </row>
    <row r="1680" spans="1:8" ht="16.5">
      <c r="A1680" s="1" t="s">
        <v>1687</v>
      </c>
      <c r="B1680" s="1" t="s">
        <v>26</v>
      </c>
      <c r="C1680" s="1" t="s">
        <v>2936</v>
      </c>
      <c r="D1680" s="1" t="s">
        <v>32</v>
      </c>
      <c r="E1680" s="12">
        <f>F1680/10</f>
        <v>2.1420000000000002E-3</v>
      </c>
      <c r="F1680" s="12">
        <f>Systems!T101</f>
        <v>2.1420000000000002E-2</v>
      </c>
      <c r="G1680" s="1" t="s">
        <v>33</v>
      </c>
      <c r="H1680" s="1" t="s">
        <v>87</v>
      </c>
    </row>
    <row r="1681" spans="1:8" ht="16.5">
      <c r="A1681" s="1" t="s">
        <v>1752</v>
      </c>
      <c r="B1681" s="1" t="s">
        <v>26</v>
      </c>
      <c r="C1681" s="1" t="s">
        <v>2936</v>
      </c>
      <c r="D1681" s="1" t="s">
        <v>32</v>
      </c>
      <c r="E1681" s="12">
        <f>10*Factors!F2043</f>
        <v>132</v>
      </c>
      <c r="F1681" s="12">
        <f>Systems!T101</f>
        <v>2.1420000000000002E-2</v>
      </c>
      <c r="G1681" s="1" t="s">
        <v>33</v>
      </c>
      <c r="H1681" s="1" t="s">
        <v>87</v>
      </c>
    </row>
    <row r="1682" spans="1:8" ht="16.5">
      <c r="A1682" s="1" t="s">
        <v>1786</v>
      </c>
      <c r="B1682" s="1" t="s">
        <v>26</v>
      </c>
      <c r="C1682" s="1" t="s">
        <v>2936</v>
      </c>
      <c r="D1682" s="1" t="s">
        <v>32</v>
      </c>
      <c r="E1682" s="12">
        <f>F1682/18</f>
        <v>1.1900000000000001E-3</v>
      </c>
      <c r="F1682" s="12">
        <f>Systems!T101</f>
        <v>2.1420000000000002E-2</v>
      </c>
      <c r="G1682" s="1" t="s">
        <v>33</v>
      </c>
      <c r="H1682" s="1" t="s">
        <v>87</v>
      </c>
    </row>
    <row r="1683" spans="1:8" ht="16.5">
      <c r="A1683" s="1" t="s">
        <v>1830</v>
      </c>
      <c r="B1683" s="1" t="s">
        <v>26</v>
      </c>
      <c r="C1683" s="1" t="s">
        <v>2936</v>
      </c>
      <c r="D1683" s="1" t="s">
        <v>32</v>
      </c>
      <c r="E1683" s="12">
        <f>Time!F27/864</f>
        <v>1.0879209667028801E-26</v>
      </c>
      <c r="F1683" s="12">
        <f>Systems!T101</f>
        <v>2.1420000000000002E-2</v>
      </c>
      <c r="G1683" s="1" t="s">
        <v>33</v>
      </c>
      <c r="H1683" s="1" t="s">
        <v>87</v>
      </c>
    </row>
    <row r="1684" spans="1:8" ht="16.5">
      <c r="A1684" s="1" t="s">
        <v>1873</v>
      </c>
      <c r="B1684" s="1" t="s">
        <v>26</v>
      </c>
      <c r="C1684" s="1" t="s">
        <v>2936</v>
      </c>
      <c r="D1684" s="1" t="s">
        <v>32</v>
      </c>
      <c r="E1684" s="12">
        <f>10*F1684</f>
        <v>0.2142</v>
      </c>
      <c r="F1684" s="12">
        <f>Systems!T101</f>
        <v>2.1420000000000002E-2</v>
      </c>
      <c r="G1684" s="1" t="s">
        <v>33</v>
      </c>
      <c r="H1684" s="1" t="s">
        <v>87</v>
      </c>
    </row>
    <row r="1685" spans="1:8" ht="16.5">
      <c r="A1685" s="1" t="s">
        <v>1950</v>
      </c>
      <c r="B1685" s="1" t="s">
        <v>26</v>
      </c>
      <c r="C1685" s="1" t="s">
        <v>2936</v>
      </c>
      <c r="D1685" s="1" t="s">
        <v>32</v>
      </c>
      <c r="E1685" s="12">
        <f>5*Factors!F2510</f>
        <v>9.4589999999999987E-3</v>
      </c>
      <c r="F1685" s="12">
        <f>Systems!T101</f>
        <v>2.1420000000000002E-2</v>
      </c>
      <c r="G1685" s="1" t="s">
        <v>33</v>
      </c>
      <c r="H1685" s="1" t="s">
        <v>87</v>
      </c>
    </row>
    <row r="1686" spans="1:8" ht="16.5">
      <c r="A1686" s="1" t="s">
        <v>1982</v>
      </c>
      <c r="B1686" s="1" t="s">
        <v>26</v>
      </c>
      <c r="C1686" s="1" t="s">
        <v>2936</v>
      </c>
      <c r="D1686" s="1" t="s">
        <v>32</v>
      </c>
      <c r="E1686" s="12">
        <f>F1686/72</f>
        <v>2.9750000000000002E-4</v>
      </c>
      <c r="F1686" s="12">
        <f>Systems!T101</f>
        <v>2.1420000000000002E-2</v>
      </c>
      <c r="G1686" s="1" t="s">
        <v>33</v>
      </c>
      <c r="H1686" s="1" t="s">
        <v>87</v>
      </c>
    </row>
    <row r="1687" spans="1:8" ht="16.5">
      <c r="A1687" s="1" t="s">
        <v>807</v>
      </c>
      <c r="B1687" s="1" t="s">
        <v>26</v>
      </c>
      <c r="C1687" s="1" t="s">
        <v>2936</v>
      </c>
      <c r="D1687" s="1" t="s">
        <v>32</v>
      </c>
      <c r="E1687" s="12">
        <f>3*F1687/10</f>
        <v>6.4260000000000012E-3</v>
      </c>
      <c r="F1687" s="12">
        <f>Systems!T101</f>
        <v>2.1420000000000002E-2</v>
      </c>
      <c r="G1687" s="1" t="s">
        <v>33</v>
      </c>
      <c r="H1687" s="1" t="s">
        <v>87</v>
      </c>
    </row>
    <row r="1688" spans="1:8" ht="16.5">
      <c r="A1688" s="1" t="s">
        <v>2168</v>
      </c>
      <c r="B1688" s="8" t="s">
        <v>26</v>
      </c>
      <c r="C1688" s="1" t="s">
        <v>2936</v>
      </c>
      <c r="D1688" s="1" t="s">
        <v>32</v>
      </c>
      <c r="E1688" s="12">
        <f>Pressure!F68/10</f>
        <v>9806.6499999999978</v>
      </c>
      <c r="F1688" s="12">
        <f>Systems!T101</f>
        <v>2.1420000000000002E-2</v>
      </c>
      <c r="G1688" s="1" t="s">
        <v>33</v>
      </c>
      <c r="H1688" s="1" t="s">
        <v>87</v>
      </c>
    </row>
    <row r="1689" spans="1:8" ht="16.5">
      <c r="A1689" s="1" t="s">
        <v>2436</v>
      </c>
      <c r="B1689" s="1" t="s">
        <v>26</v>
      </c>
      <c r="C1689" s="1" t="s">
        <v>2936</v>
      </c>
      <c r="D1689" s="1" t="s">
        <v>32</v>
      </c>
      <c r="E1689" s="12">
        <f>3*F1689/10</f>
        <v>6.4260000000000012E-3</v>
      </c>
      <c r="F1689" s="12">
        <f>Systems!T101</f>
        <v>2.1420000000000002E-2</v>
      </c>
      <c r="G1689" s="1" t="s">
        <v>33</v>
      </c>
      <c r="H1689" s="1" t="s">
        <v>87</v>
      </c>
    </row>
    <row r="1690" spans="1:8" ht="16.5">
      <c r="A1690" s="1" t="s">
        <v>2460</v>
      </c>
      <c r="B1690" s="1" t="s">
        <v>26</v>
      </c>
      <c r="C1690" s="1" t="s">
        <v>2936</v>
      </c>
      <c r="D1690" s="1" t="s">
        <v>32</v>
      </c>
      <c r="E1690" s="12">
        <f>Factors!F4203/3</f>
        <v>0.27870912000000009</v>
      </c>
      <c r="F1690" s="12">
        <f>Systems!T101</f>
        <v>2.1420000000000002E-2</v>
      </c>
      <c r="G1690" s="1" t="s">
        <v>33</v>
      </c>
      <c r="H1690" s="1" t="s">
        <v>87</v>
      </c>
    </row>
    <row r="1691" spans="1:8" ht="16.5">
      <c r="A1691" s="1" t="s">
        <v>4793</v>
      </c>
      <c r="B1691" s="1" t="s">
        <v>26</v>
      </c>
      <c r="C1691" s="1" t="s">
        <v>2935</v>
      </c>
      <c r="D1691" s="1" t="s">
        <v>32</v>
      </c>
      <c r="E1691" s="12">
        <f>F1691</f>
        <v>2.1420000000000002E-2</v>
      </c>
      <c r="F1691" s="12">
        <f>Systems!P101</f>
        <v>2.1420000000000002E-2</v>
      </c>
      <c r="G1691" s="1" t="s">
        <v>33</v>
      </c>
      <c r="H1691" s="1" t="s">
        <v>87</v>
      </c>
    </row>
    <row r="1692" spans="1:8" ht="16.5">
      <c r="A1692" s="1" t="s">
        <v>4794</v>
      </c>
      <c r="B1692" s="1" t="s">
        <v>26</v>
      </c>
      <c r="C1692" s="1" t="s">
        <v>2935</v>
      </c>
      <c r="D1692" s="1" t="s">
        <v>32</v>
      </c>
      <c r="E1692" s="12">
        <f>F1692</f>
        <v>2.9375999999999999E-2</v>
      </c>
      <c r="F1692" s="12">
        <f>Systems!P100</f>
        <v>2.9375999999999999E-2</v>
      </c>
      <c r="G1692" s="1" t="s">
        <v>33</v>
      </c>
      <c r="H1692" s="1" t="s">
        <v>87</v>
      </c>
    </row>
    <row r="1693" spans="1:8" ht="16.5">
      <c r="A1693" s="1" t="s">
        <v>1744</v>
      </c>
      <c r="B1693" s="1" t="s">
        <v>26</v>
      </c>
      <c r="C1693" s="1" t="s">
        <v>2935</v>
      </c>
      <c r="D1693" s="1" t="s">
        <v>32</v>
      </c>
      <c r="E1693" s="12">
        <f>F1693/6</f>
        <v>3.5700000000000003E-3</v>
      </c>
      <c r="F1693" s="12">
        <f>Systems!P101</f>
        <v>2.1420000000000002E-2</v>
      </c>
      <c r="G1693" s="1" t="s">
        <v>33</v>
      </c>
      <c r="H1693" s="1" t="s">
        <v>87</v>
      </c>
    </row>
    <row r="1694" spans="1:8">
      <c r="A1694" s="1" t="s">
        <v>1283</v>
      </c>
      <c r="B1694" s="1" t="s">
        <v>26</v>
      </c>
      <c r="C1694" s="1" t="s">
        <v>17</v>
      </c>
      <c r="D1694" s="1" t="s">
        <v>20</v>
      </c>
      <c r="E1694" s="12">
        <f>F1694/120</f>
        <v>7.083333333333333E-3</v>
      </c>
      <c r="F1694" s="12">
        <f>Systems!L100</f>
        <v>0.85</v>
      </c>
      <c r="G1694" s="1" t="s">
        <v>23</v>
      </c>
      <c r="H1694" s="1" t="s">
        <v>87</v>
      </c>
    </row>
    <row r="1695" spans="1:8">
      <c r="A1695" s="1" t="s">
        <v>1667</v>
      </c>
      <c r="B1695" s="1" t="s">
        <v>26</v>
      </c>
      <c r="C1695" s="1" t="s">
        <v>17</v>
      </c>
      <c r="D1695" s="1" t="s">
        <v>20</v>
      </c>
      <c r="E1695" s="12">
        <f>F1695/1200</f>
        <v>7.0833333333333328E-4</v>
      </c>
      <c r="F1695" s="12">
        <f>Systems!L100</f>
        <v>0.85</v>
      </c>
      <c r="G1695" s="1" t="s">
        <v>23</v>
      </c>
      <c r="H1695" s="1" t="s">
        <v>87</v>
      </c>
    </row>
    <row r="1696" spans="1:8">
      <c r="A1696" s="1" t="s">
        <v>1839</v>
      </c>
      <c r="B1696" s="1" t="s">
        <v>26</v>
      </c>
      <c r="C1696" s="1" t="s">
        <v>17</v>
      </c>
      <c r="D1696" s="1" t="s">
        <v>20</v>
      </c>
      <c r="E1696" s="12">
        <f>3600*F1696/25</f>
        <v>51.004800000000003</v>
      </c>
      <c r="F1696" s="12">
        <f>Systems!L101</f>
        <v>0.35420000000000001</v>
      </c>
      <c r="G1696" s="1" t="s">
        <v>23</v>
      </c>
      <c r="H1696" s="1" t="s">
        <v>87</v>
      </c>
    </row>
    <row r="1697" spans="1:8">
      <c r="A1697" s="1" t="s">
        <v>4795</v>
      </c>
      <c r="B1697" s="1" t="s">
        <v>26</v>
      </c>
      <c r="C1697" s="1" t="s">
        <v>17</v>
      </c>
      <c r="D1697" s="1" t="s">
        <v>20</v>
      </c>
      <c r="E1697" s="12">
        <f>60*F1697</f>
        <v>51</v>
      </c>
      <c r="F1697" s="12">
        <f>Systems!L100</f>
        <v>0.85</v>
      </c>
      <c r="G1697" s="1" t="s">
        <v>23</v>
      </c>
      <c r="H1697" s="1" t="s">
        <v>87</v>
      </c>
    </row>
    <row r="1698" spans="1:8">
      <c r="A1698" s="1" t="s">
        <v>1014</v>
      </c>
      <c r="B1698" s="1" t="s">
        <v>26</v>
      </c>
      <c r="C1698" s="1" t="s">
        <v>17</v>
      </c>
      <c r="D1698" s="1" t="s">
        <v>20</v>
      </c>
      <c r="E1698" s="12">
        <f>60*F1698/25</f>
        <v>0.85008000000000006</v>
      </c>
      <c r="F1698" s="12">
        <f>Systems!L101</f>
        <v>0.35420000000000001</v>
      </c>
      <c r="G1698" s="1" t="s">
        <v>23</v>
      </c>
      <c r="H1698" s="1" t="s">
        <v>87</v>
      </c>
    </row>
    <row r="1699" spans="1:8">
      <c r="A1699" s="1" t="s">
        <v>4796</v>
      </c>
      <c r="B1699" s="1" t="s">
        <v>26</v>
      </c>
      <c r="C1699" s="1" t="s">
        <v>17</v>
      </c>
      <c r="D1699" s="1" t="s">
        <v>20</v>
      </c>
      <c r="E1699" s="12">
        <f>F1699</f>
        <v>0.85</v>
      </c>
      <c r="F1699" s="12">
        <f>Systems!L100</f>
        <v>0.85</v>
      </c>
      <c r="G1699" s="1" t="s">
        <v>23</v>
      </c>
      <c r="H1699" s="1" t="s">
        <v>87</v>
      </c>
    </row>
    <row r="1700" spans="1:8">
      <c r="A1700" s="1" t="s">
        <v>2043</v>
      </c>
      <c r="B1700" s="1" t="s">
        <v>26</v>
      </c>
      <c r="C1700" s="1" t="s">
        <v>17</v>
      </c>
      <c r="D1700" s="1" t="s">
        <v>20</v>
      </c>
      <c r="E1700" s="12">
        <f>F1700/600</f>
        <v>5.9033333333333333E-4</v>
      </c>
      <c r="F1700" s="12">
        <f>Systems!L101</f>
        <v>0.35420000000000001</v>
      </c>
      <c r="G1700" s="1" t="s">
        <v>23</v>
      </c>
      <c r="H1700" s="1" t="s">
        <v>87</v>
      </c>
    </row>
    <row r="1701" spans="1:8">
      <c r="A1701" s="1" t="s">
        <v>2082</v>
      </c>
      <c r="B1701" s="1" t="s">
        <v>26</v>
      </c>
      <c r="C1701" s="1" t="s">
        <v>17</v>
      </c>
      <c r="D1701" s="1" t="s">
        <v>20</v>
      </c>
      <c r="E1701" s="12">
        <f>F1701</f>
        <v>0.35420000000000001</v>
      </c>
      <c r="F1701" s="12">
        <f>Systems!L101</f>
        <v>0.35420000000000001</v>
      </c>
      <c r="G1701" s="1" t="s">
        <v>23</v>
      </c>
      <c r="H1701" s="1" t="s">
        <v>87</v>
      </c>
    </row>
    <row r="1702" spans="1:8">
      <c r="A1702" s="1" t="s">
        <v>4797</v>
      </c>
      <c r="B1702" s="1" t="s">
        <v>26</v>
      </c>
      <c r="C1702" s="1" t="s">
        <v>17</v>
      </c>
      <c r="D1702" s="1" t="s">
        <v>20</v>
      </c>
      <c r="E1702" s="12">
        <f>F1702</f>
        <v>0.85</v>
      </c>
      <c r="F1702" s="12">
        <f>Systems!L100</f>
        <v>0.85</v>
      </c>
      <c r="G1702" s="1" t="s">
        <v>23</v>
      </c>
      <c r="H1702" s="1" t="s">
        <v>87</v>
      </c>
    </row>
    <row r="1703" spans="1:8">
      <c r="A1703" s="1" t="s">
        <v>1666</v>
      </c>
      <c r="B1703" s="1" t="s">
        <v>26</v>
      </c>
      <c r="C1703" s="1" t="s">
        <v>17</v>
      </c>
      <c r="D1703" s="1" t="s">
        <v>20</v>
      </c>
      <c r="E1703" s="12">
        <f>F1703/600</f>
        <v>5.9033333333333333E-4</v>
      </c>
      <c r="F1703" s="12">
        <f>Systems!L101</f>
        <v>0.35420000000000001</v>
      </c>
      <c r="G1703" s="1" t="s">
        <v>23</v>
      </c>
      <c r="H1703" s="1" t="s">
        <v>87</v>
      </c>
    </row>
    <row r="1704" spans="1:8">
      <c r="A1704" s="1" t="s">
        <v>2290</v>
      </c>
      <c r="B1704" s="1" t="s">
        <v>26</v>
      </c>
      <c r="C1704" s="1" t="s">
        <v>17</v>
      </c>
      <c r="D1704" s="1" t="s">
        <v>20</v>
      </c>
      <c r="E1704" s="12">
        <f>F1704/1200</f>
        <v>2.9516666666666667E-4</v>
      </c>
      <c r="F1704" s="12">
        <f>Systems!L101</f>
        <v>0.35420000000000001</v>
      </c>
      <c r="G1704" s="1" t="s">
        <v>23</v>
      </c>
      <c r="H1704" s="1" t="s">
        <v>87</v>
      </c>
    </row>
    <row r="1705" spans="1:8">
      <c r="A1705" s="1" t="s">
        <v>4798</v>
      </c>
      <c r="B1705" s="1" t="s">
        <v>26</v>
      </c>
      <c r="C1705" s="1" t="s">
        <v>17</v>
      </c>
      <c r="D1705" s="1" t="s">
        <v>20</v>
      </c>
      <c r="E1705" s="12">
        <f>F1705/240</f>
        <v>3.5416666666666665E-3</v>
      </c>
      <c r="F1705" s="12">
        <f>Systems!L100</f>
        <v>0.85</v>
      </c>
      <c r="G1705" s="1" t="s">
        <v>23</v>
      </c>
      <c r="H1705" s="1" t="s">
        <v>87</v>
      </c>
    </row>
    <row r="1706" spans="1:8">
      <c r="A1706" s="1" t="s">
        <v>2500</v>
      </c>
      <c r="B1706" s="1" t="s">
        <v>26</v>
      </c>
      <c r="C1706" s="1" t="s">
        <v>17</v>
      </c>
      <c r="D1706" s="1" t="s">
        <v>20</v>
      </c>
      <c r="E1706" s="12">
        <f>F1706/25</f>
        <v>1.4168E-2</v>
      </c>
      <c r="F1706" s="12">
        <f>Systems!L101</f>
        <v>0.35420000000000001</v>
      </c>
      <c r="G1706" s="1" t="s">
        <v>23</v>
      </c>
      <c r="H1706" s="1" t="s">
        <v>87</v>
      </c>
    </row>
    <row r="1707" spans="1:8">
      <c r="A1707" s="1" t="s">
        <v>4799</v>
      </c>
      <c r="B1707" s="1" t="s">
        <v>26</v>
      </c>
      <c r="C1707" s="1" t="s">
        <v>17</v>
      </c>
      <c r="D1707" s="1" t="s">
        <v>20</v>
      </c>
      <c r="E1707" s="12">
        <f>F1707/60</f>
        <v>1.4166666666666666E-2</v>
      </c>
      <c r="F1707" s="12">
        <f>Systems!L100</f>
        <v>0.85</v>
      </c>
      <c r="G1707" s="1" t="s">
        <v>23</v>
      </c>
      <c r="H1707" s="1" t="s">
        <v>87</v>
      </c>
    </row>
    <row r="1708" spans="1:8">
      <c r="A1708" s="1" t="s">
        <v>802</v>
      </c>
      <c r="B1708" s="1" t="s">
        <v>26</v>
      </c>
      <c r="C1708" s="1" t="s">
        <v>17</v>
      </c>
      <c r="D1708" s="1" t="s">
        <v>20</v>
      </c>
      <c r="E1708" s="12">
        <f>60*F1708</f>
        <v>21.252000000000002</v>
      </c>
      <c r="F1708" s="12">
        <f>Systems!L101</f>
        <v>0.35420000000000001</v>
      </c>
      <c r="G1708" s="1" t="s">
        <v>23</v>
      </c>
      <c r="H1708" s="1" t="s">
        <v>87</v>
      </c>
    </row>
    <row r="1709" spans="1:8">
      <c r="A1709" s="1" t="s">
        <v>7505</v>
      </c>
      <c r="B1709" s="1" t="s">
        <v>26</v>
      </c>
      <c r="C1709" s="1" t="s">
        <v>17</v>
      </c>
      <c r="D1709" s="1" t="s">
        <v>20</v>
      </c>
      <c r="E1709" s="12">
        <f>50*F1709</f>
        <v>42.5</v>
      </c>
      <c r="F1709" s="12">
        <f>Systems!L100</f>
        <v>0.85</v>
      </c>
      <c r="G1709" s="1" t="s">
        <v>23</v>
      </c>
      <c r="H1709" s="1" t="s">
        <v>87</v>
      </c>
    </row>
    <row r="1710" spans="1:8">
      <c r="A1710" s="1" t="s">
        <v>2828</v>
      </c>
      <c r="B1710" s="1" t="s">
        <v>26</v>
      </c>
      <c r="C1710" s="1" t="s">
        <v>17</v>
      </c>
      <c r="D1710" s="1" t="s">
        <v>20</v>
      </c>
      <c r="E1710" s="12">
        <f>F1710/100</f>
        <v>3.542E-3</v>
      </c>
      <c r="F1710" s="12">
        <f>Systems!L101</f>
        <v>0.35420000000000001</v>
      </c>
      <c r="G1710" s="1" t="s">
        <v>23</v>
      </c>
      <c r="H1710" s="1" t="s">
        <v>87</v>
      </c>
    </row>
    <row r="1711" spans="1:8">
      <c r="A1711" s="248"/>
      <c r="B1711" s="248"/>
      <c r="C1711" s="248"/>
      <c r="D1711" s="248"/>
      <c r="E1711" s="250"/>
      <c r="F1711" s="250"/>
      <c r="G1711" s="248"/>
      <c r="H1711" s="248"/>
    </row>
    <row r="1712" spans="1:8">
      <c r="A1712" s="1" t="s">
        <v>1448</v>
      </c>
      <c r="B1712" s="1" t="s">
        <v>26</v>
      </c>
      <c r="C1712" s="1" t="s">
        <v>3033</v>
      </c>
      <c r="D1712" s="1" t="s">
        <v>19</v>
      </c>
      <c r="E1712" s="12">
        <f>F1712/4</f>
        <v>0.20319999999999999</v>
      </c>
      <c r="F1712" s="12">
        <f>Systems!D102</f>
        <v>0.81279999999999997</v>
      </c>
      <c r="G1712" s="1" t="s">
        <v>14</v>
      </c>
      <c r="H1712" s="1" t="s">
        <v>476</v>
      </c>
    </row>
    <row r="1713" spans="1:8">
      <c r="A1713" s="1" t="s">
        <v>1945</v>
      </c>
      <c r="B1713" s="1" t="s">
        <v>26</v>
      </c>
      <c r="C1713" s="1" t="s">
        <v>3033</v>
      </c>
      <c r="D1713" s="1" t="s">
        <v>19</v>
      </c>
      <c r="E1713" s="12">
        <f>5000*F1713</f>
        <v>4064</v>
      </c>
      <c r="F1713" s="12">
        <f>Systems!D102</f>
        <v>0.81279999999999997</v>
      </c>
      <c r="G1713" s="1" t="s">
        <v>14</v>
      </c>
      <c r="H1713" s="1" t="s">
        <v>476</v>
      </c>
    </row>
    <row r="1714" spans="1:8">
      <c r="A1714" s="1" t="s">
        <v>2037</v>
      </c>
      <c r="B1714" s="1" t="s">
        <v>26</v>
      </c>
      <c r="C1714" s="1" t="s">
        <v>3033</v>
      </c>
      <c r="D1714" s="1" t="s">
        <v>19</v>
      </c>
      <c r="E1714" s="12">
        <f>24*F1714</f>
        <v>19.507199999999997</v>
      </c>
      <c r="F1714" s="12">
        <f>Systems!D102</f>
        <v>0.81279999999999997</v>
      </c>
      <c r="G1714" s="1" t="s">
        <v>14</v>
      </c>
      <c r="H1714" s="1" t="s">
        <v>476</v>
      </c>
    </row>
    <row r="1715" spans="1:8">
      <c r="A1715" s="1" t="s">
        <v>2306</v>
      </c>
      <c r="B1715" s="1" t="s">
        <v>26</v>
      </c>
      <c r="C1715" s="1" t="s">
        <v>3033</v>
      </c>
      <c r="D1715" s="1" t="s">
        <v>19</v>
      </c>
      <c r="E1715" s="12">
        <f>F1715/36</f>
        <v>2.2577777777777776E-2</v>
      </c>
      <c r="F1715" s="12">
        <f>Systems!D102</f>
        <v>0.81279999999999997</v>
      </c>
      <c r="G1715" s="1" t="s">
        <v>14</v>
      </c>
      <c r="H1715" s="1" t="s">
        <v>476</v>
      </c>
    </row>
    <row r="1716" spans="1:8">
      <c r="A1716" s="1" t="s">
        <v>2635</v>
      </c>
      <c r="B1716" s="1" t="s">
        <v>26</v>
      </c>
      <c r="C1716" s="1" t="s">
        <v>3033</v>
      </c>
      <c r="D1716" s="1" t="s">
        <v>19</v>
      </c>
      <c r="E1716" s="12">
        <f>F1716/3</f>
        <v>0.2709333333333333</v>
      </c>
      <c r="F1716" s="12">
        <f>Systems!D102</f>
        <v>0.81279999999999997</v>
      </c>
      <c r="G1716" s="1" t="s">
        <v>14</v>
      </c>
      <c r="H1716" s="1" t="s">
        <v>476</v>
      </c>
    </row>
    <row r="1717" spans="1:8">
      <c r="A1717" s="1" t="s">
        <v>821</v>
      </c>
      <c r="B1717" s="1" t="s">
        <v>26</v>
      </c>
      <c r="C1717" s="1" t="s">
        <v>3033</v>
      </c>
      <c r="D1717" s="1" t="s">
        <v>19</v>
      </c>
      <c r="E1717" s="12">
        <f>F1717</f>
        <v>0.81279999999999997</v>
      </c>
      <c r="F1717" s="12">
        <f>Systems!D102</f>
        <v>0.81279999999999997</v>
      </c>
      <c r="G1717" s="1" t="s">
        <v>14</v>
      </c>
      <c r="H1717" s="1" t="s">
        <v>476</v>
      </c>
    </row>
    <row r="1718" spans="1:8" ht="16.5">
      <c r="A1718" s="1" t="s">
        <v>1332</v>
      </c>
      <c r="B1718" s="1" t="s">
        <v>26</v>
      </c>
      <c r="C1718" s="1" t="s">
        <v>3034</v>
      </c>
      <c r="D1718" s="1" t="s">
        <v>38</v>
      </c>
      <c r="E1718" s="12">
        <f>640000*F1718</f>
        <v>422812.0576</v>
      </c>
      <c r="F1718" s="12">
        <f>POWER(Systems!D102,2)</f>
        <v>0.66064383999999998</v>
      </c>
      <c r="G1718" s="1" t="s">
        <v>39</v>
      </c>
      <c r="H1718" s="1" t="s">
        <v>476</v>
      </c>
    </row>
    <row r="1719" spans="1:8" ht="16.5">
      <c r="A1719" s="1" t="s">
        <v>1919</v>
      </c>
      <c r="B1719" s="1" t="s">
        <v>26</v>
      </c>
      <c r="C1719" s="1" t="s">
        <v>3034</v>
      </c>
      <c r="D1719" s="1" t="s">
        <v>38</v>
      </c>
      <c r="E1719" s="12">
        <f>1000000*F1719</f>
        <v>660643.83999999997</v>
      </c>
      <c r="F1719" s="12">
        <f>POWER(Systems!D102,2)</f>
        <v>0.66064383999999998</v>
      </c>
      <c r="G1719" s="1" t="s">
        <v>39</v>
      </c>
      <c r="H1719" s="1" t="s">
        <v>476</v>
      </c>
    </row>
    <row r="1720" spans="1:8" ht="16.5">
      <c r="A1720" s="1" t="s">
        <v>1945</v>
      </c>
      <c r="B1720" s="1" t="s">
        <v>26</v>
      </c>
      <c r="C1720" s="1" t="s">
        <v>3034</v>
      </c>
      <c r="D1720" s="1" t="s">
        <v>38</v>
      </c>
      <c r="E1720" s="12">
        <f>25000000*F1720</f>
        <v>16516096</v>
      </c>
      <c r="F1720" s="12">
        <f>POWER(Systems!D102,2)</f>
        <v>0.66064383999999998</v>
      </c>
      <c r="G1720" s="1" t="s">
        <v>39</v>
      </c>
      <c r="H1720" s="1" t="s">
        <v>476</v>
      </c>
    </row>
    <row r="1721" spans="1:8" ht="16.5">
      <c r="A1721" s="1" t="s">
        <v>930</v>
      </c>
      <c r="B1721" s="1" t="s">
        <v>26</v>
      </c>
      <c r="C1721" s="1" t="s">
        <v>3034</v>
      </c>
      <c r="D1721" s="1" t="s">
        <v>38</v>
      </c>
      <c r="E1721" s="12">
        <f>F1721</f>
        <v>66064.384000000005</v>
      </c>
      <c r="F1721" s="12">
        <f>Systems!H102</f>
        <v>66064.384000000005</v>
      </c>
      <c r="G1721" s="1" t="s">
        <v>39</v>
      </c>
      <c r="H1721" s="1" t="s">
        <v>476</v>
      </c>
    </row>
    <row r="1722" spans="1:8" ht="16.5">
      <c r="A1722" s="1" t="s">
        <v>4513</v>
      </c>
      <c r="B1722" s="1" t="s">
        <v>26</v>
      </c>
      <c r="C1722" s="1" t="s">
        <v>3034</v>
      </c>
      <c r="D1722" s="1" t="s">
        <v>38</v>
      </c>
      <c r="E1722" s="12">
        <f>F1722</f>
        <v>0.66064383999999998</v>
      </c>
      <c r="F1722" s="12">
        <f>POWER(Systems!D102,2)</f>
        <v>0.66064383999999998</v>
      </c>
      <c r="G1722" s="1" t="s">
        <v>39</v>
      </c>
      <c r="H1722" s="1" t="s">
        <v>476</v>
      </c>
    </row>
    <row r="1723" spans="1:8" ht="16.5">
      <c r="A1723" s="1" t="s">
        <v>4514</v>
      </c>
      <c r="B1723" s="1" t="s">
        <v>26</v>
      </c>
      <c r="C1723" s="1" t="s">
        <v>2936</v>
      </c>
      <c r="D1723" s="1" t="s">
        <v>32</v>
      </c>
      <c r="E1723" s="12">
        <f>F1723</f>
        <v>0.53697131315199997</v>
      </c>
      <c r="F1723" s="12">
        <f>Systems!T102</f>
        <v>0.53697131315199997</v>
      </c>
      <c r="G1723" s="1" t="s">
        <v>33</v>
      </c>
      <c r="H1723" s="1" t="s">
        <v>476</v>
      </c>
    </row>
    <row r="1724" spans="1:8" ht="16.5">
      <c r="A1724" s="1" t="s">
        <v>825</v>
      </c>
      <c r="B1724" s="1" t="s">
        <v>26</v>
      </c>
      <c r="C1724" s="1" t="s">
        <v>2935</v>
      </c>
      <c r="D1724" s="1" t="s">
        <v>32</v>
      </c>
      <c r="E1724" s="12">
        <f>25*F1724/8</f>
        <v>2.0312500000000001E-3</v>
      </c>
      <c r="F1724" s="12">
        <f>Systems!P102</f>
        <v>6.4999999999999997E-4</v>
      </c>
      <c r="G1724" s="1" t="s">
        <v>33</v>
      </c>
      <c r="H1724" s="1" t="s">
        <v>476</v>
      </c>
    </row>
    <row r="1725" spans="1:8" ht="16.5">
      <c r="A1725" s="1" t="s">
        <v>1307</v>
      </c>
      <c r="B1725" s="1" t="s">
        <v>26</v>
      </c>
      <c r="C1725" s="1" t="s">
        <v>2935</v>
      </c>
      <c r="D1725" s="1" t="s">
        <v>32</v>
      </c>
      <c r="E1725" s="12">
        <f>F1725</f>
        <v>6.4999999999999997E-4</v>
      </c>
      <c r="F1725" s="12">
        <f>Systems!P102</f>
        <v>6.4999999999999997E-4</v>
      </c>
      <c r="G1725" s="1" t="s">
        <v>33</v>
      </c>
      <c r="H1725" s="1" t="s">
        <v>476</v>
      </c>
    </row>
    <row r="1726" spans="1:8" ht="16.5">
      <c r="A1726" s="1" t="s">
        <v>1341</v>
      </c>
      <c r="B1726" s="1" t="s">
        <v>26</v>
      </c>
      <c r="C1726" s="1" t="s">
        <v>2935</v>
      </c>
      <c r="D1726" s="1" t="s">
        <v>32</v>
      </c>
      <c r="E1726" s="12">
        <f>25*F1726</f>
        <v>1.6250000000000001E-2</v>
      </c>
      <c r="F1726" s="12">
        <f>Systems!P102</f>
        <v>6.4999999999999997E-4</v>
      </c>
      <c r="G1726" s="1" t="s">
        <v>33</v>
      </c>
      <c r="H1726" s="1" t="s">
        <v>476</v>
      </c>
    </row>
    <row r="1727" spans="1:8" ht="16.5">
      <c r="A1727" s="1" t="s">
        <v>936</v>
      </c>
      <c r="B1727" s="1" t="s">
        <v>26</v>
      </c>
      <c r="C1727" s="1" t="s">
        <v>2935</v>
      </c>
      <c r="D1727" s="1" t="s">
        <v>32</v>
      </c>
      <c r="E1727" s="12">
        <f>25*F1727/32</f>
        <v>5.0781250000000002E-4</v>
      </c>
      <c r="F1727" s="12">
        <f>Systems!P102</f>
        <v>6.4999999999999997E-4</v>
      </c>
      <c r="G1727" s="1" t="s">
        <v>33</v>
      </c>
      <c r="H1727" s="1" t="s">
        <v>476</v>
      </c>
    </row>
    <row r="1728" spans="1:8" ht="16.5">
      <c r="A1728" s="1" t="s">
        <v>823</v>
      </c>
      <c r="B1728" s="1" t="s">
        <v>26</v>
      </c>
      <c r="C1728" s="1" t="s">
        <v>2935</v>
      </c>
      <c r="D1728" s="1" t="s">
        <v>32</v>
      </c>
      <c r="E1728" s="12">
        <f>75*F1728/2</f>
        <v>2.4374999999999997E-2</v>
      </c>
      <c r="F1728" s="12">
        <f>Systems!P102</f>
        <v>6.4999999999999997E-4</v>
      </c>
      <c r="G1728" s="1" t="s">
        <v>33</v>
      </c>
      <c r="H1728" s="1" t="s">
        <v>476</v>
      </c>
    </row>
    <row r="1729" spans="1:8" ht="16.5">
      <c r="A1729" s="1" t="s">
        <v>2157</v>
      </c>
      <c r="B1729" s="1" t="s">
        <v>26</v>
      </c>
      <c r="C1729" s="1" t="s">
        <v>2935</v>
      </c>
      <c r="D1729" s="1" t="s">
        <v>32</v>
      </c>
      <c r="E1729" s="12">
        <f>25*F1729/128</f>
        <v>1.26953125E-4</v>
      </c>
      <c r="F1729" s="12">
        <f>Systems!P102</f>
        <v>6.4999999999999997E-4</v>
      </c>
      <c r="G1729" s="1" t="s">
        <v>33</v>
      </c>
      <c r="H1729" s="1" t="s">
        <v>476</v>
      </c>
    </row>
    <row r="1730" spans="1:8">
      <c r="A1730" s="1" t="s">
        <v>1340</v>
      </c>
      <c r="B1730" s="1" t="s">
        <v>26</v>
      </c>
      <c r="C1730" s="1" t="s">
        <v>17</v>
      </c>
      <c r="D1730" s="1" t="s">
        <v>20</v>
      </c>
      <c r="E1730" s="12">
        <f>4*F1730/23</f>
        <v>16</v>
      </c>
      <c r="F1730" s="12">
        <f>Systems!L102</f>
        <v>92</v>
      </c>
      <c r="G1730" s="1" t="s">
        <v>23</v>
      </c>
      <c r="H1730" s="1" t="s">
        <v>476</v>
      </c>
    </row>
    <row r="1731" spans="1:8">
      <c r="A1731" s="1" t="s">
        <v>1358</v>
      </c>
      <c r="B1731" s="1" t="s">
        <v>26</v>
      </c>
      <c r="C1731" s="1" t="s">
        <v>17</v>
      </c>
      <c r="D1731" s="1" t="s">
        <v>20</v>
      </c>
      <c r="E1731" s="12">
        <f>7*F1731/4</f>
        <v>161</v>
      </c>
      <c r="F1731" s="12">
        <f>Systems!L102</f>
        <v>92</v>
      </c>
      <c r="G1731" s="1" t="s">
        <v>23</v>
      </c>
      <c r="H1731" s="1" t="s">
        <v>476</v>
      </c>
    </row>
    <row r="1732" spans="1:8">
      <c r="A1732" s="1" t="s">
        <v>823</v>
      </c>
      <c r="B1732" s="1" t="s">
        <v>26</v>
      </c>
      <c r="C1732" s="1" t="s">
        <v>17</v>
      </c>
      <c r="D1732" s="1" t="s">
        <v>20</v>
      </c>
      <c r="E1732" s="12">
        <f>F1732</f>
        <v>92</v>
      </c>
      <c r="F1732" s="12">
        <f>Systems!L102</f>
        <v>92</v>
      </c>
      <c r="G1732" s="1" t="s">
        <v>23</v>
      </c>
      <c r="H1732" s="1" t="s">
        <v>476</v>
      </c>
    </row>
    <row r="1733" spans="1:8">
      <c r="A1733" s="1" t="s">
        <v>2357</v>
      </c>
      <c r="B1733" s="1" t="s">
        <v>26</v>
      </c>
      <c r="C1733" s="1" t="s">
        <v>17</v>
      </c>
      <c r="D1733" s="1" t="s">
        <v>20</v>
      </c>
      <c r="E1733" s="12">
        <f>F1733/2</f>
        <v>46</v>
      </c>
      <c r="F1733" s="12">
        <f>Systems!L102</f>
        <v>92</v>
      </c>
      <c r="G1733" s="1" t="s">
        <v>23</v>
      </c>
      <c r="H1733" s="1" t="s">
        <v>476</v>
      </c>
    </row>
    <row r="1734" spans="1:8">
      <c r="A1734" s="248"/>
      <c r="B1734" s="248"/>
      <c r="C1734" s="248"/>
      <c r="D1734" s="248"/>
      <c r="E1734" s="250"/>
      <c r="F1734" s="250"/>
      <c r="G1734" s="248"/>
      <c r="H1734" s="248"/>
    </row>
    <row r="1735" spans="1:8">
      <c r="A1735" s="1" t="s">
        <v>1221</v>
      </c>
      <c r="B1735" s="1" t="s">
        <v>26</v>
      </c>
      <c r="C1735" s="1" t="s">
        <v>3033</v>
      </c>
      <c r="D1735" s="1" t="s">
        <v>19</v>
      </c>
      <c r="E1735" s="12">
        <f>15*F1735/8</f>
        <v>0.19755</v>
      </c>
      <c r="F1735" s="12">
        <f>Systems!D105</f>
        <v>0.10536</v>
      </c>
      <c r="G1735" s="1" t="s">
        <v>14</v>
      </c>
      <c r="H1735" s="1" t="s">
        <v>195</v>
      </c>
    </row>
    <row r="1736" spans="1:8">
      <c r="A1736" s="1" t="s">
        <v>1232</v>
      </c>
      <c r="B1736" s="1" t="s">
        <v>26</v>
      </c>
      <c r="C1736" s="1" t="s">
        <v>3033</v>
      </c>
      <c r="D1736" s="1" t="s">
        <v>19</v>
      </c>
      <c r="E1736" s="12">
        <f>5.5474121*F1736</f>
        <v>0.584475338856</v>
      </c>
      <c r="F1736" s="12">
        <f>Systems!D105</f>
        <v>0.10536</v>
      </c>
      <c r="G1736" s="1" t="s">
        <v>14</v>
      </c>
      <c r="H1736" s="1" t="s">
        <v>195</v>
      </c>
    </row>
    <row r="1737" spans="1:8">
      <c r="A1737" s="1" t="s">
        <v>846</v>
      </c>
      <c r="B1737" s="1" t="s">
        <v>26</v>
      </c>
      <c r="C1737" s="1" t="s">
        <v>3033</v>
      </c>
      <c r="D1737" s="1" t="s">
        <v>19</v>
      </c>
      <c r="E1737" s="12">
        <f>F1737</f>
        <v>0.10536</v>
      </c>
      <c r="F1737" s="12">
        <f>Systems!D105</f>
        <v>0.10536</v>
      </c>
      <c r="G1737" s="1" t="s">
        <v>14</v>
      </c>
      <c r="H1737" s="1" t="s">
        <v>195</v>
      </c>
    </row>
    <row r="1738" spans="1:8">
      <c r="A1738" s="1" t="s">
        <v>1762</v>
      </c>
      <c r="B1738" s="1" t="s">
        <v>26</v>
      </c>
      <c r="C1738" s="1" t="s">
        <v>3033</v>
      </c>
      <c r="D1738" s="1" t="s">
        <v>19</v>
      </c>
      <c r="E1738" s="12">
        <f>F1738/4</f>
        <v>2.6339999999999999E-2</v>
      </c>
      <c r="F1738" s="12">
        <f>Systems!D105</f>
        <v>0.10536</v>
      </c>
      <c r="G1738" s="1" t="s">
        <v>14</v>
      </c>
      <c r="H1738" s="1" t="s">
        <v>195</v>
      </c>
    </row>
    <row r="1739" spans="1:8">
      <c r="A1739" s="1" t="s">
        <v>1828</v>
      </c>
      <c r="B1739" s="1" t="s">
        <v>26</v>
      </c>
      <c r="C1739" s="1" t="s">
        <v>3033</v>
      </c>
      <c r="D1739" s="1" t="s">
        <v>19</v>
      </c>
      <c r="E1739" s="12">
        <f>18*F1739</f>
        <v>1.8964799999999999</v>
      </c>
      <c r="F1739" s="12">
        <f>Systems!D105</f>
        <v>0.10536</v>
      </c>
      <c r="G1739" s="1" t="s">
        <v>14</v>
      </c>
      <c r="H1739" s="1" t="s">
        <v>195</v>
      </c>
    </row>
    <row r="1740" spans="1:8">
      <c r="A1740" s="1" t="s">
        <v>1918</v>
      </c>
      <c r="B1740" s="1" t="s">
        <v>26</v>
      </c>
      <c r="C1740" s="1" t="s">
        <v>3033</v>
      </c>
      <c r="D1740" s="1" t="s">
        <v>19</v>
      </c>
      <c r="E1740" s="12">
        <f>3*F1740</f>
        <v>0.31607999999999997</v>
      </c>
      <c r="F1740" s="12">
        <f>Systems!D105</f>
        <v>0.10536</v>
      </c>
      <c r="G1740" s="1" t="s">
        <v>14</v>
      </c>
      <c r="H1740" s="1" t="s">
        <v>195</v>
      </c>
    </row>
    <row r="1741" spans="1:8">
      <c r="A1741" s="1" t="s">
        <v>1948</v>
      </c>
      <c r="B1741" s="1" t="s">
        <v>26</v>
      </c>
      <c r="C1741" s="1" t="s">
        <v>3033</v>
      </c>
      <c r="D1741" s="1" t="s">
        <v>19</v>
      </c>
      <c r="E1741" s="12">
        <f>9*F1741</f>
        <v>0.94823999999999997</v>
      </c>
      <c r="F1741" s="12">
        <f>Systems!D105</f>
        <v>0.10536</v>
      </c>
      <c r="G1741" s="1" t="s">
        <v>14</v>
      </c>
      <c r="H1741" s="1" t="s">
        <v>195</v>
      </c>
    </row>
    <row r="1742" spans="1:8">
      <c r="A1742" s="1" t="s">
        <v>2024</v>
      </c>
      <c r="B1742" s="1" t="s">
        <v>26</v>
      </c>
      <c r="C1742" s="1" t="s">
        <v>3033</v>
      </c>
      <c r="D1742" s="1" t="s">
        <v>19</v>
      </c>
      <c r="E1742" s="12">
        <f>F1742</f>
        <v>0.10536</v>
      </c>
      <c r="F1742" s="12">
        <f>Systems!D105</f>
        <v>0.10536</v>
      </c>
      <c r="G1742" s="1" t="s">
        <v>14</v>
      </c>
      <c r="H1742" s="1" t="s">
        <v>195</v>
      </c>
    </row>
    <row r="1743" spans="1:8">
      <c r="A1743" s="1" t="s">
        <v>2044</v>
      </c>
      <c r="B1743" s="1" t="s">
        <v>26</v>
      </c>
      <c r="C1743" s="1" t="s">
        <v>3033</v>
      </c>
      <c r="D1743" s="1" t="s">
        <v>19</v>
      </c>
      <c r="E1743" s="12">
        <f>79286.25*F1743</f>
        <v>8353.5992999999999</v>
      </c>
      <c r="F1743" s="12">
        <f>Systems!D105</f>
        <v>0.10536</v>
      </c>
      <c r="G1743" s="1" t="s">
        <v>14</v>
      </c>
      <c r="H1743" s="1" t="s">
        <v>195</v>
      </c>
    </row>
    <row r="1744" spans="1:8">
      <c r="A1744" s="1" t="s">
        <v>2050</v>
      </c>
      <c r="B1744" s="1" t="s">
        <v>26</v>
      </c>
      <c r="C1744" s="1" t="s">
        <v>3033</v>
      </c>
      <c r="D1744" s="1" t="s">
        <v>19</v>
      </c>
      <c r="E1744" s="12">
        <f>79286.25*F1744</f>
        <v>8353.5992999999999</v>
      </c>
      <c r="F1744" s="12">
        <f>Systems!D105</f>
        <v>0.10536</v>
      </c>
      <c r="G1744" s="1" t="s">
        <v>14</v>
      </c>
      <c r="H1744" s="1" t="s">
        <v>195</v>
      </c>
    </row>
    <row r="1745" spans="1:8">
      <c r="A1745" s="1" t="s">
        <v>2051</v>
      </c>
      <c r="B1745" s="1" t="s">
        <v>26</v>
      </c>
      <c r="C1745" s="1" t="s">
        <v>3033</v>
      </c>
      <c r="D1745" s="1" t="s">
        <v>19</v>
      </c>
      <c r="E1745" s="12">
        <f>79286.25*F1745</f>
        <v>8353.5992999999999</v>
      </c>
      <c r="F1745" s="12">
        <f>Systems!D105</f>
        <v>0.10536</v>
      </c>
      <c r="G1745" s="1" t="s">
        <v>14</v>
      </c>
      <c r="H1745" s="1" t="s">
        <v>195</v>
      </c>
    </row>
    <row r="1746" spans="1:8">
      <c r="A1746" s="1" t="s">
        <v>2165</v>
      </c>
      <c r="B1746" s="1" t="s">
        <v>26</v>
      </c>
      <c r="C1746" s="1" t="s">
        <v>3033</v>
      </c>
      <c r="D1746" s="1" t="s">
        <v>19</v>
      </c>
      <c r="E1746" s="12">
        <f>30*F1746</f>
        <v>3.1608000000000001</v>
      </c>
      <c r="F1746" s="12">
        <f>Systems!D105</f>
        <v>0.10536</v>
      </c>
      <c r="G1746" s="1" t="s">
        <v>14</v>
      </c>
      <c r="H1746" s="1" t="s">
        <v>195</v>
      </c>
    </row>
    <row r="1747" spans="1:8">
      <c r="A1747" s="1" t="s">
        <v>2391</v>
      </c>
      <c r="B1747" s="1" t="s">
        <v>26</v>
      </c>
      <c r="C1747" s="1" t="s">
        <v>3033</v>
      </c>
      <c r="D1747" s="1" t="s">
        <v>19</v>
      </c>
      <c r="E1747" s="12">
        <f>6*F1747</f>
        <v>0.63215999999999994</v>
      </c>
      <c r="F1747" s="12">
        <f>Systems!D105</f>
        <v>0.10536</v>
      </c>
      <c r="G1747" s="1" t="s">
        <v>14</v>
      </c>
      <c r="H1747" s="1" t="s">
        <v>195</v>
      </c>
    </row>
    <row r="1748" spans="1:8">
      <c r="A1748" s="1" t="s">
        <v>2400</v>
      </c>
      <c r="B1748" s="1" t="s">
        <v>26</v>
      </c>
      <c r="C1748" s="1" t="s">
        <v>3033</v>
      </c>
      <c r="D1748" s="1" t="s">
        <v>19</v>
      </c>
      <c r="E1748" s="12">
        <f>60*F1748</f>
        <v>6.3216000000000001</v>
      </c>
      <c r="F1748" s="12">
        <f>Systems!D105</f>
        <v>0.10536</v>
      </c>
      <c r="G1748" s="1" t="s">
        <v>14</v>
      </c>
      <c r="H1748" s="1" t="s">
        <v>195</v>
      </c>
    </row>
    <row r="1749" spans="1:8">
      <c r="A1749" s="1" t="s">
        <v>2551</v>
      </c>
      <c r="B1749" s="1" t="s">
        <v>26</v>
      </c>
      <c r="C1749" s="1" t="s">
        <v>3033</v>
      </c>
      <c r="D1749" s="1" t="s">
        <v>19</v>
      </c>
      <c r="E1749" s="12">
        <f>15*F1749</f>
        <v>1.5804</v>
      </c>
      <c r="F1749" s="12">
        <f>Systems!D105</f>
        <v>0.10536</v>
      </c>
      <c r="G1749" s="1" t="s">
        <v>14</v>
      </c>
      <c r="H1749" s="1" t="s">
        <v>195</v>
      </c>
    </row>
    <row r="1750" spans="1:8">
      <c r="A1750" s="1" t="s">
        <v>2634</v>
      </c>
      <c r="B1750" s="5" t="s">
        <v>26</v>
      </c>
      <c r="C1750" s="1" t="s">
        <v>3033</v>
      </c>
      <c r="D1750" s="1" t="s">
        <v>19</v>
      </c>
      <c r="E1750" s="12">
        <f>3*F1750/4</f>
        <v>7.9019999999999993E-2</v>
      </c>
      <c r="F1750" s="12">
        <f>Systems!D105</f>
        <v>0.10536</v>
      </c>
      <c r="G1750" s="1" t="s">
        <v>14</v>
      </c>
      <c r="H1750" s="1" t="s">
        <v>195</v>
      </c>
    </row>
    <row r="1751" spans="1:8">
      <c r="A1751" s="1" t="s">
        <v>2735</v>
      </c>
      <c r="B1751" s="1" t="s">
        <v>26</v>
      </c>
      <c r="C1751" s="1" t="s">
        <v>3033</v>
      </c>
      <c r="D1751" s="1" t="s">
        <v>19</v>
      </c>
      <c r="E1751" s="12">
        <f>3*F1751/16</f>
        <v>1.9754999999999998E-2</v>
      </c>
      <c r="F1751" s="12">
        <f>Systems!D105</f>
        <v>0.10536</v>
      </c>
      <c r="G1751" s="1" t="s">
        <v>14</v>
      </c>
      <c r="H1751" s="1" t="s">
        <v>195</v>
      </c>
    </row>
    <row r="1752" spans="1:8" ht="16.5">
      <c r="A1752" s="1" t="s">
        <v>1753</v>
      </c>
      <c r="B1752" s="1" t="s">
        <v>26</v>
      </c>
      <c r="C1752" s="1" t="s">
        <v>3034</v>
      </c>
      <c r="D1752" s="1" t="s">
        <v>38</v>
      </c>
      <c r="E1752" s="12">
        <f>F1752/16168.355</f>
        <v>4316.0000671039497</v>
      </c>
      <c r="F1752" s="12">
        <f>Systems!H105</f>
        <v>69782621.264960483</v>
      </c>
      <c r="G1752" s="1" t="s">
        <v>39</v>
      </c>
      <c r="H1752" s="1" t="s">
        <v>195</v>
      </c>
    </row>
    <row r="1753" spans="1:8" ht="16.5">
      <c r="A1753" s="1" t="s">
        <v>839</v>
      </c>
      <c r="B1753" s="1" t="s">
        <v>26</v>
      </c>
      <c r="C1753" s="1" t="s">
        <v>3034</v>
      </c>
      <c r="D1753" s="1" t="s">
        <v>38</v>
      </c>
      <c r="E1753" s="12">
        <f>F1753/16168.355</f>
        <v>4316.0000671039497</v>
      </c>
      <c r="F1753" s="12">
        <f>Systems!H105</f>
        <v>69782621.264960483</v>
      </c>
      <c r="G1753" s="1" t="s">
        <v>39</v>
      </c>
      <c r="H1753" s="1" t="s">
        <v>195</v>
      </c>
    </row>
    <row r="1754" spans="1:8" ht="16.5">
      <c r="A1754" s="1" t="s">
        <v>4800</v>
      </c>
      <c r="B1754" s="1" t="s">
        <v>26</v>
      </c>
      <c r="C1754" s="1" t="s">
        <v>3034</v>
      </c>
      <c r="D1754" s="1" t="s">
        <v>38</v>
      </c>
      <c r="E1754" s="12">
        <f>F1754</f>
        <v>69782621.264960483</v>
      </c>
      <c r="F1754" s="12">
        <f>Systems!H105</f>
        <v>69782621.264960483</v>
      </c>
      <c r="G1754" s="1" t="s">
        <v>39</v>
      </c>
      <c r="H1754" s="1" t="s">
        <v>195</v>
      </c>
    </row>
    <row r="1755" spans="1:8" ht="16.5">
      <c r="A1755" s="1" t="s">
        <v>4801</v>
      </c>
      <c r="B1755" s="1" t="s">
        <v>26</v>
      </c>
      <c r="C1755" s="1" t="s">
        <v>3034</v>
      </c>
      <c r="D1755" s="1" t="s">
        <v>38</v>
      </c>
      <c r="E1755" s="12">
        <f>F1755</f>
        <v>69782621.264960483</v>
      </c>
      <c r="F1755" s="12">
        <f>Systems!H105</f>
        <v>69782621.264960483</v>
      </c>
      <c r="G1755" s="1" t="s">
        <v>39</v>
      </c>
      <c r="H1755" s="1" t="s">
        <v>195</v>
      </c>
    </row>
    <row r="1756" spans="1:8" ht="16.5">
      <c r="A1756" s="1" t="s">
        <v>4802</v>
      </c>
      <c r="B1756" s="1" t="s">
        <v>26</v>
      </c>
      <c r="C1756" s="1" t="s">
        <v>2936</v>
      </c>
      <c r="D1756" s="1" t="s">
        <v>32</v>
      </c>
      <c r="E1756" s="12">
        <f>F1756</f>
        <v>1.1695728706559998E-3</v>
      </c>
      <c r="F1756" s="12">
        <f>Systems!T105</f>
        <v>1.1695728706559998E-3</v>
      </c>
      <c r="G1756" s="1" t="s">
        <v>33</v>
      </c>
      <c r="H1756" s="1" t="s">
        <v>195</v>
      </c>
    </row>
    <row r="1757" spans="1:8" ht="16.5">
      <c r="A1757" s="1" t="s">
        <v>1178</v>
      </c>
      <c r="B1757" s="1" t="s">
        <v>26</v>
      </c>
      <c r="C1757" s="1" t="s">
        <v>2935</v>
      </c>
      <c r="D1757" s="1" t="s">
        <v>32</v>
      </c>
      <c r="E1757" s="12">
        <f>23*F1757/20</f>
        <v>6.2445000000000007E-2</v>
      </c>
      <c r="F1757" s="12">
        <f>Systems!P105</f>
        <v>5.4300000000000001E-2</v>
      </c>
      <c r="G1757" s="1" t="s">
        <v>33</v>
      </c>
      <c r="H1757" s="1" t="s">
        <v>195</v>
      </c>
    </row>
    <row r="1758" spans="1:8" ht="16.5">
      <c r="A1758" s="1" t="s">
        <v>847</v>
      </c>
      <c r="B1758" s="1" t="s">
        <v>26</v>
      </c>
      <c r="C1758" s="1" t="s">
        <v>2935</v>
      </c>
      <c r="D1758" s="1" t="s">
        <v>32</v>
      </c>
      <c r="E1758" s="12">
        <f>F1758</f>
        <v>5.4300000000000001E-2</v>
      </c>
      <c r="F1758" s="12">
        <f>Systems!P105</f>
        <v>5.4300000000000001E-2</v>
      </c>
      <c r="G1758" s="1" t="s">
        <v>33</v>
      </c>
      <c r="H1758" s="1" t="s">
        <v>195</v>
      </c>
    </row>
    <row r="1759" spans="1:8" ht="16.5">
      <c r="A1759" s="1" t="s">
        <v>1601</v>
      </c>
      <c r="B1759" s="1" t="s">
        <v>26</v>
      </c>
      <c r="C1759" s="1" t="s">
        <v>2935</v>
      </c>
      <c r="D1759" s="1" t="s">
        <v>32</v>
      </c>
      <c r="E1759" s="12">
        <f>3663*F1759/1000</f>
        <v>0.19890090000000002</v>
      </c>
      <c r="F1759" s="12">
        <f>Systems!P105</f>
        <v>5.4300000000000001E-2</v>
      </c>
      <c r="G1759" s="1" t="s">
        <v>33</v>
      </c>
      <c r="H1759" s="1" t="s">
        <v>195</v>
      </c>
    </row>
    <row r="1760" spans="1:8" ht="16.5">
      <c r="A1760" s="1" t="s">
        <v>1708</v>
      </c>
      <c r="B1760" s="1" t="s">
        <v>26</v>
      </c>
      <c r="C1760" s="1" t="s">
        <v>2935</v>
      </c>
      <c r="D1760" s="1" t="s">
        <v>32</v>
      </c>
      <c r="E1760" s="12">
        <f>F1760/64</f>
        <v>8.4843750000000002E-4</v>
      </c>
      <c r="F1760" s="12">
        <f>Systems!P105</f>
        <v>5.4300000000000001E-2</v>
      </c>
      <c r="G1760" s="1" t="s">
        <v>33</v>
      </c>
      <c r="H1760" s="1" t="s">
        <v>195</v>
      </c>
    </row>
    <row r="1761" spans="1:8" ht="16.5">
      <c r="A1761" s="1" t="s">
        <v>1767</v>
      </c>
      <c r="B1761" s="1" t="s">
        <v>26</v>
      </c>
      <c r="C1761" s="1" t="s">
        <v>2935</v>
      </c>
      <c r="D1761" s="1" t="s">
        <v>32</v>
      </c>
      <c r="E1761" s="12">
        <f>F1761/64</f>
        <v>8.4843750000000002E-4</v>
      </c>
      <c r="F1761" s="12">
        <f>Systems!P105</f>
        <v>5.4300000000000001E-2</v>
      </c>
      <c r="G1761" s="1" t="s">
        <v>33</v>
      </c>
      <c r="H1761" s="1" t="s">
        <v>195</v>
      </c>
    </row>
    <row r="1762" spans="1:8" ht="16.5">
      <c r="A1762" s="1" t="s">
        <v>843</v>
      </c>
      <c r="B1762" s="1" t="s">
        <v>26</v>
      </c>
      <c r="C1762" s="1" t="s">
        <v>2935</v>
      </c>
      <c r="D1762" s="1" t="s">
        <v>32</v>
      </c>
      <c r="E1762" s="12">
        <f>23*F1762/20</f>
        <v>6.2445000000000007E-2</v>
      </c>
      <c r="F1762" s="12">
        <f>Systems!P105</f>
        <v>5.4300000000000001E-2</v>
      </c>
      <c r="G1762" s="1" t="s">
        <v>33</v>
      </c>
      <c r="H1762" s="1" t="s">
        <v>195</v>
      </c>
    </row>
    <row r="1763" spans="1:8">
      <c r="A1763" s="1" t="s">
        <v>834</v>
      </c>
      <c r="B1763" s="1" t="s">
        <v>26</v>
      </c>
      <c r="C1763" s="1" t="s">
        <v>17</v>
      </c>
      <c r="D1763" s="1" t="s">
        <v>20</v>
      </c>
      <c r="E1763" s="12">
        <f>F1763</f>
        <v>1.3294791426779999</v>
      </c>
      <c r="F1763" s="12">
        <f>Systems!L105</f>
        <v>1.3294791426779999</v>
      </c>
      <c r="G1763" s="1" t="s">
        <v>23</v>
      </c>
      <c r="H1763" s="1" t="s">
        <v>195</v>
      </c>
    </row>
    <row r="1764" spans="1:8">
      <c r="A1764" s="248"/>
      <c r="B1764" s="248"/>
      <c r="C1764" s="248"/>
      <c r="D1764" s="248"/>
      <c r="E1764" s="250"/>
      <c r="F1764" s="250"/>
      <c r="G1764" s="248"/>
      <c r="H1764" s="248"/>
    </row>
    <row r="1765" spans="1:8">
      <c r="A1765" s="1" t="s">
        <v>1184</v>
      </c>
      <c r="B1765" s="1" t="s">
        <v>26</v>
      </c>
      <c r="C1765" s="1" t="s">
        <v>3033</v>
      </c>
      <c r="D1765" s="1" t="s">
        <v>19</v>
      </c>
      <c r="E1765" s="12">
        <f>2*F1765</f>
        <v>0.62771399999999999</v>
      </c>
      <c r="F1765" s="12">
        <f>Systems!D106</f>
        <v>0.313857</v>
      </c>
      <c r="G1765" s="1" t="s">
        <v>14</v>
      </c>
      <c r="H1765" s="1" t="s">
        <v>442</v>
      </c>
    </row>
    <row r="1766" spans="1:8">
      <c r="A1766" s="1" t="s">
        <v>1597</v>
      </c>
      <c r="B1766" s="1" t="s">
        <v>26</v>
      </c>
      <c r="C1766" s="1" t="s">
        <v>3033</v>
      </c>
      <c r="D1766" s="1" t="s">
        <v>19</v>
      </c>
      <c r="E1766" s="12">
        <f>6*F1766</f>
        <v>1.8831419999999999</v>
      </c>
      <c r="F1766" s="12">
        <f>Systems!D106</f>
        <v>0.313857</v>
      </c>
      <c r="G1766" s="1" t="s">
        <v>14</v>
      </c>
      <c r="H1766" s="1" t="s">
        <v>442</v>
      </c>
    </row>
    <row r="1767" spans="1:8">
      <c r="A1767" s="1" t="s">
        <v>868</v>
      </c>
      <c r="B1767" s="1" t="s">
        <v>26</v>
      </c>
      <c r="C1767" s="1" t="s">
        <v>3033</v>
      </c>
      <c r="D1767" s="1" t="s">
        <v>19</v>
      </c>
      <c r="E1767" s="12">
        <f>F1767</f>
        <v>0.313857</v>
      </c>
      <c r="F1767" s="12">
        <f>Systems!D106</f>
        <v>0.313857</v>
      </c>
      <c r="G1767" s="1" t="s">
        <v>14</v>
      </c>
      <c r="H1767" s="1" t="s">
        <v>442</v>
      </c>
    </row>
    <row r="1768" spans="1:8">
      <c r="A1768" s="1" t="s">
        <v>1963</v>
      </c>
      <c r="B1768" s="1" t="s">
        <v>26</v>
      </c>
      <c r="C1768" s="1" t="s">
        <v>3033</v>
      </c>
      <c r="D1768" s="1" t="s">
        <v>19</v>
      </c>
      <c r="E1768" s="12">
        <f>F1768/144</f>
        <v>2.1795625000000001E-3</v>
      </c>
      <c r="F1768" s="12">
        <f>Systems!D106</f>
        <v>0.313857</v>
      </c>
      <c r="G1768" s="1" t="s">
        <v>14</v>
      </c>
      <c r="H1768" s="1" t="s">
        <v>442</v>
      </c>
    </row>
    <row r="1769" spans="1:8">
      <c r="A1769" s="1" t="s">
        <v>4803</v>
      </c>
      <c r="B1769" s="1" t="s">
        <v>26</v>
      </c>
      <c r="C1769" s="1" t="s">
        <v>3033</v>
      </c>
      <c r="D1769" s="1" t="s">
        <v>19</v>
      </c>
      <c r="E1769" s="12">
        <f>24000*F1769</f>
        <v>7532.5680000000002</v>
      </c>
      <c r="F1769" s="12">
        <f>Systems!D106</f>
        <v>0.313857</v>
      </c>
      <c r="G1769" s="1" t="s">
        <v>14</v>
      </c>
      <c r="H1769" s="1" t="s">
        <v>442</v>
      </c>
    </row>
    <row r="1770" spans="1:8">
      <c r="A1770" s="1" t="s">
        <v>2274</v>
      </c>
      <c r="B1770" s="1" t="s">
        <v>26</v>
      </c>
      <c r="C1770" s="1" t="s">
        <v>3033</v>
      </c>
      <c r="D1770" s="1" t="s">
        <v>19</v>
      </c>
      <c r="E1770" s="12">
        <f>120000*F1770</f>
        <v>37662.839999999997</v>
      </c>
      <c r="F1770" s="12">
        <f>Systems!D106</f>
        <v>0.313857</v>
      </c>
      <c r="G1770" s="1" t="s">
        <v>14</v>
      </c>
      <c r="H1770" s="1" t="s">
        <v>442</v>
      </c>
    </row>
    <row r="1771" spans="1:8">
      <c r="A1771" s="1" t="s">
        <v>2309</v>
      </c>
      <c r="B1771" s="1" t="s">
        <v>26</v>
      </c>
      <c r="C1771" s="1" t="s">
        <v>3033</v>
      </c>
      <c r="D1771" s="1" t="s">
        <v>19</v>
      </c>
      <c r="E1771" s="12">
        <f>F1771/12</f>
        <v>2.6154750000000001E-2</v>
      </c>
      <c r="F1771" s="12">
        <f>Systems!D106</f>
        <v>0.313857</v>
      </c>
      <c r="G1771" s="1" t="s">
        <v>14</v>
      </c>
      <c r="H1771" s="1" t="s">
        <v>442</v>
      </c>
    </row>
    <row r="1772" spans="1:8" ht="16.5">
      <c r="A1772" s="1" t="s">
        <v>1577</v>
      </c>
      <c r="B1772" s="1" t="s">
        <v>26</v>
      </c>
      <c r="C1772" s="1" t="s">
        <v>3034</v>
      </c>
      <c r="D1772" s="1" t="s">
        <v>38</v>
      </c>
      <c r="E1772" s="12">
        <f>1600*F1772</f>
        <v>5673.9580674623994</v>
      </c>
      <c r="F1772" s="12">
        <f>Systems!H106</f>
        <v>3.5462237921639996</v>
      </c>
      <c r="G1772" s="1" t="s">
        <v>39</v>
      </c>
      <c r="H1772" s="1" t="s">
        <v>442</v>
      </c>
    </row>
    <row r="1773" spans="1:8" ht="16.5">
      <c r="A1773" s="1" t="s">
        <v>1605</v>
      </c>
      <c r="B1773" s="1" t="s">
        <v>26</v>
      </c>
      <c r="C1773" s="1" t="s">
        <v>3034</v>
      </c>
      <c r="D1773" s="1" t="s">
        <v>38</v>
      </c>
      <c r="E1773" s="12">
        <f>F1773/9</f>
        <v>0.39402486579599993</v>
      </c>
      <c r="F1773" s="12">
        <f>Systems!H106</f>
        <v>3.5462237921639996</v>
      </c>
      <c r="G1773" s="1" t="s">
        <v>39</v>
      </c>
      <c r="H1773" s="1" t="s">
        <v>442</v>
      </c>
    </row>
    <row r="1774" spans="1:8" ht="16.5">
      <c r="A1774" s="1" t="s">
        <v>869</v>
      </c>
      <c r="B1774" s="1" t="s">
        <v>26</v>
      </c>
      <c r="C1774" s="1" t="s">
        <v>3034</v>
      </c>
      <c r="D1774" s="1" t="s">
        <v>38</v>
      </c>
      <c r="E1774" s="12">
        <f>F1774</f>
        <v>3.5462237921639996</v>
      </c>
      <c r="F1774" s="12">
        <f>Systems!H106</f>
        <v>3.5462237921639996</v>
      </c>
      <c r="G1774" s="1" t="s">
        <v>39</v>
      </c>
      <c r="H1774" s="1" t="s">
        <v>442</v>
      </c>
    </row>
    <row r="1775" spans="1:8" ht="16.5">
      <c r="A1775" s="1" t="s">
        <v>1607</v>
      </c>
      <c r="B1775" s="1" t="s">
        <v>26</v>
      </c>
      <c r="C1775" s="1" t="s">
        <v>3034</v>
      </c>
      <c r="D1775" s="1" t="s">
        <v>38</v>
      </c>
      <c r="E1775" s="12">
        <f>F1775/36</f>
        <v>9.8506216448999984E-2</v>
      </c>
      <c r="F1775" s="12">
        <f>Systems!H106</f>
        <v>3.5462237921639996</v>
      </c>
      <c r="G1775" s="1" t="s">
        <v>39</v>
      </c>
      <c r="H1775" s="1" t="s">
        <v>442</v>
      </c>
    </row>
    <row r="1776" spans="1:8" ht="16.5">
      <c r="A1776" s="1" t="s">
        <v>1609</v>
      </c>
      <c r="B1776" s="1" t="s">
        <v>26</v>
      </c>
      <c r="C1776" s="1" t="s">
        <v>3034</v>
      </c>
      <c r="D1776" s="1" t="s">
        <v>38</v>
      </c>
      <c r="E1776" s="12">
        <f>1600000*F1776</f>
        <v>5673958.0674623996</v>
      </c>
      <c r="F1776" s="12">
        <f>Systems!H106</f>
        <v>3.5462237921639996</v>
      </c>
      <c r="G1776" s="1" t="s">
        <v>39</v>
      </c>
      <c r="H1776" s="1" t="s">
        <v>442</v>
      </c>
    </row>
    <row r="1777" spans="1:8" ht="16.5">
      <c r="A1777" s="1" t="s">
        <v>1610</v>
      </c>
      <c r="B1777" s="1" t="s">
        <v>26</v>
      </c>
      <c r="C1777" s="1" t="s">
        <v>3034</v>
      </c>
      <c r="D1777" s="1" t="s">
        <v>38</v>
      </c>
      <c r="E1777" s="12">
        <f>F1777/5184</f>
        <v>6.8407094756249998E-4</v>
      </c>
      <c r="F1777" s="12">
        <f>Systems!H106</f>
        <v>3.5462237921639996</v>
      </c>
      <c r="G1777" s="1" t="s">
        <v>39</v>
      </c>
      <c r="H1777" s="1" t="s">
        <v>442</v>
      </c>
    </row>
    <row r="1778" spans="1:8" ht="16.5">
      <c r="A1778" s="1" t="s">
        <v>2721</v>
      </c>
      <c r="B1778" s="1" t="s">
        <v>26</v>
      </c>
      <c r="C1778" s="1" t="s">
        <v>3034</v>
      </c>
      <c r="D1778" s="1" t="s">
        <v>38</v>
      </c>
      <c r="E1778" s="12">
        <f>900*F1778</f>
        <v>3191.6014129475998</v>
      </c>
      <c r="F1778" s="12">
        <f>Systems!H106</f>
        <v>3.5462237921639996</v>
      </c>
      <c r="G1778" s="1" t="s">
        <v>39</v>
      </c>
      <c r="H1778" s="1" t="s">
        <v>442</v>
      </c>
    </row>
    <row r="1779" spans="1:8" ht="16.5">
      <c r="A1779" s="1" t="s">
        <v>4804</v>
      </c>
      <c r="B1779" s="1" t="s">
        <v>26</v>
      </c>
      <c r="C1779" s="1" t="s">
        <v>2936</v>
      </c>
      <c r="D1779" s="1" t="s">
        <v>32</v>
      </c>
      <c r="E1779" s="12">
        <f>15*F1779/4</f>
        <v>0.11593824591012672</v>
      </c>
      <c r="F1779" s="12">
        <f>POWER(Systems!D106,3)</f>
        <v>3.0916865576033792E-2</v>
      </c>
      <c r="G1779" s="1" t="s">
        <v>33</v>
      </c>
      <c r="H1779" s="1" t="s">
        <v>442</v>
      </c>
    </row>
    <row r="1780" spans="1:8" ht="16.5">
      <c r="A1780" s="1" t="s">
        <v>1215</v>
      </c>
      <c r="B1780" s="1" t="s">
        <v>26</v>
      </c>
      <c r="C1780" s="1" t="s">
        <v>2936</v>
      </c>
      <c r="D1780" s="1" t="s">
        <v>32</v>
      </c>
      <c r="E1780" s="12">
        <f>5*F1780/4</f>
        <v>3.864608197004224E-2</v>
      </c>
      <c r="F1780" s="12">
        <f>POWER(Systems!D106,3)</f>
        <v>3.0916865576033792E-2</v>
      </c>
      <c r="G1780" s="1" t="s">
        <v>33</v>
      </c>
      <c r="H1780" s="1" t="s">
        <v>442</v>
      </c>
    </row>
    <row r="1781" spans="1:8" ht="16.5">
      <c r="A1781" s="1" t="s">
        <v>4805</v>
      </c>
      <c r="B1781" s="1" t="s">
        <v>26</v>
      </c>
      <c r="C1781" s="1" t="s">
        <v>2936</v>
      </c>
      <c r="D1781" s="1" t="s">
        <v>32</v>
      </c>
      <c r="E1781" s="12">
        <f>32*F1781</f>
        <v>3.0916865576033792E-2</v>
      </c>
      <c r="F1781" s="12">
        <f>Systems!T106</f>
        <v>9.6615204925105599E-4</v>
      </c>
      <c r="G1781" s="1" t="s">
        <v>33</v>
      </c>
      <c r="H1781" s="1" t="s">
        <v>442</v>
      </c>
    </row>
    <row r="1782" spans="1:8" ht="16.5">
      <c r="A1782" s="1" t="s">
        <v>1877</v>
      </c>
      <c r="C1782" s="1" t="s">
        <v>2936</v>
      </c>
      <c r="D1782" s="1" t="s">
        <v>32</v>
      </c>
      <c r="E1782" s="12">
        <f>9*F1782/16</f>
        <v>1.7390736886519008E-2</v>
      </c>
      <c r="F1782" s="12">
        <f>POWER(Systems!D106,3)</f>
        <v>3.0916865576033792E-2</v>
      </c>
      <c r="G1782" s="1" t="s">
        <v>33</v>
      </c>
      <c r="H1782" s="1" t="s">
        <v>442</v>
      </c>
    </row>
    <row r="1783" spans="1:8" ht="16.5">
      <c r="A1783" s="1" t="s">
        <v>1878</v>
      </c>
      <c r="B1783" s="1" t="s">
        <v>26</v>
      </c>
      <c r="C1783" s="1" t="s">
        <v>2936</v>
      </c>
      <c r="D1783" s="1" t="s">
        <v>32</v>
      </c>
      <c r="E1783" s="12">
        <f>9*F1783/2</f>
        <v>0.13912589509215206</v>
      </c>
      <c r="F1783" s="12">
        <f>POWER(Systems!D106,3)</f>
        <v>3.0916865576033792E-2</v>
      </c>
      <c r="G1783" s="1" t="s">
        <v>33</v>
      </c>
      <c r="H1783" s="1" t="s">
        <v>442</v>
      </c>
    </row>
    <row r="1784" spans="1:8" ht="16.5">
      <c r="A1784" s="1" t="s">
        <v>2167</v>
      </c>
      <c r="B1784" s="8" t="s">
        <v>26</v>
      </c>
      <c r="C1784" s="1" t="s">
        <v>2936</v>
      </c>
      <c r="D1784" s="1" t="s">
        <v>32</v>
      </c>
      <c r="E1784" s="12">
        <f>17*F1784/4</f>
        <v>0.13139667869814362</v>
      </c>
      <c r="F1784" s="12">
        <f>POWER(Systems!D106,3)</f>
        <v>3.0916865576033792E-2</v>
      </c>
      <c r="G1784" s="1" t="s">
        <v>33</v>
      </c>
      <c r="H1784" s="1" t="s">
        <v>442</v>
      </c>
    </row>
    <row r="1785" spans="1:8" ht="16.5">
      <c r="A1785" s="1" t="s">
        <v>870</v>
      </c>
      <c r="C1785" s="1" t="s">
        <v>2936</v>
      </c>
      <c r="D1785" s="1" t="s">
        <v>32</v>
      </c>
      <c r="E1785" s="12">
        <f>F1785</f>
        <v>9.6615204925105599E-4</v>
      </c>
      <c r="F1785" s="12">
        <f>Systems!T106</f>
        <v>9.6615204925105599E-4</v>
      </c>
      <c r="G1785" s="1" t="s">
        <v>33</v>
      </c>
      <c r="H1785" s="1" t="s">
        <v>442</v>
      </c>
    </row>
    <row r="1786" spans="1:8" ht="16.5">
      <c r="A1786" s="1" t="s">
        <v>2557</v>
      </c>
      <c r="B1786" s="1" t="s">
        <v>603</v>
      </c>
      <c r="C1786" s="1" t="s">
        <v>2936</v>
      </c>
      <c r="D1786" s="1" t="s">
        <v>32</v>
      </c>
      <c r="E1786" s="12">
        <f>165*F1786</f>
        <v>4.6722796876800006</v>
      </c>
      <c r="F1786" s="12">
        <f>POWER(Systems!D6,3)</f>
        <v>2.8316846592000004E-2</v>
      </c>
      <c r="G1786" s="1" t="s">
        <v>33</v>
      </c>
      <c r="H1786" s="1" t="s">
        <v>442</v>
      </c>
    </row>
    <row r="1787" spans="1:8" ht="16.5">
      <c r="A1787" s="1" t="s">
        <v>4805</v>
      </c>
      <c r="B1787" s="1" t="s">
        <v>26</v>
      </c>
      <c r="C1787" s="1" t="s">
        <v>2935</v>
      </c>
      <c r="D1787" s="1" t="s">
        <v>32</v>
      </c>
      <c r="E1787" s="12">
        <f>F1787</f>
        <v>3.0916865576033792E-2</v>
      </c>
      <c r="F1787" s="12">
        <f>Systems!P106</f>
        <v>3.0916865576033792E-2</v>
      </c>
      <c r="G1787" s="1" t="s">
        <v>33</v>
      </c>
      <c r="H1787" s="1" t="s">
        <v>442</v>
      </c>
    </row>
    <row r="1788" spans="1:8">
      <c r="A1788" s="1" t="s">
        <v>1276</v>
      </c>
      <c r="B1788" s="1" t="s">
        <v>26</v>
      </c>
      <c r="C1788" s="1" t="s">
        <v>17</v>
      </c>
      <c r="D1788" s="1" t="s">
        <v>20</v>
      </c>
      <c r="E1788" s="12">
        <f>320*F1788</f>
        <v>160</v>
      </c>
      <c r="F1788" s="12">
        <f>Systems!L106</f>
        <v>0.5</v>
      </c>
      <c r="G1788" s="1" t="s">
        <v>23</v>
      </c>
      <c r="H1788" s="1" t="s">
        <v>442</v>
      </c>
    </row>
    <row r="1789" spans="1:8">
      <c r="A1789" s="1" t="s">
        <v>1614</v>
      </c>
      <c r="B1789" s="1" t="s">
        <v>26</v>
      </c>
      <c r="C1789" s="1" t="s">
        <v>17</v>
      </c>
      <c r="D1789" s="1" t="s">
        <v>20</v>
      </c>
      <c r="E1789" s="12">
        <f>40*F1789</f>
        <v>20</v>
      </c>
      <c r="F1789" s="12">
        <f>Systems!L106</f>
        <v>0.5</v>
      </c>
      <c r="G1789" s="1" t="s">
        <v>23</v>
      </c>
      <c r="H1789" s="1" t="s">
        <v>442</v>
      </c>
    </row>
    <row r="1790" spans="1:8">
      <c r="A1790" s="1" t="s">
        <v>1958</v>
      </c>
      <c r="B1790" s="1" t="s">
        <v>26</v>
      </c>
      <c r="C1790" s="1" t="s">
        <v>17</v>
      </c>
      <c r="D1790" s="1" t="s">
        <v>20</v>
      </c>
      <c r="E1790" s="12">
        <f>64*F1790</f>
        <v>32</v>
      </c>
      <c r="F1790" s="12">
        <f>Systems!L106</f>
        <v>0.5</v>
      </c>
      <c r="G1790" s="1" t="s">
        <v>23</v>
      </c>
      <c r="H1790" s="1" t="s">
        <v>442</v>
      </c>
    </row>
    <row r="1791" spans="1:8">
      <c r="A1791" s="1" t="s">
        <v>2021</v>
      </c>
      <c r="B1791" s="1" t="s">
        <v>26</v>
      </c>
      <c r="C1791" s="1" t="s">
        <v>17</v>
      </c>
      <c r="D1791" s="1" t="s">
        <v>20</v>
      </c>
      <c r="E1791" s="12">
        <f>2*F1791</f>
        <v>1</v>
      </c>
      <c r="F1791" s="12">
        <f>Systems!L106</f>
        <v>0.5</v>
      </c>
      <c r="G1791" s="1" t="s">
        <v>23</v>
      </c>
      <c r="H1791" s="1" t="s">
        <v>442</v>
      </c>
    </row>
    <row r="1792" spans="1:8">
      <c r="A1792" s="1" t="s">
        <v>858</v>
      </c>
      <c r="B1792" s="1" t="s">
        <v>26</v>
      </c>
      <c r="C1792" s="1" t="s">
        <v>17</v>
      </c>
      <c r="D1792" s="1" t="s">
        <v>20</v>
      </c>
      <c r="E1792" s="12">
        <f>F1792</f>
        <v>0.5</v>
      </c>
      <c r="F1792" s="12">
        <f>Systems!L106</f>
        <v>0.5</v>
      </c>
      <c r="G1792" s="1" t="s">
        <v>23</v>
      </c>
      <c r="H1792" s="1" t="s">
        <v>442</v>
      </c>
    </row>
    <row r="1793" spans="1:8">
      <c r="A1793" s="1" t="s">
        <v>1275</v>
      </c>
      <c r="B1793" s="1" t="s">
        <v>26</v>
      </c>
      <c r="C1793" s="1" t="s">
        <v>17</v>
      </c>
      <c r="D1793" s="1" t="s">
        <v>20</v>
      </c>
      <c r="E1793" s="12">
        <f>320*F1793</f>
        <v>160</v>
      </c>
      <c r="F1793" s="12">
        <f>Systems!L106</f>
        <v>0.5</v>
      </c>
      <c r="G1793" s="1" t="s">
        <v>23</v>
      </c>
      <c r="H1793" s="1" t="s">
        <v>442</v>
      </c>
    </row>
    <row r="1794" spans="1:8">
      <c r="A1794" s="1" t="s">
        <v>4806</v>
      </c>
      <c r="B1794" s="1" t="s">
        <v>26</v>
      </c>
      <c r="C1794" s="1" t="s">
        <v>17</v>
      </c>
      <c r="D1794" s="1" t="s">
        <v>20</v>
      </c>
      <c r="E1794" s="12">
        <f>224*F1794</f>
        <v>112</v>
      </c>
      <c r="F1794" s="12">
        <f>Systems!L106</f>
        <v>0.5</v>
      </c>
      <c r="G1794" s="1" t="s">
        <v>23</v>
      </c>
      <c r="H1794" s="1" t="s">
        <v>442</v>
      </c>
    </row>
    <row r="1795" spans="1:8">
      <c r="A1795" s="1" t="s">
        <v>1618</v>
      </c>
      <c r="B1795" s="1" t="s">
        <v>26</v>
      </c>
      <c r="C1795" s="1" t="s">
        <v>17</v>
      </c>
      <c r="D1795" s="1" t="s">
        <v>20</v>
      </c>
      <c r="E1795" s="12">
        <f>8*F1795</f>
        <v>4</v>
      </c>
      <c r="F1795" s="12">
        <f>Systems!L106</f>
        <v>0.5</v>
      </c>
      <c r="G1795" s="1" t="s">
        <v>23</v>
      </c>
      <c r="H1795" s="1" t="s">
        <v>442</v>
      </c>
    </row>
    <row r="1796" spans="1:8">
      <c r="A1796" s="248"/>
      <c r="B1796" s="248"/>
      <c r="C1796" s="248"/>
      <c r="D1796" s="248"/>
      <c r="E1796" s="250"/>
      <c r="F1796" s="250"/>
      <c r="G1796" s="248"/>
      <c r="H1796" s="248"/>
    </row>
    <row r="1797" spans="1:8">
      <c r="A1797" s="1" t="s">
        <v>1260</v>
      </c>
      <c r="B1797" s="1" t="s">
        <v>26</v>
      </c>
      <c r="C1797" s="1" t="s">
        <v>3033</v>
      </c>
      <c r="D1797" s="1" t="s">
        <v>19</v>
      </c>
      <c r="E1797" s="12">
        <f>F1797/36</f>
        <v>8.4666666666666675E-3</v>
      </c>
      <c r="F1797" s="12">
        <f>Systems!D22</f>
        <v>0.30480000000000002</v>
      </c>
      <c r="G1797" s="1" t="s">
        <v>14</v>
      </c>
      <c r="H1797" s="1" t="s">
        <v>1148</v>
      </c>
    </row>
    <row r="1798" spans="1:8">
      <c r="A1798" s="1" t="s">
        <v>1294</v>
      </c>
      <c r="B1798" s="1" t="s">
        <v>26</v>
      </c>
      <c r="C1798" s="1" t="s">
        <v>3033</v>
      </c>
      <c r="D1798" s="1" t="s">
        <v>19</v>
      </c>
      <c r="E1798" s="12">
        <f>10*F1798/3</f>
        <v>1.016</v>
      </c>
      <c r="F1798" s="12">
        <f>Systems!D22</f>
        <v>0.30480000000000002</v>
      </c>
      <c r="G1798" s="1" t="s">
        <v>14</v>
      </c>
      <c r="H1798" s="1" t="s">
        <v>1148</v>
      </c>
    </row>
    <row r="1799" spans="1:8">
      <c r="A1799" s="1" t="s">
        <v>1304</v>
      </c>
      <c r="B1799" s="1" t="s">
        <v>26</v>
      </c>
      <c r="C1799" s="1" t="s">
        <v>3033</v>
      </c>
      <c r="D1799" s="1" t="s">
        <v>19</v>
      </c>
      <c r="E1799" s="12">
        <f>120*F1799</f>
        <v>36.576000000000001</v>
      </c>
      <c r="F1799" s="12">
        <f>Systems!D22</f>
        <v>0.30480000000000002</v>
      </c>
      <c r="G1799" s="1" t="s">
        <v>14</v>
      </c>
      <c r="H1799" s="1" t="s">
        <v>1148</v>
      </c>
    </row>
    <row r="1800" spans="1:8">
      <c r="A1800" s="1" t="s">
        <v>1343</v>
      </c>
      <c r="B1800" s="1" t="s">
        <v>26</v>
      </c>
      <c r="C1800" s="1" t="s">
        <v>3033</v>
      </c>
      <c r="D1800" s="1" t="s">
        <v>19</v>
      </c>
      <c r="E1800" s="12">
        <f>F1800/100</f>
        <v>2.5400000000000005E-4</v>
      </c>
      <c r="F1800" s="12">
        <f>Systems!D22/12</f>
        <v>2.5400000000000002E-2</v>
      </c>
      <c r="G1800" s="1" t="s">
        <v>14</v>
      </c>
      <c r="H1800" s="1" t="s">
        <v>1148</v>
      </c>
    </row>
    <row r="1801" spans="1:8">
      <c r="A1801" s="1" t="s">
        <v>2942</v>
      </c>
      <c r="B1801" s="1" t="s">
        <v>26</v>
      </c>
      <c r="C1801" s="1" t="s">
        <v>3033</v>
      </c>
      <c r="D1801" s="1" t="s">
        <v>19</v>
      </c>
      <c r="E1801" s="12">
        <f>600*F1801</f>
        <v>182.88</v>
      </c>
      <c r="F1801" s="12">
        <f>Systems!D22</f>
        <v>0.30480000000000002</v>
      </c>
      <c r="G1801" s="1" t="s">
        <v>14</v>
      </c>
      <c r="H1801" s="1" t="s">
        <v>1148</v>
      </c>
    </row>
    <row r="1802" spans="1:8">
      <c r="A1802" s="1" t="s">
        <v>2985</v>
      </c>
      <c r="B1802" s="1" t="s">
        <v>26</v>
      </c>
      <c r="C1802" s="1" t="s">
        <v>3033</v>
      </c>
      <c r="D1802" s="1" t="s">
        <v>19</v>
      </c>
      <c r="E1802" s="12">
        <f>F1802/100</f>
        <v>2.5400000000000005E-4</v>
      </c>
      <c r="F1802" s="12">
        <f>Systems!D22/12</f>
        <v>2.5400000000000002E-2</v>
      </c>
      <c r="G1802" s="1" t="s">
        <v>14</v>
      </c>
      <c r="H1802" s="1" t="s">
        <v>1148</v>
      </c>
    </row>
    <row r="1803" spans="1:8">
      <c r="A1803" s="1" t="s">
        <v>1381</v>
      </c>
      <c r="B1803" s="1" t="s">
        <v>132</v>
      </c>
      <c r="C1803" s="1" t="s">
        <v>3033</v>
      </c>
      <c r="D1803" s="1" t="s">
        <v>19</v>
      </c>
      <c r="E1803" s="12">
        <f>66*F1803</f>
        <v>20.116800000000001</v>
      </c>
      <c r="F1803" s="12">
        <f>Systems!D22</f>
        <v>0.30480000000000002</v>
      </c>
      <c r="G1803" s="1" t="s">
        <v>14</v>
      </c>
      <c r="H1803" s="1" t="s">
        <v>1148</v>
      </c>
    </row>
    <row r="1804" spans="1:8">
      <c r="A1804" s="1" t="s">
        <v>2986</v>
      </c>
      <c r="B1804" s="1" t="s">
        <v>26</v>
      </c>
      <c r="C1804" s="1" t="s">
        <v>3033</v>
      </c>
      <c r="D1804" s="1" t="s">
        <v>19</v>
      </c>
      <c r="E1804" s="12">
        <f>F1804/100</f>
        <v>2.5400000000000005E-4</v>
      </c>
      <c r="F1804" s="12">
        <f>Systems!D22/12</f>
        <v>2.5400000000000002E-2</v>
      </c>
      <c r="G1804" s="1" t="s">
        <v>14</v>
      </c>
      <c r="H1804" s="1" t="s">
        <v>1148</v>
      </c>
    </row>
    <row r="1805" spans="1:8">
      <c r="A1805" s="1" t="s">
        <v>7506</v>
      </c>
      <c r="B1805" s="1" t="s">
        <v>26</v>
      </c>
      <c r="C1805" s="1" t="s">
        <v>3033</v>
      </c>
      <c r="D1805" s="1" t="s">
        <v>19</v>
      </c>
      <c r="E1805" s="12">
        <v>5.6444444440000002E-3</v>
      </c>
      <c r="F1805" s="12">
        <f>16*Systems!D22/(12*72)</f>
        <v>5.644444444444445E-3</v>
      </c>
      <c r="G1805" s="1" t="s">
        <v>14</v>
      </c>
      <c r="H1805" s="1" t="s">
        <v>1148</v>
      </c>
    </row>
    <row r="1806" spans="1:8">
      <c r="A1806" s="1" t="s">
        <v>1521</v>
      </c>
      <c r="B1806" s="1" t="s">
        <v>26</v>
      </c>
      <c r="C1806" s="1" t="s">
        <v>3033</v>
      </c>
      <c r="D1806" s="1" t="s">
        <v>19</v>
      </c>
      <c r="E1806" s="12">
        <f>4*F1806</f>
        <v>1.4111111111111112E-3</v>
      </c>
      <c r="F1806" s="12">
        <f>(Systems!D22/12)/72</f>
        <v>3.5277777777777781E-4</v>
      </c>
      <c r="G1806" s="1" t="s">
        <v>14</v>
      </c>
      <c r="H1806" s="1" t="s">
        <v>1148</v>
      </c>
    </row>
    <row r="1807" spans="1:8">
      <c r="A1807" s="1" t="s">
        <v>838</v>
      </c>
      <c r="B1807" s="1" t="s">
        <v>26</v>
      </c>
      <c r="C1807" s="1" t="s">
        <v>3033</v>
      </c>
      <c r="D1807" s="1" t="s">
        <v>19</v>
      </c>
      <c r="E1807" s="12">
        <f>45*F1807</f>
        <v>1.143</v>
      </c>
      <c r="F1807" s="12">
        <f>Systems!D22/12</f>
        <v>2.5400000000000002E-2</v>
      </c>
      <c r="G1807" s="1" t="s">
        <v>14</v>
      </c>
      <c r="H1807" s="1" t="s">
        <v>1148</v>
      </c>
    </row>
    <row r="1808" spans="1:8">
      <c r="A1808" s="1" t="s">
        <v>519</v>
      </c>
      <c r="B1808" s="1" t="s">
        <v>26</v>
      </c>
      <c r="C1808" s="1" t="s">
        <v>3033</v>
      </c>
      <c r="D1808" s="1" t="s">
        <v>19</v>
      </c>
      <c r="E1808" s="12">
        <f>14*F1808</f>
        <v>4.9388888888888894E-3</v>
      </c>
      <c r="F1808" s="12">
        <f>(Systems!D22/12)/72</f>
        <v>3.5277777777777781E-4</v>
      </c>
      <c r="G1808" s="1" t="s">
        <v>14</v>
      </c>
      <c r="H1808" s="1" t="s">
        <v>1148</v>
      </c>
    </row>
    <row r="1809" spans="1:8">
      <c r="A1809" s="1" t="s">
        <v>520</v>
      </c>
      <c r="B1809" s="1" t="s">
        <v>26</v>
      </c>
      <c r="C1809" s="1" t="s">
        <v>3033</v>
      </c>
      <c r="D1809" s="1" t="s">
        <v>19</v>
      </c>
      <c r="E1809" s="12">
        <f>3*F1809</f>
        <v>1.0583333333333334E-3</v>
      </c>
      <c r="F1809" s="12">
        <f>(Systems!D22/12)/72</f>
        <v>3.5277777777777781E-4</v>
      </c>
      <c r="G1809" s="1" t="s">
        <v>14</v>
      </c>
      <c r="H1809" s="1" t="s">
        <v>1148</v>
      </c>
    </row>
    <row r="1810" spans="1:8">
      <c r="A1810" s="1" t="s">
        <v>193</v>
      </c>
      <c r="B1810" s="1" t="s">
        <v>6982</v>
      </c>
      <c r="C1810" s="1" t="s">
        <v>3033</v>
      </c>
      <c r="D1810" s="1" t="s">
        <v>19</v>
      </c>
      <c r="E1810" s="12">
        <f>6*F1810</f>
        <v>1.8288000000000002</v>
      </c>
      <c r="F1810" s="12">
        <f>Systems!D22</f>
        <v>0.30480000000000002</v>
      </c>
      <c r="G1810" s="1" t="s">
        <v>14</v>
      </c>
      <c r="H1810" s="1" t="s">
        <v>1148</v>
      </c>
    </row>
    <row r="1811" spans="1:8">
      <c r="A1811" s="1" t="s">
        <v>1238</v>
      </c>
      <c r="B1811" s="1" t="s">
        <v>26</v>
      </c>
      <c r="C1811" s="1" t="s">
        <v>3033</v>
      </c>
      <c r="D1811" s="1" t="s">
        <v>19</v>
      </c>
      <c r="E1811" s="12">
        <f>F1811/16</f>
        <v>1.9050000000000001E-2</v>
      </c>
      <c r="F1811" s="12">
        <f>Systems!D22</f>
        <v>0.30480000000000002</v>
      </c>
      <c r="G1811" s="1" t="s">
        <v>14</v>
      </c>
      <c r="H1811" s="1" t="s">
        <v>1148</v>
      </c>
    </row>
    <row r="1812" spans="1:8">
      <c r="A1812" s="1" t="s">
        <v>4807</v>
      </c>
      <c r="B1812" s="1" t="s">
        <v>26</v>
      </c>
      <c r="C1812" s="1" t="s">
        <v>3033</v>
      </c>
      <c r="D1812" s="1" t="s">
        <v>19</v>
      </c>
      <c r="E1812" s="12">
        <f>3*F1812/8</f>
        <v>0.11430000000000001</v>
      </c>
      <c r="F1812" s="12">
        <f>Systems!D22</f>
        <v>0.30480000000000002</v>
      </c>
      <c r="G1812" s="1" t="s">
        <v>14</v>
      </c>
      <c r="H1812" s="1" t="s">
        <v>1148</v>
      </c>
    </row>
    <row r="1813" spans="1:8">
      <c r="A1813" s="1" t="s">
        <v>200</v>
      </c>
      <c r="B1813" s="1" t="s">
        <v>6951</v>
      </c>
      <c r="C1813" s="1" t="s">
        <v>3033</v>
      </c>
      <c r="D1813" s="1" t="s">
        <v>19</v>
      </c>
      <c r="E1813" s="12">
        <f>F1813</f>
        <v>0.30480000000000002</v>
      </c>
      <c r="F1813" s="12">
        <f>Systems!D22</f>
        <v>0.30480000000000002</v>
      </c>
      <c r="G1813" s="1" t="s">
        <v>14</v>
      </c>
      <c r="H1813" s="1" t="s">
        <v>1148</v>
      </c>
    </row>
    <row r="1814" spans="1:8">
      <c r="A1814" s="1" t="s">
        <v>1640</v>
      </c>
      <c r="B1814" s="1" t="s">
        <v>6983</v>
      </c>
      <c r="C1814" s="1" t="s">
        <v>3033</v>
      </c>
      <c r="D1814" s="1" t="s">
        <v>19</v>
      </c>
      <c r="E1814" s="12">
        <f>660*F1814</f>
        <v>201.16800000000001</v>
      </c>
      <c r="F1814" s="12">
        <f>Systems!D22</f>
        <v>0.30480000000000002</v>
      </c>
      <c r="G1814" s="1" t="s">
        <v>14</v>
      </c>
      <c r="H1814" s="1" t="s">
        <v>1148</v>
      </c>
    </row>
    <row r="1815" spans="1:8">
      <c r="A1815" s="1" t="s">
        <v>4808</v>
      </c>
      <c r="B1815" s="1" t="s">
        <v>26</v>
      </c>
      <c r="C1815" s="1" t="s">
        <v>3033</v>
      </c>
      <c r="D1815" s="1" t="s">
        <v>19</v>
      </c>
      <c r="E1815" s="12">
        <f>18*F1815</f>
        <v>6.3500000000000006E-3</v>
      </c>
      <c r="F1815" s="12">
        <f>(Systems!D22/12)/72</f>
        <v>3.5277777777777781E-4</v>
      </c>
      <c r="G1815" s="1" t="s">
        <v>14</v>
      </c>
      <c r="H1815" s="1" t="s">
        <v>1148</v>
      </c>
    </row>
    <row r="1816" spans="1:8">
      <c r="A1816" s="1" t="s">
        <v>1716</v>
      </c>
      <c r="B1816" s="1" t="s">
        <v>231</v>
      </c>
      <c r="C1816" s="1" t="s">
        <v>3033</v>
      </c>
      <c r="D1816" s="1" t="s">
        <v>19</v>
      </c>
      <c r="E1816" s="12">
        <f>4*F1816</f>
        <v>0.10160000000000001</v>
      </c>
      <c r="F1816" s="12">
        <f>Systems!D22/12</f>
        <v>2.5400000000000002E-2</v>
      </c>
      <c r="G1816" s="1" t="s">
        <v>14</v>
      </c>
      <c r="H1816" s="1" t="s">
        <v>1148</v>
      </c>
    </row>
    <row r="1817" spans="1:8">
      <c r="A1817" s="1" t="s">
        <v>245</v>
      </c>
      <c r="B1817" s="1" t="s">
        <v>6952</v>
      </c>
      <c r="C1817" s="1" t="s">
        <v>3033</v>
      </c>
      <c r="D1817" s="1" t="s">
        <v>19</v>
      </c>
      <c r="E1817" s="12">
        <f>F1817/12</f>
        <v>2.5400000000000002E-2</v>
      </c>
      <c r="F1817" s="12">
        <f>Systems!D22</f>
        <v>0.30480000000000002</v>
      </c>
      <c r="G1817" s="1" t="s">
        <v>14</v>
      </c>
      <c r="H1817" s="1" t="s">
        <v>1148</v>
      </c>
    </row>
    <row r="1818" spans="1:8">
      <c r="A1818" s="1" t="s">
        <v>985</v>
      </c>
      <c r="B1818" s="1" t="s">
        <v>26</v>
      </c>
      <c r="C1818" s="1" t="s">
        <v>3033</v>
      </c>
      <c r="D1818" s="1" t="s">
        <v>19</v>
      </c>
      <c r="E1818" s="12">
        <f>5280*F1818</f>
        <v>1609.3440000000001</v>
      </c>
      <c r="F1818" s="12">
        <f>Systems!D22</f>
        <v>0.30480000000000002</v>
      </c>
      <c r="G1818" s="1" t="s">
        <v>14</v>
      </c>
      <c r="H1818" s="1" t="s">
        <v>1148</v>
      </c>
    </row>
    <row r="1819" spans="1:8">
      <c r="A1819" s="1" t="s">
        <v>1938</v>
      </c>
      <c r="B1819" s="1" t="s">
        <v>6984</v>
      </c>
      <c r="C1819" s="1" t="s">
        <v>3033</v>
      </c>
      <c r="D1819" s="1" t="s">
        <v>19</v>
      </c>
      <c r="E1819" s="12">
        <f>3*F1819</f>
        <v>5556</v>
      </c>
      <c r="F1819" s="12">
        <f>1852*SI!E3</f>
        <v>1852</v>
      </c>
      <c r="G1819" s="1" t="s">
        <v>14</v>
      </c>
      <c r="H1819" s="1" t="s">
        <v>1148</v>
      </c>
    </row>
    <row r="1820" spans="1:8">
      <c r="A1820" s="1" t="s">
        <v>4809</v>
      </c>
      <c r="B1820" s="1" t="s">
        <v>6287</v>
      </c>
      <c r="C1820" s="1" t="s">
        <v>3033</v>
      </c>
      <c r="D1820" s="1" t="s">
        <v>19</v>
      </c>
      <c r="E1820" s="12">
        <f>3*F1820</f>
        <v>4828.0320000000002</v>
      </c>
      <c r="F1820" s="12">
        <f>5280*Systems!D22</f>
        <v>1609.3440000000001</v>
      </c>
      <c r="G1820" s="1" t="s">
        <v>14</v>
      </c>
      <c r="H1820" s="1" t="s">
        <v>1148</v>
      </c>
    </row>
    <row r="1821" spans="1:8">
      <c r="A1821" s="1" t="s">
        <v>1972</v>
      </c>
      <c r="B1821" s="1" t="s">
        <v>26</v>
      </c>
      <c r="C1821" s="1" t="s">
        <v>3033</v>
      </c>
      <c r="D1821" s="1" t="s">
        <v>19</v>
      </c>
      <c r="E1821" s="12">
        <f>66*F1821/100</f>
        <v>0.20116800000000001</v>
      </c>
      <c r="F1821" s="12">
        <f>Systems!D22</f>
        <v>0.30480000000000002</v>
      </c>
      <c r="G1821" s="1" t="s">
        <v>14</v>
      </c>
      <c r="H1821" s="1" t="s">
        <v>1148</v>
      </c>
    </row>
    <row r="1822" spans="1:8">
      <c r="A1822" s="1" t="s">
        <v>4810</v>
      </c>
      <c r="B1822" s="1" t="s">
        <v>26</v>
      </c>
      <c r="C1822" s="1" t="s">
        <v>3033</v>
      </c>
      <c r="D1822" s="1" t="s">
        <v>19</v>
      </c>
      <c r="E1822" s="12">
        <f>10*F1822</f>
        <v>3.5277777777777781E-3</v>
      </c>
      <c r="F1822" s="12">
        <f>Systems!D22/(72*12)</f>
        <v>3.5277777777777781E-4</v>
      </c>
      <c r="G1822" s="1" t="s">
        <v>14</v>
      </c>
      <c r="H1822" s="1" t="s">
        <v>1148</v>
      </c>
    </row>
    <row r="1823" spans="1:8">
      <c r="A1823" s="1" t="s">
        <v>552</v>
      </c>
      <c r="B1823" s="1" t="s">
        <v>26</v>
      </c>
      <c r="C1823" s="1" t="s">
        <v>3033</v>
      </c>
      <c r="D1823" s="1" t="s">
        <v>19</v>
      </c>
      <c r="E1823" s="12">
        <f>44*F1823</f>
        <v>1.5522222222222224E-2</v>
      </c>
      <c r="F1823" s="12">
        <f>Systems!D22/(12*72)</f>
        <v>3.5277777777777781E-4</v>
      </c>
      <c r="G1823" s="1" t="s">
        <v>14</v>
      </c>
      <c r="H1823" s="1" t="s">
        <v>1148</v>
      </c>
    </row>
    <row r="1824" spans="1:8">
      <c r="A1824" s="1" t="s">
        <v>290</v>
      </c>
      <c r="B1824" s="8" t="s">
        <v>2976</v>
      </c>
      <c r="C1824" s="1" t="s">
        <v>3033</v>
      </c>
      <c r="D1824" s="1" t="s">
        <v>19</v>
      </c>
      <c r="E1824" s="12">
        <f>0.000001*F1824</f>
        <v>2.5400000000000002E-8</v>
      </c>
      <c r="F1824" s="12">
        <f>Systems!D22/12</f>
        <v>2.5400000000000002E-2</v>
      </c>
      <c r="G1824" s="1" t="s">
        <v>14</v>
      </c>
      <c r="H1824" s="1" t="s">
        <v>1148</v>
      </c>
    </row>
    <row r="1825" spans="1:8">
      <c r="A1825" s="1" t="s">
        <v>293</v>
      </c>
      <c r="B1825" s="1" t="s">
        <v>26</v>
      </c>
      <c r="C1825" s="1" t="s">
        <v>3033</v>
      </c>
      <c r="D1825" s="1" t="s">
        <v>19</v>
      </c>
      <c r="E1825" s="12">
        <f>0.001*F1825</f>
        <v>2.5400000000000004E-5</v>
      </c>
      <c r="F1825" s="12">
        <f>Systems!D22/12</f>
        <v>2.5400000000000002E-2</v>
      </c>
      <c r="G1825" s="1" t="s">
        <v>14</v>
      </c>
      <c r="H1825" s="1" t="s">
        <v>1148</v>
      </c>
    </row>
    <row r="1826" spans="1:8">
      <c r="A1826" s="1" t="s">
        <v>4811</v>
      </c>
      <c r="B1826" s="1" t="s">
        <v>26</v>
      </c>
      <c r="C1826" s="1" t="s">
        <v>3033</v>
      </c>
      <c r="D1826" s="1" t="s">
        <v>19</v>
      </c>
      <c r="E1826" s="12">
        <f>1855.3248*F1826</f>
        <v>1855.3248000000001</v>
      </c>
      <c r="F1826" s="12">
        <f>SI!E3</f>
        <v>1</v>
      </c>
      <c r="G1826" s="1" t="s">
        <v>14</v>
      </c>
      <c r="H1826" s="1" t="s">
        <v>1148</v>
      </c>
    </row>
    <row r="1827" spans="1:8">
      <c r="A1827" s="1" t="s">
        <v>1484</v>
      </c>
      <c r="B1827" s="1" t="s">
        <v>6954</v>
      </c>
      <c r="C1827" s="1" t="s">
        <v>3033</v>
      </c>
      <c r="D1827" s="1" t="s">
        <v>19</v>
      </c>
      <c r="E1827" s="12">
        <f>5280*F1827</f>
        <v>1609.3440000000001</v>
      </c>
      <c r="F1827" s="12">
        <f>Systems!D22</f>
        <v>0.30480000000000002</v>
      </c>
      <c r="G1827" s="1" t="s">
        <v>14</v>
      </c>
      <c r="H1827" s="1" t="s">
        <v>1148</v>
      </c>
    </row>
    <row r="1828" spans="1:8">
      <c r="A1828" s="1" t="s">
        <v>4812</v>
      </c>
      <c r="B1828" s="1" t="s">
        <v>4951</v>
      </c>
      <c r="C1828" s="1" t="s">
        <v>3033</v>
      </c>
      <c r="D1828" s="1" t="s">
        <v>19</v>
      </c>
      <c r="E1828" s="12">
        <f>6087*F1828</f>
        <v>1855.3176000000001</v>
      </c>
      <c r="F1828" s="12">
        <f>Systems!D22</f>
        <v>0.30480000000000002</v>
      </c>
      <c r="G1828" s="1" t="s">
        <v>14</v>
      </c>
      <c r="H1828" s="1" t="s">
        <v>1148</v>
      </c>
    </row>
    <row r="1829" spans="1:8">
      <c r="A1829" s="1" t="s">
        <v>4813</v>
      </c>
      <c r="B1829" s="1" t="s">
        <v>2943</v>
      </c>
      <c r="C1829" s="1" t="s">
        <v>3033</v>
      </c>
      <c r="D1829" s="1" t="s">
        <v>19</v>
      </c>
      <c r="E1829" s="12">
        <f>6080*F1829</f>
        <v>1853.1840000000002</v>
      </c>
      <c r="F1829" s="12">
        <f>Systems!D22</f>
        <v>0.30480000000000002</v>
      </c>
      <c r="G1829" s="1" t="s">
        <v>14</v>
      </c>
      <c r="H1829" s="1" t="s">
        <v>1148</v>
      </c>
    </row>
    <row r="1830" spans="1:8">
      <c r="A1830" s="1" t="s">
        <v>1284</v>
      </c>
      <c r="B1830" s="1" t="s">
        <v>26</v>
      </c>
      <c r="C1830" s="1" t="s">
        <v>3033</v>
      </c>
      <c r="D1830" s="1" t="s">
        <v>19</v>
      </c>
      <c r="E1830" s="12">
        <f>5*F1830</f>
        <v>1.524</v>
      </c>
      <c r="F1830" s="12">
        <f>Systems!D22</f>
        <v>0.30480000000000002</v>
      </c>
      <c r="G1830" s="1" t="s">
        <v>14</v>
      </c>
      <c r="H1830" s="1" t="s">
        <v>1148</v>
      </c>
    </row>
    <row r="1831" spans="1:8">
      <c r="A1831" s="1" t="s">
        <v>576</v>
      </c>
      <c r="B1831" s="1" t="s">
        <v>26</v>
      </c>
      <c r="C1831" s="1" t="s">
        <v>3033</v>
      </c>
      <c r="D1831" s="1" t="s">
        <v>19</v>
      </c>
      <c r="E1831" s="12">
        <f>5*F1831</f>
        <v>1.7638888888888891E-3</v>
      </c>
      <c r="F1831" s="12">
        <f>Systems!D22/(12*72)</f>
        <v>3.5277777777777781E-4</v>
      </c>
      <c r="G1831" s="1" t="s">
        <v>14</v>
      </c>
      <c r="H1831" s="1" t="s">
        <v>1148</v>
      </c>
    </row>
    <row r="1832" spans="1:8">
      <c r="A1832" s="1" t="s">
        <v>1492</v>
      </c>
      <c r="B1832" s="1" t="s">
        <v>26</v>
      </c>
      <c r="C1832" s="1" t="s">
        <v>3033</v>
      </c>
      <c r="D1832" s="1" t="s">
        <v>19</v>
      </c>
      <c r="E1832" s="12">
        <f>16.5*F1832</f>
        <v>5.0292000000000003</v>
      </c>
      <c r="F1832" s="12">
        <f>Systems!D22</f>
        <v>0.30480000000000002</v>
      </c>
      <c r="G1832" s="1" t="s">
        <v>14</v>
      </c>
      <c r="H1832" s="1" t="s">
        <v>1148</v>
      </c>
    </row>
    <row r="1833" spans="1:8">
      <c r="A1833" s="1" t="s">
        <v>2285</v>
      </c>
      <c r="B1833" s="1" t="s">
        <v>26</v>
      </c>
      <c r="C1833" s="1" t="s">
        <v>3033</v>
      </c>
      <c r="D1833" s="1" t="s">
        <v>19</v>
      </c>
      <c r="E1833" s="12">
        <f>16.5*F1833</f>
        <v>5.0292000000000003</v>
      </c>
      <c r="F1833" s="12">
        <f>Systems!D22</f>
        <v>0.30480000000000002</v>
      </c>
      <c r="G1833" s="1" t="s">
        <v>14</v>
      </c>
      <c r="H1833" s="1" t="s">
        <v>1148</v>
      </c>
    </row>
    <row r="1834" spans="1:8">
      <c r="A1834" s="1" t="s">
        <v>2387</v>
      </c>
      <c r="B1834" s="1" t="s">
        <v>6985</v>
      </c>
      <c r="C1834" s="1" t="s">
        <v>3033</v>
      </c>
      <c r="D1834" s="1" t="s">
        <v>19</v>
      </c>
      <c r="E1834" s="12">
        <f>16.5*F1834</f>
        <v>5.0292000000000003</v>
      </c>
      <c r="F1834" s="12">
        <f>Systems!D22</f>
        <v>0.30480000000000002</v>
      </c>
      <c r="G1834" s="1" t="s">
        <v>14</v>
      </c>
      <c r="H1834" s="1" t="s">
        <v>1148</v>
      </c>
    </row>
    <row r="1835" spans="1:8">
      <c r="A1835" s="1" t="s">
        <v>4814</v>
      </c>
      <c r="B1835" s="1" t="s">
        <v>26</v>
      </c>
      <c r="C1835" s="1" t="s">
        <v>3033</v>
      </c>
      <c r="D1835" s="1" t="s">
        <v>19</v>
      </c>
      <c r="E1835" s="12">
        <f>11*F1835</f>
        <v>3.8805555555555559E-3</v>
      </c>
      <c r="F1835" s="12">
        <f>Systems!D22/(12*72)</f>
        <v>3.5277777777777781E-4</v>
      </c>
      <c r="G1835" s="1" t="s">
        <v>14</v>
      </c>
      <c r="H1835" s="1" t="s">
        <v>1148</v>
      </c>
    </row>
    <row r="1836" spans="1:8">
      <c r="A1836" s="1" t="s">
        <v>2542</v>
      </c>
      <c r="B1836" s="1" t="s">
        <v>388</v>
      </c>
      <c r="C1836" s="1" t="s">
        <v>3033</v>
      </c>
      <c r="D1836" s="1" t="s">
        <v>19</v>
      </c>
      <c r="E1836" s="12">
        <f>3*F1836/4</f>
        <v>0.22860000000000003</v>
      </c>
      <c r="F1836" s="12">
        <f>Systems!D22</f>
        <v>0.30480000000000002</v>
      </c>
      <c r="G1836" s="1" t="s">
        <v>14</v>
      </c>
      <c r="H1836" s="1" t="s">
        <v>1148</v>
      </c>
    </row>
    <row r="1837" spans="1:8">
      <c r="A1837" s="1" t="s">
        <v>2578</v>
      </c>
      <c r="B1837" s="1" t="s">
        <v>26</v>
      </c>
      <c r="C1837" s="1" t="s">
        <v>3033</v>
      </c>
      <c r="D1837" s="1" t="s">
        <v>19</v>
      </c>
      <c r="E1837" s="12">
        <f>2*F1837</f>
        <v>5.0800000000000005E-2</v>
      </c>
      <c r="F1837" s="12">
        <f>Systems!D22/12</f>
        <v>2.5400000000000002E-2</v>
      </c>
      <c r="G1837" s="1" t="s">
        <v>14</v>
      </c>
      <c r="H1837" s="1" t="s">
        <v>1148</v>
      </c>
    </row>
    <row r="1838" spans="1:8">
      <c r="A1838" s="1" t="s">
        <v>2633</v>
      </c>
      <c r="B1838" s="5" t="s">
        <v>13</v>
      </c>
      <c r="C1838" s="1" t="s">
        <v>3033</v>
      </c>
      <c r="D1838" s="1" t="s">
        <v>19</v>
      </c>
      <c r="E1838" s="12">
        <f>F1838</f>
        <v>1E-10</v>
      </c>
      <c r="F1838" s="12">
        <f>'Physical Definitions'!E28</f>
        <v>1E-10</v>
      </c>
      <c r="G1838" s="1" t="s">
        <v>14</v>
      </c>
      <c r="H1838" s="1" t="s">
        <v>1148</v>
      </c>
    </row>
    <row r="1839" spans="1:8">
      <c r="A1839" s="1" t="s">
        <v>2650</v>
      </c>
      <c r="B1839" s="1" t="s">
        <v>26</v>
      </c>
      <c r="C1839" s="1" t="s">
        <v>3033</v>
      </c>
      <c r="D1839" s="1" t="s">
        <v>19</v>
      </c>
      <c r="E1839" s="12">
        <f>0.001*F1839</f>
        <v>2.5400000000000004E-5</v>
      </c>
      <c r="F1839" s="12">
        <f>Systems!D22/12</f>
        <v>2.5400000000000002E-2</v>
      </c>
      <c r="G1839" s="1" t="s">
        <v>14</v>
      </c>
      <c r="H1839" s="1" t="s">
        <v>1148</v>
      </c>
    </row>
    <row r="1840" spans="1:8">
      <c r="A1840" s="1" t="s">
        <v>2941</v>
      </c>
      <c r="B1840" s="1" t="s">
        <v>26</v>
      </c>
      <c r="C1840" s="1" t="s">
        <v>3033</v>
      </c>
      <c r="D1840" s="1" t="s">
        <v>19</v>
      </c>
      <c r="E1840" s="12">
        <f>F1840/17280</f>
        <v>1.7638888888888889E-5</v>
      </c>
      <c r="F1840" s="12">
        <f>Systems!D22</f>
        <v>0.30480000000000002</v>
      </c>
      <c r="G1840" s="1" t="s">
        <v>14</v>
      </c>
      <c r="H1840" s="1" t="s">
        <v>1148</v>
      </c>
    </row>
    <row r="1841" spans="1:8">
      <c r="A1841" s="1" t="s">
        <v>431</v>
      </c>
      <c r="B1841" s="1" t="s">
        <v>6953</v>
      </c>
      <c r="C1841" s="1" t="s">
        <v>3033</v>
      </c>
      <c r="D1841" s="1" t="s">
        <v>19</v>
      </c>
      <c r="E1841" s="12">
        <v>0.91439999999999999</v>
      </c>
      <c r="F1841" s="12">
        <f>3*Systems!D22</f>
        <v>0.9144000000000001</v>
      </c>
      <c r="G1841" s="1" t="s">
        <v>14</v>
      </c>
      <c r="H1841" s="1" t="s">
        <v>1148</v>
      </c>
    </row>
    <row r="1842" spans="1:8">
      <c r="A1842" s="1" t="s">
        <v>4815</v>
      </c>
      <c r="B1842" s="1" t="s">
        <v>6288</v>
      </c>
      <c r="C1842" s="1" t="s">
        <v>3033</v>
      </c>
      <c r="D1842" s="1" t="s">
        <v>19</v>
      </c>
      <c r="E1842" s="12">
        <f>3*F1842</f>
        <v>0.9144000000000001</v>
      </c>
      <c r="F1842" s="12">
        <f>Systems!D22</f>
        <v>0.30480000000000002</v>
      </c>
      <c r="G1842" s="1" t="s">
        <v>14</v>
      </c>
      <c r="H1842" s="1" t="s">
        <v>1148</v>
      </c>
    </row>
    <row r="1843" spans="1:8" ht="16.5">
      <c r="A1843" s="1" t="s">
        <v>45</v>
      </c>
      <c r="B1843" s="1" t="s">
        <v>6986</v>
      </c>
      <c r="C1843" s="1" t="s">
        <v>3034</v>
      </c>
      <c r="D1843" s="1" t="s">
        <v>38</v>
      </c>
      <c r="E1843" s="12">
        <f>43560*F1843</f>
        <v>4046.8564224000002</v>
      </c>
      <c r="F1843" s="12">
        <f>POWER(Systems!D22,2)</f>
        <v>9.2903040000000006E-2</v>
      </c>
      <c r="G1843" s="1" t="s">
        <v>39</v>
      </c>
      <c r="H1843" s="1" t="s">
        <v>1148</v>
      </c>
    </row>
    <row r="1844" spans="1:8" ht="16.5">
      <c r="A1844" s="1" t="s">
        <v>4816</v>
      </c>
      <c r="B1844" s="1" t="s">
        <v>6289</v>
      </c>
      <c r="C1844" s="1" t="s">
        <v>3034</v>
      </c>
      <c r="D1844" s="1" t="s">
        <v>38</v>
      </c>
      <c r="E1844" s="12">
        <f>F1844</f>
        <v>5.067074790974978E-4</v>
      </c>
      <c r="F1844" s="12">
        <f>PI()*POWER(Systems!D22/24,2)</f>
        <v>5.067074790974978E-4</v>
      </c>
      <c r="G1844" s="1" t="s">
        <v>39</v>
      </c>
      <c r="H1844" s="1" t="s">
        <v>1148</v>
      </c>
    </row>
    <row r="1845" spans="1:8" ht="16.5">
      <c r="A1845" s="1" t="s">
        <v>4817</v>
      </c>
      <c r="B1845" s="1" t="s">
        <v>6290</v>
      </c>
      <c r="C1845" s="1" t="s">
        <v>3034</v>
      </c>
      <c r="D1845" s="1" t="s">
        <v>38</v>
      </c>
      <c r="E1845" s="12">
        <v>5.0670747909800002E-10</v>
      </c>
      <c r="F1845" s="12">
        <f>PI()*POWER(Systems!D22/24,2)</f>
        <v>5.067074790974978E-4</v>
      </c>
      <c r="G1845" s="1" t="s">
        <v>39</v>
      </c>
      <c r="H1845" s="1" t="s">
        <v>1148</v>
      </c>
    </row>
    <row r="1846" spans="1:8" ht="16.5">
      <c r="A1846" s="1" t="s">
        <v>4818</v>
      </c>
      <c r="B1846" s="1" t="s">
        <v>6291</v>
      </c>
      <c r="C1846" s="1" t="s">
        <v>3034</v>
      </c>
      <c r="D1846" s="1" t="s">
        <v>38</v>
      </c>
      <c r="E1846" s="12">
        <f>F1846</f>
        <v>2697285.7951646033</v>
      </c>
      <c r="F1846" s="12">
        <f>PI()*POWER(Systems!D22*6080/2,2)</f>
        <v>2697285.7951646033</v>
      </c>
      <c r="G1846" s="1" t="s">
        <v>39</v>
      </c>
      <c r="H1846" s="1" t="s">
        <v>1148</v>
      </c>
    </row>
    <row r="1847" spans="1:8" ht="16.5">
      <c r="A1847" s="1" t="s">
        <v>4819</v>
      </c>
      <c r="B1847" s="1" t="s">
        <v>6292</v>
      </c>
      <c r="C1847" s="1" t="s">
        <v>3034</v>
      </c>
      <c r="D1847" s="1" t="s">
        <v>38</v>
      </c>
      <c r="E1847" s="12">
        <f>F1847</f>
        <v>2034171.9050791222</v>
      </c>
      <c r="F1847" s="12">
        <f>PI()*POWER(Systems!D22*5280/2,2)</f>
        <v>2034171.9050791222</v>
      </c>
      <c r="G1847" s="1" t="s">
        <v>39</v>
      </c>
      <c r="H1847" s="1" t="s">
        <v>1148</v>
      </c>
    </row>
    <row r="1848" spans="1:8" ht="16.5">
      <c r="A1848" s="1" t="s">
        <v>4820</v>
      </c>
      <c r="B1848" s="1" t="s">
        <v>26</v>
      </c>
      <c r="C1848" s="1" t="s">
        <v>3034</v>
      </c>
      <c r="D1848" s="1" t="s">
        <v>38</v>
      </c>
      <c r="E1848" s="12">
        <f>F1848</f>
        <v>6.4516000000000009E-4</v>
      </c>
      <c r="F1848" s="12">
        <f>POWER(Systems!D22/12,2)</f>
        <v>6.4516000000000009E-4</v>
      </c>
      <c r="G1848" s="1" t="s">
        <v>39</v>
      </c>
      <c r="H1848" s="1" t="s">
        <v>1148</v>
      </c>
    </row>
    <row r="1849" spans="1:8" ht="16.5">
      <c r="A1849" s="1" t="s">
        <v>1492</v>
      </c>
      <c r="B1849" s="1" t="s">
        <v>26</v>
      </c>
      <c r="C1849" s="1" t="s">
        <v>3034</v>
      </c>
      <c r="D1849" s="1" t="s">
        <v>38</v>
      </c>
      <c r="E1849" s="12">
        <f>272.25*F1849</f>
        <v>25.292852640000003</v>
      </c>
      <c r="F1849" s="12">
        <f>POWER(Systems!D22,2)</f>
        <v>9.2903040000000006E-2</v>
      </c>
      <c r="G1849" s="1" t="s">
        <v>39</v>
      </c>
      <c r="H1849" s="1" t="s">
        <v>1148</v>
      </c>
    </row>
    <row r="1850" spans="1:8" ht="16.5">
      <c r="A1850" s="1" t="s">
        <v>4821</v>
      </c>
      <c r="B1850" s="1" t="s">
        <v>26</v>
      </c>
      <c r="C1850" s="1" t="s">
        <v>3034</v>
      </c>
      <c r="D1850" s="1" t="s">
        <v>38</v>
      </c>
      <c r="E1850" s="12">
        <f>77440*F1850</f>
        <v>64749.702758400017</v>
      </c>
      <c r="F1850" s="12">
        <f>POWER(3*Systems!D22,2)</f>
        <v>0.83612736000000021</v>
      </c>
      <c r="G1850" s="1" t="s">
        <v>39</v>
      </c>
      <c r="H1850" s="1" t="s">
        <v>1148</v>
      </c>
    </row>
    <row r="1851" spans="1:8" ht="16.5">
      <c r="A1851" s="1" t="s">
        <v>2392</v>
      </c>
      <c r="B1851" s="1" t="s">
        <v>26</v>
      </c>
      <c r="C1851" s="1" t="s">
        <v>3034</v>
      </c>
      <c r="D1851" s="1" t="s">
        <v>38</v>
      </c>
      <c r="E1851" s="12">
        <f>30*F1851</f>
        <v>2.7870912000000003</v>
      </c>
      <c r="F1851" s="12">
        <f>POWER(Systems!D22,2)</f>
        <v>9.2903040000000006E-2</v>
      </c>
      <c r="G1851" s="1" t="s">
        <v>39</v>
      </c>
      <c r="H1851" s="1" t="s">
        <v>1148</v>
      </c>
    </row>
    <row r="1852" spans="1:8" ht="16.5">
      <c r="A1852" s="1" t="s">
        <v>2393</v>
      </c>
      <c r="B1852" s="1" t="s">
        <v>26</v>
      </c>
      <c r="C1852" s="1" t="s">
        <v>3034</v>
      </c>
      <c r="D1852" s="1" t="s">
        <v>38</v>
      </c>
      <c r="E1852" s="12">
        <f>10890*F1852</f>
        <v>1011.7141056</v>
      </c>
      <c r="F1852" s="12">
        <f>POWER(Systems!D22,2)</f>
        <v>9.2903040000000006E-2</v>
      </c>
      <c r="G1852" s="1" t="s">
        <v>39</v>
      </c>
      <c r="H1852" s="1" t="s">
        <v>1148</v>
      </c>
    </row>
    <row r="1853" spans="1:8" ht="16.5">
      <c r="A1853" s="1" t="s">
        <v>2413</v>
      </c>
      <c r="B1853" s="1" t="s">
        <v>26</v>
      </c>
      <c r="C1853" s="1" t="s">
        <v>3034</v>
      </c>
      <c r="D1853" s="1" t="s">
        <v>38</v>
      </c>
      <c r="E1853" s="12">
        <f>F1853</f>
        <v>9.2903040000000006E-2</v>
      </c>
      <c r="F1853" s="12">
        <f>POWER(Systems!D22,2)</f>
        <v>9.2903040000000006E-2</v>
      </c>
      <c r="G1853" s="1" t="s">
        <v>39</v>
      </c>
      <c r="H1853" s="1" t="s">
        <v>1148</v>
      </c>
    </row>
    <row r="1854" spans="1:8" ht="16.5">
      <c r="A1854" s="1" t="s">
        <v>4822</v>
      </c>
      <c r="B1854" s="1" t="s">
        <v>26</v>
      </c>
      <c r="C1854" s="1" t="s">
        <v>3034</v>
      </c>
      <c r="D1854" s="1" t="s">
        <v>38</v>
      </c>
      <c r="E1854" s="12">
        <f>F1854</f>
        <v>2589988.1103360001</v>
      </c>
      <c r="F1854" s="12">
        <f>POWER(5280*Systems!D22,2)</f>
        <v>2589988.1103360001</v>
      </c>
      <c r="G1854" s="1" t="s">
        <v>39</v>
      </c>
      <c r="H1854" s="1" t="s">
        <v>1148</v>
      </c>
    </row>
    <row r="1855" spans="1:8" ht="16.5">
      <c r="A1855" s="1" t="s">
        <v>4823</v>
      </c>
      <c r="B1855" s="1" t="s">
        <v>601</v>
      </c>
      <c r="C1855" s="1" t="s">
        <v>3034</v>
      </c>
      <c r="D1855" s="1" t="s">
        <v>38</v>
      </c>
      <c r="E1855" s="12">
        <f>100*F1855</f>
        <v>9.2903040000000008</v>
      </c>
      <c r="F1855" s="12">
        <f>POWER(Systems!D22,2)</f>
        <v>9.2903040000000006E-2</v>
      </c>
      <c r="G1855" s="1" t="s">
        <v>39</v>
      </c>
      <c r="H1855" s="1" t="s">
        <v>1148</v>
      </c>
    </row>
    <row r="1856" spans="1:8" ht="16.5">
      <c r="A1856" s="1" t="s">
        <v>4453</v>
      </c>
      <c r="B1856" s="1" t="s">
        <v>6955</v>
      </c>
      <c r="C1856" s="1" t="s">
        <v>3034</v>
      </c>
      <c r="D1856" s="1" t="s">
        <v>38</v>
      </c>
      <c r="E1856" s="12">
        <f>F1856</f>
        <v>9.2903040000000006E-2</v>
      </c>
      <c r="F1856" s="12">
        <f>POWER(Systems!D22,2)</f>
        <v>9.2903040000000006E-2</v>
      </c>
      <c r="G1856" s="1" t="s">
        <v>39</v>
      </c>
      <c r="H1856" s="1" t="s">
        <v>1148</v>
      </c>
    </row>
    <row r="1857" spans="1:8" ht="16.5">
      <c r="A1857" s="1" t="s">
        <v>4824</v>
      </c>
      <c r="B1857" s="1" t="s">
        <v>4964</v>
      </c>
      <c r="C1857" s="1" t="s">
        <v>3034</v>
      </c>
      <c r="D1857" s="1" t="s">
        <v>38</v>
      </c>
      <c r="E1857" s="12">
        <f>9*F1857</f>
        <v>30869136</v>
      </c>
      <c r="F1857" s="12">
        <f>POWER('Physical Definitions'!E29,2)</f>
        <v>3429904</v>
      </c>
      <c r="G1857" s="1" t="s">
        <v>39</v>
      </c>
      <c r="H1857" s="1" t="s">
        <v>1148</v>
      </c>
    </row>
    <row r="1858" spans="1:8" ht="16.5">
      <c r="A1858" s="1" t="s">
        <v>4588</v>
      </c>
      <c r="B1858" s="1" t="s">
        <v>6956</v>
      </c>
      <c r="C1858" s="1" t="s">
        <v>3034</v>
      </c>
      <c r="D1858" s="1" t="s">
        <v>38</v>
      </c>
      <c r="E1858" s="12">
        <f>F1858</f>
        <v>6.4516000000000009E-4</v>
      </c>
      <c r="F1858" s="12">
        <f>POWER(Systems!D22/12,2)</f>
        <v>6.4516000000000009E-4</v>
      </c>
      <c r="G1858" s="1" t="s">
        <v>39</v>
      </c>
      <c r="H1858" s="1" t="s">
        <v>1148</v>
      </c>
    </row>
    <row r="1859" spans="1:8" ht="16.5">
      <c r="A1859" s="1" t="s">
        <v>4825</v>
      </c>
      <c r="B1859" s="1" t="s">
        <v>6293</v>
      </c>
      <c r="C1859" s="1" t="s">
        <v>3034</v>
      </c>
      <c r="D1859" s="1" t="s">
        <v>38</v>
      </c>
      <c r="E1859" s="12">
        <f>9*F1859</f>
        <v>23309892.993023999</v>
      </c>
      <c r="F1859" s="12">
        <f>POWER(5280*Systems!D22,2)</f>
        <v>2589988.1103360001</v>
      </c>
      <c r="G1859" s="1" t="s">
        <v>39</v>
      </c>
      <c r="H1859" s="1" t="s">
        <v>1148</v>
      </c>
    </row>
    <row r="1860" spans="1:8" ht="16.5">
      <c r="A1860" s="1" t="s">
        <v>4826</v>
      </c>
      <c r="B1860" s="1" t="s">
        <v>6969</v>
      </c>
      <c r="C1860" s="1" t="s">
        <v>3034</v>
      </c>
      <c r="D1860" s="1" t="s">
        <v>38</v>
      </c>
      <c r="E1860" s="12">
        <f>F1860</f>
        <v>2589988.1103360001</v>
      </c>
      <c r="F1860" s="12">
        <f>POWER(1760*3*Systems!D22,2)</f>
        <v>2589988.1103360001</v>
      </c>
      <c r="G1860" s="1" t="s">
        <v>39</v>
      </c>
      <c r="H1860" s="1" t="s">
        <v>1148</v>
      </c>
    </row>
    <row r="1861" spans="1:8" ht="16.5">
      <c r="A1861" s="1" t="s">
        <v>4830</v>
      </c>
      <c r="B1861" s="1" t="s">
        <v>4827</v>
      </c>
      <c r="C1861" s="1" t="s">
        <v>3034</v>
      </c>
      <c r="D1861" s="1" t="s">
        <v>38</v>
      </c>
      <c r="E1861" s="12">
        <f>F1861</f>
        <v>3442230.1134950402</v>
      </c>
      <c r="F1861" s="12">
        <f>POWER(1855.3248*SI!E3,2)</f>
        <v>3442230.1134950402</v>
      </c>
      <c r="G1861" s="1" t="s">
        <v>39</v>
      </c>
      <c r="H1861" s="1" t="s">
        <v>1148</v>
      </c>
    </row>
    <row r="1862" spans="1:8" ht="16.5">
      <c r="A1862" s="1" t="s">
        <v>4831</v>
      </c>
      <c r="B1862" s="1" t="s">
        <v>4828</v>
      </c>
      <c r="C1862" s="1" t="s">
        <v>3034</v>
      </c>
      <c r="D1862" s="1" t="s">
        <v>38</v>
      </c>
      <c r="E1862" s="12">
        <f>F1862</f>
        <v>2589988.1103360001</v>
      </c>
      <c r="F1862" s="12">
        <f>POWER(5280*Systems!D22,2)</f>
        <v>2589988.1103360001</v>
      </c>
      <c r="G1862" s="1" t="s">
        <v>39</v>
      </c>
      <c r="H1862" s="1" t="s">
        <v>1148</v>
      </c>
    </row>
    <row r="1863" spans="1:8" ht="16.5">
      <c r="A1863" s="1" t="s">
        <v>4832</v>
      </c>
      <c r="B1863" s="1" t="s">
        <v>4829</v>
      </c>
      <c r="C1863" s="1" t="s">
        <v>3034</v>
      </c>
      <c r="D1863" s="1" t="s">
        <v>38</v>
      </c>
      <c r="E1863" s="12">
        <f>F1863</f>
        <v>3442203.3968697605</v>
      </c>
      <c r="F1863" s="12">
        <f>POWER(6087*Systems!D22,2)</f>
        <v>3442203.3968697605</v>
      </c>
      <c r="G1863" s="1" t="s">
        <v>39</v>
      </c>
      <c r="H1863" s="1" t="s">
        <v>1148</v>
      </c>
    </row>
    <row r="1864" spans="1:8" ht="16.5">
      <c r="A1864" s="1" t="s">
        <v>4833</v>
      </c>
      <c r="B1864" s="1" t="s">
        <v>26</v>
      </c>
      <c r="C1864" s="1" t="s">
        <v>3034</v>
      </c>
      <c r="D1864" s="1" t="s">
        <v>38</v>
      </c>
      <c r="E1864" s="12">
        <f>272.25*F1864</f>
        <v>25.292852640000003</v>
      </c>
      <c r="F1864" s="12">
        <f>POWER(Systems!D22,2)</f>
        <v>9.2903040000000006E-2</v>
      </c>
      <c r="G1864" s="1" t="s">
        <v>39</v>
      </c>
      <c r="H1864" s="1" t="s">
        <v>1148</v>
      </c>
    </row>
    <row r="1865" spans="1:8" ht="16.5">
      <c r="A1865" s="1" t="s">
        <v>4834</v>
      </c>
      <c r="B1865" s="1" t="s">
        <v>26</v>
      </c>
      <c r="C1865" s="1" t="s">
        <v>3034</v>
      </c>
      <c r="D1865" s="1" t="s">
        <v>38</v>
      </c>
      <c r="E1865" s="12">
        <f>272.25*F1865</f>
        <v>25.292852640000003</v>
      </c>
      <c r="F1865" s="12">
        <f>POWER(Systems!D22,2)</f>
        <v>9.2903040000000006E-2</v>
      </c>
      <c r="G1865" s="1" t="s">
        <v>39</v>
      </c>
      <c r="H1865" s="1" t="s">
        <v>1148</v>
      </c>
    </row>
    <row r="1866" spans="1:8" ht="16.5">
      <c r="A1866" s="1" t="s">
        <v>4835</v>
      </c>
      <c r="B1866" s="1" t="s">
        <v>6987</v>
      </c>
      <c r="C1866" s="1" t="s">
        <v>3034</v>
      </c>
      <c r="D1866" s="1" t="s">
        <v>38</v>
      </c>
      <c r="E1866" s="12">
        <f>272.25*F1866</f>
        <v>25.292852640000003</v>
      </c>
      <c r="F1866" s="12">
        <f>POWER(Systems!D22,2)</f>
        <v>9.2903040000000006E-2</v>
      </c>
      <c r="G1866" s="1" t="s">
        <v>39</v>
      </c>
      <c r="H1866" s="1" t="s">
        <v>1148</v>
      </c>
    </row>
    <row r="1867" spans="1:8" ht="16.5">
      <c r="A1867" s="1" t="s">
        <v>4595</v>
      </c>
      <c r="B1867" s="1" t="s">
        <v>6970</v>
      </c>
      <c r="C1867" s="1" t="s">
        <v>3034</v>
      </c>
      <c r="D1867" s="1" t="s">
        <v>38</v>
      </c>
      <c r="E1867" s="12">
        <f>F1867</f>
        <v>0.83612736000000021</v>
      </c>
      <c r="F1867" s="12">
        <f>POWER(3*Systems!D22,2)</f>
        <v>0.83612736000000021</v>
      </c>
      <c r="G1867" s="1" t="s">
        <v>39</v>
      </c>
      <c r="H1867" s="1" t="s">
        <v>1148</v>
      </c>
    </row>
    <row r="1868" spans="1:8" ht="21.9" customHeight="1">
      <c r="A1868" s="1" t="s">
        <v>4836</v>
      </c>
      <c r="B1868" s="1" t="s">
        <v>4837</v>
      </c>
      <c r="C1868" s="1" t="s">
        <v>3034</v>
      </c>
      <c r="D1868" s="1" t="s">
        <v>38</v>
      </c>
      <c r="E1868" s="12">
        <f>F1868</f>
        <v>0.83612736000000021</v>
      </c>
      <c r="F1868" s="12">
        <f>POWER(3*Systems!D22,2)</f>
        <v>0.83612736000000021</v>
      </c>
      <c r="G1868" s="1" t="s">
        <v>39</v>
      </c>
      <c r="H1868" s="1" t="s">
        <v>1148</v>
      </c>
    </row>
    <row r="1869" spans="1:8" ht="16.5">
      <c r="A1869" s="1" t="s">
        <v>1468</v>
      </c>
      <c r="B1869" s="1" t="s">
        <v>6966</v>
      </c>
      <c r="C1869" s="1" t="s">
        <v>2935</v>
      </c>
      <c r="D1869" s="1" t="s">
        <v>32</v>
      </c>
      <c r="E1869" s="12">
        <f>F1869/16</f>
        <v>2.8413074999999999E-4</v>
      </c>
      <c r="F1869" s="12">
        <f>Systems!P22</f>
        <v>4.5460919999999998E-3</v>
      </c>
      <c r="G1869" s="1" t="s">
        <v>33</v>
      </c>
      <c r="H1869" s="1" t="s">
        <v>1148</v>
      </c>
    </row>
    <row r="1870" spans="1:8" ht="16.5">
      <c r="A1870" s="1" t="s">
        <v>4839</v>
      </c>
      <c r="B1870" s="1" t="s">
        <v>4838</v>
      </c>
      <c r="C1870" s="1" t="s">
        <v>2935</v>
      </c>
      <c r="D1870" s="1" t="s">
        <v>32</v>
      </c>
      <c r="E1870" s="12">
        <f>F1870/160</f>
        <v>2.8413074999999999E-5</v>
      </c>
      <c r="F1870" s="12">
        <f>Systems!P22</f>
        <v>4.5460919999999998E-3</v>
      </c>
      <c r="G1870" s="1" t="s">
        <v>33</v>
      </c>
      <c r="H1870" s="1" t="s">
        <v>1148</v>
      </c>
    </row>
    <row r="1871" spans="1:8" ht="16.5">
      <c r="A1871" s="1" t="s">
        <v>4840</v>
      </c>
      <c r="B1871" s="1" t="s">
        <v>4841</v>
      </c>
      <c r="C1871" s="1" t="s">
        <v>2935</v>
      </c>
      <c r="D1871" s="1" t="s">
        <v>32</v>
      </c>
      <c r="E1871" s="12">
        <f>F1871/3840</f>
        <v>1.183878125E-6</v>
      </c>
      <c r="F1871" s="12">
        <f>Systems!P22</f>
        <v>4.5460919999999998E-3</v>
      </c>
      <c r="G1871" s="1" t="s">
        <v>33</v>
      </c>
      <c r="H1871" s="1" t="s">
        <v>1148</v>
      </c>
    </row>
    <row r="1872" spans="1:8" ht="16.5">
      <c r="A1872" s="1" t="s">
        <v>4843</v>
      </c>
      <c r="B1872" s="1" t="s">
        <v>4842</v>
      </c>
      <c r="C1872" s="1" t="s">
        <v>2935</v>
      </c>
      <c r="D1872" s="1" t="s">
        <v>32</v>
      </c>
      <c r="E1872" s="12">
        <f>F1872/1280</f>
        <v>3.5516343749999999E-6</v>
      </c>
      <c r="F1872" s="12">
        <f>Systems!P22</f>
        <v>4.5460919999999998E-3</v>
      </c>
      <c r="G1872" s="1" t="s">
        <v>33</v>
      </c>
      <c r="H1872" s="1" t="s">
        <v>1148</v>
      </c>
    </row>
    <row r="1873" spans="1:8" ht="16.5">
      <c r="A1873" s="1" t="s">
        <v>818</v>
      </c>
      <c r="B1873" s="1" t="s">
        <v>6963</v>
      </c>
      <c r="C1873" s="1" t="s">
        <v>2935</v>
      </c>
      <c r="D1873" s="1" t="s">
        <v>32</v>
      </c>
      <c r="E1873" s="12">
        <f>F1873</f>
        <v>4.5460919999999998E-3</v>
      </c>
      <c r="F1873" s="12">
        <f>Systems!P22</f>
        <v>4.5460919999999998E-3</v>
      </c>
      <c r="G1873" s="1" t="s">
        <v>33</v>
      </c>
      <c r="H1873" s="1" t="s">
        <v>1148</v>
      </c>
    </row>
    <row r="1874" spans="1:8" ht="16.5">
      <c r="A1874" s="1" t="s">
        <v>1679</v>
      </c>
      <c r="B1874" s="1" t="s">
        <v>1680</v>
      </c>
      <c r="C1874" s="1" t="s">
        <v>2935</v>
      </c>
      <c r="D1874" s="1" t="s">
        <v>32</v>
      </c>
      <c r="E1874" s="12">
        <f>F1874/32</f>
        <v>1.42065375E-4</v>
      </c>
      <c r="F1874" s="12">
        <f>Systems!P22</f>
        <v>4.5460919999999998E-3</v>
      </c>
      <c r="G1874" s="1" t="s">
        <v>33</v>
      </c>
      <c r="H1874" s="1" t="s">
        <v>1148</v>
      </c>
    </row>
    <row r="1875" spans="1:8" ht="16.5">
      <c r="A1875" s="1" t="s">
        <v>2084</v>
      </c>
      <c r="B1875" s="1" t="s">
        <v>2945</v>
      </c>
      <c r="C1875" s="1" t="s">
        <v>2935</v>
      </c>
      <c r="D1875" s="1" t="s">
        <v>32</v>
      </c>
      <c r="E1875" s="12">
        <f>F1875/76800</f>
        <v>5.9193906249999998E-8</v>
      </c>
      <c r="F1875" s="12">
        <f>Systems!P22</f>
        <v>4.5460919999999998E-3</v>
      </c>
      <c r="G1875" s="1" t="s">
        <v>33</v>
      </c>
      <c r="H1875" s="1" t="s">
        <v>1148</v>
      </c>
    </row>
    <row r="1876" spans="1:8" ht="16.5">
      <c r="A1876" s="1" t="s">
        <v>2275</v>
      </c>
      <c r="B1876" s="1" t="s">
        <v>6965</v>
      </c>
      <c r="C1876" s="1" t="s">
        <v>2935</v>
      </c>
      <c r="D1876" s="1" t="s">
        <v>32</v>
      </c>
      <c r="E1876" s="12">
        <f>F1876/8</f>
        <v>5.6826149999999998E-4</v>
      </c>
      <c r="F1876" s="12">
        <f>Systems!P22</f>
        <v>4.5460919999999998E-3</v>
      </c>
      <c r="G1876" s="1" t="s">
        <v>33</v>
      </c>
      <c r="H1876" s="1" t="s">
        <v>1148</v>
      </c>
    </row>
    <row r="1877" spans="1:8" ht="16.5">
      <c r="A1877" s="1" t="s">
        <v>842</v>
      </c>
      <c r="B1877" s="1" t="s">
        <v>6964</v>
      </c>
      <c r="C1877" s="1" t="s">
        <v>2935</v>
      </c>
      <c r="D1877" s="1" t="s">
        <v>32</v>
      </c>
      <c r="E1877" s="12">
        <f>F1877/4</f>
        <v>1.136523E-3</v>
      </c>
      <c r="F1877" s="12">
        <f>Systems!P22</f>
        <v>4.5460919999999998E-3</v>
      </c>
      <c r="G1877" s="1" t="s">
        <v>33</v>
      </c>
      <c r="H1877" s="1" t="s">
        <v>1148</v>
      </c>
    </row>
    <row r="1878" spans="1:8" ht="16.5">
      <c r="A1878" s="1" t="s">
        <v>4454</v>
      </c>
      <c r="B1878" s="1" t="s">
        <v>461</v>
      </c>
      <c r="C1878" s="1" t="s">
        <v>2936</v>
      </c>
      <c r="D1878" s="1" t="s">
        <v>32</v>
      </c>
      <c r="E1878" s="12">
        <f>F1878</f>
        <v>1</v>
      </c>
      <c r="F1878" s="12">
        <f>POWER(SI!E3,3)</f>
        <v>1</v>
      </c>
      <c r="G1878" s="1" t="s">
        <v>33</v>
      </c>
      <c r="H1878" s="1" t="s">
        <v>1148</v>
      </c>
    </row>
    <row r="1879" spans="1:8" ht="16.5">
      <c r="A1879" s="1" t="s">
        <v>4844</v>
      </c>
      <c r="B1879" s="1" t="s">
        <v>2987</v>
      </c>
      <c r="C1879" s="1" t="s">
        <v>2936</v>
      </c>
      <c r="D1879" s="1" t="s">
        <v>32</v>
      </c>
      <c r="E1879" s="12">
        <f>F1879/12</f>
        <v>2.3597372160000002E-3</v>
      </c>
      <c r="F1879" s="12">
        <f>POWER(Systems!D22,3)</f>
        <v>2.8316846592000004E-2</v>
      </c>
      <c r="G1879" s="1" t="s">
        <v>33</v>
      </c>
      <c r="H1879" s="1" t="s">
        <v>1148</v>
      </c>
    </row>
    <row r="1880" spans="1:8" ht="16.5">
      <c r="A1880" s="1" t="s">
        <v>1323</v>
      </c>
      <c r="B1880" s="1" t="s">
        <v>26</v>
      </c>
      <c r="C1880" s="1" t="s">
        <v>2936</v>
      </c>
      <c r="D1880" s="1" t="s">
        <v>32</v>
      </c>
      <c r="E1880" s="12">
        <f>8*F1880</f>
        <v>3.6368735999999999E-2</v>
      </c>
      <c r="F1880" s="12">
        <f>Systems!T22</f>
        <v>4.5460919999999998E-3</v>
      </c>
      <c r="G1880" s="1" t="s">
        <v>33</v>
      </c>
      <c r="H1880" s="1" t="s">
        <v>1148</v>
      </c>
    </row>
    <row r="1881" spans="1:8" ht="16.5">
      <c r="A1881" s="1" t="s">
        <v>1451</v>
      </c>
      <c r="B1881" s="1" t="s">
        <v>4845</v>
      </c>
      <c r="C1881" s="1" t="s">
        <v>2936</v>
      </c>
      <c r="D1881" s="1" t="s">
        <v>32</v>
      </c>
      <c r="E1881" s="12">
        <f>F1881</f>
        <v>4168181825.4405799</v>
      </c>
      <c r="F1881" s="12">
        <f>POWER(1760*3*Systems!D22,3)</f>
        <v>4168181825.4405799</v>
      </c>
      <c r="G1881" s="1" t="s">
        <v>33</v>
      </c>
      <c r="H1881" s="1" t="s">
        <v>1148</v>
      </c>
    </row>
    <row r="1882" spans="1:8" ht="16.5">
      <c r="A1882" s="1" t="s">
        <v>4589</v>
      </c>
      <c r="B1882" s="1" t="s">
        <v>6959</v>
      </c>
      <c r="C1882" s="1" t="s">
        <v>2936</v>
      </c>
      <c r="D1882" s="1" t="s">
        <v>32</v>
      </c>
      <c r="E1882" s="12">
        <f>F1882</f>
        <v>2.8316846592000004E-2</v>
      </c>
      <c r="F1882" s="12">
        <f>POWER(Systems!D22,3)</f>
        <v>2.8316846592000004E-2</v>
      </c>
      <c r="G1882" s="1" t="s">
        <v>33</v>
      </c>
      <c r="H1882" s="1" t="s">
        <v>1148</v>
      </c>
    </row>
    <row r="1883" spans="1:8" ht="16.5">
      <c r="A1883" s="1" t="s">
        <v>4594</v>
      </c>
      <c r="B1883" s="1" t="s">
        <v>6960</v>
      </c>
      <c r="C1883" s="1" t="s">
        <v>2936</v>
      </c>
      <c r="D1883" s="1" t="s">
        <v>32</v>
      </c>
      <c r="E1883" s="12">
        <f>F1883</f>
        <v>1.6387064000000003E-5</v>
      </c>
      <c r="F1883" s="12">
        <f>POWER(Systems!D22/12,3)</f>
        <v>1.6387064000000003E-5</v>
      </c>
      <c r="G1883" s="1" t="s">
        <v>33</v>
      </c>
      <c r="H1883" s="1" t="s">
        <v>1148</v>
      </c>
    </row>
    <row r="1884" spans="1:8" ht="16.5">
      <c r="A1884" s="1" t="s">
        <v>4597</v>
      </c>
      <c r="B1884" s="1" t="s">
        <v>6961</v>
      </c>
      <c r="C1884" s="1" t="s">
        <v>2936</v>
      </c>
      <c r="D1884" s="1" t="s">
        <v>32</v>
      </c>
      <c r="E1884" s="12">
        <f>F1884</f>
        <v>0.76455485798400025</v>
      </c>
      <c r="F1884" s="12">
        <f>POWER(3*Systems!D22,3)</f>
        <v>0.76455485798400025</v>
      </c>
      <c r="G1884" s="1" t="s">
        <v>33</v>
      </c>
      <c r="H1884" s="1" t="s">
        <v>1148</v>
      </c>
    </row>
    <row r="1885" spans="1:8" ht="16.5">
      <c r="A1885" s="1" t="s">
        <v>4846</v>
      </c>
      <c r="B1885" s="1" t="s">
        <v>207</v>
      </c>
      <c r="C1885" s="1" t="s">
        <v>2936</v>
      </c>
      <c r="D1885" s="1" t="s">
        <v>32</v>
      </c>
      <c r="E1885" s="12">
        <f>40*8*8*F1885</f>
        <v>72.491127275520014</v>
      </c>
      <c r="F1885" s="12">
        <f>POWER(Systems!D22,3)</f>
        <v>2.8316846592000004E-2</v>
      </c>
      <c r="G1885" s="1" t="s">
        <v>33</v>
      </c>
      <c r="H1885" s="1" t="s">
        <v>1148</v>
      </c>
    </row>
    <row r="1886" spans="1:8" ht="16.5">
      <c r="A1886" s="1" t="s">
        <v>4847</v>
      </c>
      <c r="B1886" s="1" t="s">
        <v>26</v>
      </c>
      <c r="C1886" s="1" t="s">
        <v>2936</v>
      </c>
      <c r="D1886" s="1" t="s">
        <v>32</v>
      </c>
      <c r="E1886" s="12">
        <f>40*F1886</f>
        <v>1.1326738636800002</v>
      </c>
      <c r="F1886" s="12">
        <f>POWER(Systems!D22,3)</f>
        <v>2.8316846592000004E-2</v>
      </c>
      <c r="G1886" s="1" t="s">
        <v>33</v>
      </c>
      <c r="H1886" s="1" t="s">
        <v>1148</v>
      </c>
    </row>
    <row r="1887" spans="1:8" ht="16.5">
      <c r="A1887" s="1" t="s">
        <v>2241</v>
      </c>
      <c r="B1887" s="1" t="s">
        <v>26</v>
      </c>
      <c r="C1887" s="1" t="s">
        <v>2936</v>
      </c>
      <c r="D1887" s="1" t="s">
        <v>32</v>
      </c>
      <c r="E1887" s="12">
        <f>2*F1887</f>
        <v>9.0921839999999997E-3</v>
      </c>
      <c r="F1887" s="12">
        <f>Systems!T22</f>
        <v>4.5460919999999998E-3</v>
      </c>
      <c r="G1887" s="1" t="s">
        <v>33</v>
      </c>
      <c r="H1887" s="1" t="s">
        <v>1148</v>
      </c>
    </row>
    <row r="1888" spans="1:8" ht="16.5">
      <c r="A1888" s="1" t="s">
        <v>4848</v>
      </c>
      <c r="B1888" s="1" t="s">
        <v>26</v>
      </c>
      <c r="C1888" s="1" t="s">
        <v>2936</v>
      </c>
      <c r="D1888" s="1" t="s">
        <v>32</v>
      </c>
      <c r="E1888" s="12">
        <f>24.75*F1888</f>
        <v>0.70084195315200015</v>
      </c>
      <c r="F1888" s="12">
        <f>POWER(Systems!D22,3)</f>
        <v>2.8316846592000004E-2</v>
      </c>
      <c r="G1888" s="1" t="s">
        <v>33</v>
      </c>
      <c r="H1888" s="1" t="s">
        <v>1148</v>
      </c>
    </row>
    <row r="1889" spans="1:8" ht="16.5">
      <c r="A1889" s="1" t="s">
        <v>1902</v>
      </c>
      <c r="B1889" s="1" t="s">
        <v>26</v>
      </c>
      <c r="C1889" s="1" t="s">
        <v>2936</v>
      </c>
      <c r="D1889" s="1" t="s">
        <v>32</v>
      </c>
      <c r="E1889" s="12">
        <f>64*F1889</f>
        <v>0.29094988799999999</v>
      </c>
      <c r="F1889" s="12">
        <f>Systems!T22</f>
        <v>4.5460919999999998E-3</v>
      </c>
      <c r="G1889" s="1" t="s">
        <v>33</v>
      </c>
      <c r="H1889" s="1" t="s">
        <v>1148</v>
      </c>
    </row>
    <row r="1890" spans="1:8" ht="16.5">
      <c r="A1890" s="1" t="s">
        <v>4849</v>
      </c>
      <c r="B1890" s="1" t="s">
        <v>4850</v>
      </c>
      <c r="C1890" s="1" t="s">
        <v>2936</v>
      </c>
      <c r="D1890" s="1" t="s">
        <v>32</v>
      </c>
      <c r="E1890" s="12">
        <f>F1890</f>
        <v>2.8316846592000004E-2</v>
      </c>
      <c r="F1890" s="12">
        <f>POWER(Systems!D22,3)</f>
        <v>2.8316846592000004E-2</v>
      </c>
      <c r="G1890" s="1" t="s">
        <v>33</v>
      </c>
      <c r="H1890" s="1" t="s">
        <v>1148</v>
      </c>
    </row>
    <row r="1891" spans="1:8" ht="16.5">
      <c r="A1891" s="1" t="s">
        <v>4851</v>
      </c>
      <c r="B1891" s="1" t="s">
        <v>4852</v>
      </c>
      <c r="C1891" s="1" t="s">
        <v>2936</v>
      </c>
      <c r="D1891" s="1" t="s">
        <v>32</v>
      </c>
      <c r="E1891" s="12">
        <f>15*F1891</f>
        <v>1.5000000000000002E-5</v>
      </c>
      <c r="F1891" s="12">
        <f>POWER('Physical Definitions'!E22,3)</f>
        <v>1.0000000000000002E-6</v>
      </c>
      <c r="G1891" s="1" t="s">
        <v>33</v>
      </c>
      <c r="H1891" s="1" t="s">
        <v>1148</v>
      </c>
    </row>
    <row r="1892" spans="1:8" ht="16.5">
      <c r="A1892" s="1" t="s">
        <v>611</v>
      </c>
      <c r="B1892" s="1" t="s">
        <v>26</v>
      </c>
      <c r="C1892" s="1" t="s">
        <v>2936</v>
      </c>
      <c r="D1892" s="1" t="s">
        <v>32</v>
      </c>
      <c r="E1892" s="12">
        <f>165*F1892</f>
        <v>4.6722796876800006</v>
      </c>
      <c r="F1892" s="12">
        <f>POWER(Systems!D22,3)</f>
        <v>2.8316846592000004E-2</v>
      </c>
      <c r="G1892" s="1" t="s">
        <v>33</v>
      </c>
      <c r="H1892" s="1" t="s">
        <v>1148</v>
      </c>
    </row>
    <row r="1893" spans="1:8" ht="16.5">
      <c r="A1893" s="1" t="s">
        <v>4853</v>
      </c>
      <c r="B1893" s="1" t="s">
        <v>413</v>
      </c>
      <c r="C1893" s="1" t="s">
        <v>2936</v>
      </c>
      <c r="D1893" s="1" t="s">
        <v>32</v>
      </c>
      <c r="E1893" s="12">
        <f>1280*F1893</f>
        <v>36.245563637760007</v>
      </c>
      <c r="F1893" s="12">
        <f>POWER(Systems!D22,3)</f>
        <v>2.8316846592000004E-2</v>
      </c>
      <c r="G1893" s="1" t="s">
        <v>33</v>
      </c>
      <c r="H1893" s="1" t="s">
        <v>1148</v>
      </c>
    </row>
    <row r="1894" spans="1:8">
      <c r="A1894" s="1" t="s">
        <v>1298</v>
      </c>
      <c r="B1894" s="1" t="s">
        <v>26</v>
      </c>
      <c r="C1894" s="1" t="s">
        <v>17</v>
      </c>
      <c r="D1894" s="1" t="s">
        <v>20</v>
      </c>
      <c r="E1894" s="12">
        <f>F1894/921600</f>
        <v>2.1701388888888891E-10</v>
      </c>
      <c r="F1894" s="12">
        <f>'Physical Definitions'!E14</f>
        <v>2.0000000000000001E-4</v>
      </c>
      <c r="G1894" s="1" t="s">
        <v>23</v>
      </c>
      <c r="H1894" s="1" t="s">
        <v>1148</v>
      </c>
    </row>
    <row r="1895" spans="1:8">
      <c r="A1895" s="1" t="s">
        <v>1373</v>
      </c>
      <c r="B1895" s="1" t="s">
        <v>6294</v>
      </c>
      <c r="C1895" s="1" t="s">
        <v>17</v>
      </c>
      <c r="D1895" s="1" t="s">
        <v>20</v>
      </c>
      <c r="E1895" s="12">
        <f>100*F1895</f>
        <v>45.359237</v>
      </c>
      <c r="F1895" s="12">
        <f>Systems!L6</f>
        <v>0.45359237000000002</v>
      </c>
      <c r="G1895" s="1" t="s">
        <v>23</v>
      </c>
      <c r="H1895" s="1" t="s">
        <v>1148</v>
      </c>
    </row>
    <row r="1896" spans="1:8">
      <c r="A1896" s="1" t="s">
        <v>1376</v>
      </c>
      <c r="B1896" s="1" t="s">
        <v>26</v>
      </c>
      <c r="C1896" s="1" t="s">
        <v>17</v>
      </c>
      <c r="D1896" s="1" t="s">
        <v>20</v>
      </c>
      <c r="E1896" s="12">
        <f>100*F1896</f>
        <v>45.359237</v>
      </c>
      <c r="F1896" s="12">
        <f>Systems!L6</f>
        <v>0.45359237000000002</v>
      </c>
      <c r="G1896" s="1" t="s">
        <v>23</v>
      </c>
      <c r="H1896" s="1" t="s">
        <v>1148</v>
      </c>
    </row>
    <row r="1897" spans="1:8">
      <c r="A1897" s="1" t="s">
        <v>1551</v>
      </c>
      <c r="B1897" s="1" t="s">
        <v>4112</v>
      </c>
      <c r="C1897" s="1" t="s">
        <v>17</v>
      </c>
      <c r="D1897" s="1" t="s">
        <v>20</v>
      </c>
      <c r="E1897" s="12">
        <f>F1897/256</f>
        <v>1.7718451953125001E-3</v>
      </c>
      <c r="F1897" s="12">
        <f>Systems!L6</f>
        <v>0.45359237000000002</v>
      </c>
      <c r="G1897" s="1" t="s">
        <v>23</v>
      </c>
      <c r="H1897" s="1" t="s">
        <v>1148</v>
      </c>
    </row>
    <row r="1898" spans="1:8">
      <c r="A1898" s="1" t="s">
        <v>4854</v>
      </c>
      <c r="B1898" s="1" t="s">
        <v>4855</v>
      </c>
      <c r="C1898" s="1" t="s">
        <v>17</v>
      </c>
      <c r="D1898" s="1" t="s">
        <v>20</v>
      </c>
      <c r="E1898" s="12">
        <f>F1898/96</f>
        <v>3.8879346000000002E-3</v>
      </c>
      <c r="F1898" s="12">
        <f>Systems!L5</f>
        <v>0.37324172160000002</v>
      </c>
      <c r="G1898" s="1" t="s">
        <v>23</v>
      </c>
      <c r="H1898" s="1" t="s">
        <v>1148</v>
      </c>
    </row>
    <row r="1899" spans="1:8">
      <c r="A1899" s="1" t="s">
        <v>4856</v>
      </c>
      <c r="B1899" s="1" t="s">
        <v>4113</v>
      </c>
      <c r="C1899" s="1" t="s">
        <v>17</v>
      </c>
      <c r="D1899" s="1" t="s">
        <v>20</v>
      </c>
      <c r="E1899" s="12">
        <f>F1899/8</f>
        <v>3.8879346000000002E-3</v>
      </c>
      <c r="F1899" s="12">
        <f>Systems!L21</f>
        <v>3.1103476800000002E-2</v>
      </c>
      <c r="G1899" s="1" t="s">
        <v>23</v>
      </c>
      <c r="H1899" s="1" t="s">
        <v>1148</v>
      </c>
    </row>
    <row r="1900" spans="1:8">
      <c r="A1900" s="1" t="s">
        <v>1558</v>
      </c>
      <c r="B1900" s="1" t="s">
        <v>26</v>
      </c>
      <c r="C1900" s="1" t="s">
        <v>17</v>
      </c>
      <c r="D1900" s="1" t="s">
        <v>20</v>
      </c>
      <c r="E1900" s="12">
        <f>F1900/480</f>
        <v>1.0416666666666667E-7</v>
      </c>
      <c r="F1900" s="12">
        <f>0.00005</f>
        <v>5.0000000000000002E-5</v>
      </c>
      <c r="G1900" s="1" t="s">
        <v>23</v>
      </c>
      <c r="H1900" s="1" t="s">
        <v>1148</v>
      </c>
    </row>
    <row r="1901" spans="1:8">
      <c r="A1901" s="1" t="s">
        <v>4857</v>
      </c>
      <c r="B1901" s="1" t="s">
        <v>4858</v>
      </c>
      <c r="C1901" s="1" t="s">
        <v>17</v>
      </c>
      <c r="D1901" s="1" t="s">
        <v>20</v>
      </c>
      <c r="E1901" s="12">
        <f>76*F1901</f>
        <v>34.473020120000001</v>
      </c>
      <c r="F1901" s="12">
        <f>Systems!L6</f>
        <v>0.45359237000000002</v>
      </c>
      <c r="G1901" s="1" t="s">
        <v>23</v>
      </c>
      <c r="H1901" s="1" t="s">
        <v>1148</v>
      </c>
    </row>
    <row r="1902" spans="1:8">
      <c r="A1902" s="1" t="s">
        <v>1538</v>
      </c>
      <c r="B1902" s="1" t="s">
        <v>226</v>
      </c>
      <c r="C1902" s="1" t="s">
        <v>17</v>
      </c>
      <c r="D1902" s="1" t="s">
        <v>20</v>
      </c>
      <c r="E1902" s="12">
        <f>F1902/7000</f>
        <v>6.4798910000000008E-5</v>
      </c>
      <c r="F1902" s="12">
        <f>Systems!L6</f>
        <v>0.45359237000000002</v>
      </c>
      <c r="G1902" s="1" t="s">
        <v>23</v>
      </c>
      <c r="H1902" s="1" t="s">
        <v>1148</v>
      </c>
    </row>
    <row r="1903" spans="1:8">
      <c r="A1903" s="1" t="s">
        <v>4859</v>
      </c>
      <c r="B1903" s="1" t="s">
        <v>4860</v>
      </c>
      <c r="C1903" s="1" t="s">
        <v>17</v>
      </c>
      <c r="D1903" s="1" t="s">
        <v>20</v>
      </c>
      <c r="E1903" s="12">
        <f>F1903/5760</f>
        <v>6.4798910000000008E-5</v>
      </c>
      <c r="F1903" s="12">
        <f>Systems!L5</f>
        <v>0.37324172160000002</v>
      </c>
      <c r="G1903" s="1" t="s">
        <v>23</v>
      </c>
      <c r="H1903" s="1" t="s">
        <v>1148</v>
      </c>
    </row>
    <row r="1904" spans="1:8">
      <c r="A1904" s="1" t="s">
        <v>4862</v>
      </c>
      <c r="B1904" s="1" t="s">
        <v>4861</v>
      </c>
      <c r="C1904" s="1" t="s">
        <v>17</v>
      </c>
      <c r="D1904" s="1" t="s">
        <v>20</v>
      </c>
      <c r="E1904" s="12">
        <f>12*F1904/5760</f>
        <v>6.4798910000000008E-5</v>
      </c>
      <c r="F1904" s="12">
        <f>Systems!L21</f>
        <v>3.1103476800000002E-2</v>
      </c>
      <c r="G1904" s="1" t="s">
        <v>23</v>
      </c>
      <c r="H1904" s="1" t="s">
        <v>1148</v>
      </c>
    </row>
    <row r="1905" spans="1:8">
      <c r="A1905" s="1" t="s">
        <v>1761</v>
      </c>
      <c r="B1905" s="1" t="s">
        <v>26</v>
      </c>
      <c r="C1905" s="1" t="s">
        <v>17</v>
      </c>
      <c r="D1905" s="1" t="s">
        <v>20</v>
      </c>
      <c r="E1905" s="12">
        <f>112*F1905</f>
        <v>50.802345440000003</v>
      </c>
      <c r="F1905" s="12">
        <f>Systems!L6</f>
        <v>0.45359237000000002</v>
      </c>
      <c r="G1905" s="1" t="s">
        <v>23</v>
      </c>
      <c r="H1905" s="1" t="s">
        <v>1148</v>
      </c>
    </row>
    <row r="1906" spans="1:8">
      <c r="A1906" s="1" t="s">
        <v>1849</v>
      </c>
      <c r="B1906" s="1" t="s">
        <v>26</v>
      </c>
      <c r="C1906" s="1" t="s">
        <v>17</v>
      </c>
      <c r="D1906" s="1" t="s">
        <v>20</v>
      </c>
      <c r="E1906" s="12">
        <f>100*F1906</f>
        <v>45.359237</v>
      </c>
      <c r="F1906" s="12">
        <f>Systems!L6</f>
        <v>0.45359237000000002</v>
      </c>
      <c r="G1906" s="1" t="s">
        <v>23</v>
      </c>
      <c r="H1906" s="1" t="s">
        <v>1148</v>
      </c>
    </row>
    <row r="1907" spans="1:8">
      <c r="A1907" s="1" t="s">
        <v>4863</v>
      </c>
      <c r="B1907" s="1" t="s">
        <v>4864</v>
      </c>
      <c r="C1907" s="1" t="s">
        <v>17</v>
      </c>
      <c r="D1907" s="1" t="s">
        <v>20</v>
      </c>
      <c r="E1907" s="12">
        <f>2240*F1907</f>
        <v>1016.0469088000001</v>
      </c>
      <c r="F1907" s="12">
        <f>Systems!L6</f>
        <v>0.45359237000000002</v>
      </c>
      <c r="G1907" s="1" t="s">
        <v>23</v>
      </c>
      <c r="H1907" s="1" t="s">
        <v>1148</v>
      </c>
    </row>
    <row r="1908" spans="1:8">
      <c r="A1908" s="1" t="s">
        <v>2090</v>
      </c>
      <c r="B1908" s="1" t="s">
        <v>26</v>
      </c>
      <c r="C1908" s="1" t="s">
        <v>17</v>
      </c>
      <c r="D1908" s="1" t="s">
        <v>20</v>
      </c>
      <c r="E1908" s="12">
        <f>0.0000025*F1908</f>
        <v>2.5000000000000002E-6</v>
      </c>
      <c r="F1908" s="12">
        <f>SI!E2</f>
        <v>1</v>
      </c>
      <c r="G1908" s="1" t="s">
        <v>23</v>
      </c>
      <c r="H1908" s="1" t="s">
        <v>1148</v>
      </c>
    </row>
    <row r="1909" spans="1:8">
      <c r="A1909" s="1" t="s">
        <v>564</v>
      </c>
      <c r="C1909" s="1" t="s">
        <v>17</v>
      </c>
      <c r="D1909" s="1" t="s">
        <v>20</v>
      </c>
      <c r="E1909" s="12">
        <f>0.025*F1909</f>
        <v>2.5000000000000001E-2</v>
      </c>
      <c r="F1909" s="12">
        <f>SI!E2</f>
        <v>1</v>
      </c>
      <c r="G1909" s="1" t="s">
        <v>23</v>
      </c>
      <c r="H1909" s="1" t="s">
        <v>1148</v>
      </c>
    </row>
    <row r="1910" spans="1:8">
      <c r="A1910" s="1" t="s">
        <v>957</v>
      </c>
      <c r="B1910" s="1" t="s">
        <v>6968</v>
      </c>
      <c r="C1910" s="1" t="s">
        <v>17</v>
      </c>
      <c r="D1910" s="1" t="s">
        <v>20</v>
      </c>
      <c r="E1910" s="12">
        <f>F1910</f>
        <v>2.8349523125000001E-2</v>
      </c>
      <c r="F1910" s="12">
        <f>Systems!L6/16</f>
        <v>2.8349523125000001E-2</v>
      </c>
      <c r="G1910" s="1" t="s">
        <v>23</v>
      </c>
      <c r="H1910" s="1" t="s">
        <v>1148</v>
      </c>
    </row>
    <row r="1911" spans="1:8">
      <c r="A1911" s="1" t="s">
        <v>4865</v>
      </c>
      <c r="B1911" s="1" t="s">
        <v>4866</v>
      </c>
      <c r="C1911" s="1" t="s">
        <v>17</v>
      </c>
      <c r="D1911" s="1" t="s">
        <v>20</v>
      </c>
      <c r="E1911" s="12">
        <f>F1911</f>
        <v>3.1103476800000002E-2</v>
      </c>
      <c r="F1911" s="12">
        <f>Systems!L5/12</f>
        <v>3.1103476800000002E-2</v>
      </c>
      <c r="G1911" s="1" t="s">
        <v>23</v>
      </c>
      <c r="H1911" s="1" t="s">
        <v>1148</v>
      </c>
    </row>
    <row r="1912" spans="1:8">
      <c r="A1912" s="1" t="s">
        <v>4867</v>
      </c>
      <c r="B1912" s="1" t="s">
        <v>4870</v>
      </c>
      <c r="C1912" s="1" t="s">
        <v>17</v>
      </c>
      <c r="D1912" s="1" t="s">
        <v>20</v>
      </c>
      <c r="E1912" s="12">
        <f>0.025*F1912</f>
        <v>2.5000000000000001E-2</v>
      </c>
      <c r="F1912" s="12">
        <f>SI!E2</f>
        <v>1</v>
      </c>
      <c r="G1912" s="1" t="s">
        <v>23</v>
      </c>
      <c r="H1912" s="1" t="s">
        <v>1148</v>
      </c>
    </row>
    <row r="1913" spans="1:8">
      <c r="A1913" s="1" t="s">
        <v>4868</v>
      </c>
      <c r="B1913" s="1" t="s">
        <v>4869</v>
      </c>
      <c r="C1913" s="1" t="s">
        <v>17</v>
      </c>
      <c r="D1913" s="1" t="s">
        <v>20</v>
      </c>
      <c r="E1913" s="12">
        <f>F1913</f>
        <v>3.1103476800000002E-2</v>
      </c>
      <c r="F1913" s="12">
        <f>Systems!L21</f>
        <v>3.1103476800000002E-2</v>
      </c>
      <c r="G1913" s="1" t="s">
        <v>23</v>
      </c>
      <c r="H1913" s="1" t="s">
        <v>1148</v>
      </c>
    </row>
    <row r="1914" spans="1:8">
      <c r="A1914" s="1" t="s">
        <v>4872</v>
      </c>
      <c r="B1914" s="1" t="s">
        <v>4871</v>
      </c>
      <c r="C1914" s="1" t="s">
        <v>17</v>
      </c>
      <c r="D1914" s="1" t="s">
        <v>20</v>
      </c>
      <c r="E1914" s="12">
        <f>F1914/240</f>
        <v>1.5551738400000001E-3</v>
      </c>
      <c r="F1914" s="12">
        <f>12*Systems!L21</f>
        <v>0.37324172160000002</v>
      </c>
      <c r="G1914" s="1" t="s">
        <v>23</v>
      </c>
      <c r="H1914" s="1" t="s">
        <v>1148</v>
      </c>
    </row>
    <row r="1915" spans="1:8">
      <c r="A1915" s="1" t="s">
        <v>4873</v>
      </c>
      <c r="B1915" s="1" t="s">
        <v>26</v>
      </c>
      <c r="C1915" s="1" t="s">
        <v>17</v>
      </c>
      <c r="D1915" s="1" t="s">
        <v>20</v>
      </c>
      <c r="E1915" s="12">
        <f>F1915/38400</f>
        <v>5.2083333333333336E-9</v>
      </c>
      <c r="F1915" s="12">
        <f>'Physical Definitions'!E27</f>
        <v>2.0000000000000001E-4</v>
      </c>
      <c r="G1915" s="1" t="s">
        <v>23</v>
      </c>
      <c r="H1915" s="1" t="s">
        <v>1148</v>
      </c>
    </row>
    <row r="1916" spans="1:8">
      <c r="A1916" s="1" t="s">
        <v>4874</v>
      </c>
      <c r="B1916" s="1" t="s">
        <v>26</v>
      </c>
      <c r="C1916" s="1" t="s">
        <v>17</v>
      </c>
      <c r="D1916" s="1" t="s">
        <v>20</v>
      </c>
      <c r="E1916" s="12">
        <f>0.000002*F1916</f>
        <v>1.9999999999999999E-6</v>
      </c>
      <c r="F1916" s="12">
        <f>SI!E2</f>
        <v>1</v>
      </c>
      <c r="G1916" s="1" t="s">
        <v>23</v>
      </c>
      <c r="H1916" s="1" t="s">
        <v>1148</v>
      </c>
    </row>
    <row r="1917" spans="1:8">
      <c r="A1917" s="1" t="s">
        <v>819</v>
      </c>
      <c r="B1917" s="1" t="s">
        <v>6967</v>
      </c>
      <c r="C1917" s="1" t="s">
        <v>17</v>
      </c>
      <c r="D1917" s="1" t="s">
        <v>20</v>
      </c>
      <c r="E1917" s="12">
        <f>F1917</f>
        <v>0.45359237000000002</v>
      </c>
      <c r="F1917" s="12">
        <f>Systems!L6</f>
        <v>0.45359237000000002</v>
      </c>
      <c r="G1917" s="1" t="s">
        <v>23</v>
      </c>
      <c r="H1917" s="1" t="s">
        <v>1148</v>
      </c>
    </row>
    <row r="1918" spans="1:8">
      <c r="A1918" s="1" t="s">
        <v>4875</v>
      </c>
      <c r="B1918" s="1" t="s">
        <v>4876</v>
      </c>
      <c r="C1918" s="1" t="s">
        <v>17</v>
      </c>
      <c r="D1918" s="1" t="s">
        <v>20</v>
      </c>
      <c r="E1918" s="12">
        <f>F1918</f>
        <v>0.37324172160000002</v>
      </c>
      <c r="F1918" s="12">
        <f>Systems!L5</f>
        <v>0.37324172160000002</v>
      </c>
      <c r="G1918" s="1" t="s">
        <v>23</v>
      </c>
      <c r="H1918" s="1" t="s">
        <v>1148</v>
      </c>
    </row>
    <row r="1919" spans="1:8">
      <c r="A1919" s="1" t="s">
        <v>4878</v>
      </c>
      <c r="B1919" s="1" t="s">
        <v>4877</v>
      </c>
      <c r="C1919" s="1" t="s">
        <v>17</v>
      </c>
      <c r="D1919" s="1" t="s">
        <v>20</v>
      </c>
      <c r="E1919" s="12">
        <f>12*F1919</f>
        <v>0.37324172160000002</v>
      </c>
      <c r="F1919" s="12">
        <f>Systems!L21</f>
        <v>3.1103476800000002E-2</v>
      </c>
      <c r="G1919" s="1" t="s">
        <v>23</v>
      </c>
      <c r="H1919" s="1" t="s">
        <v>1148</v>
      </c>
    </row>
    <row r="1920" spans="1:8">
      <c r="A1920" s="1" t="s">
        <v>4591</v>
      </c>
      <c r="B1920" s="1" t="s">
        <v>4879</v>
      </c>
      <c r="C1920" s="1" t="s">
        <v>17</v>
      </c>
      <c r="D1920" s="1" t="s">
        <v>20</v>
      </c>
      <c r="E1920" s="12">
        <f>F1920</f>
        <v>0.45359237000000002</v>
      </c>
      <c r="F1920" s="12">
        <f>Systems!L6</f>
        <v>0.45359237000000002</v>
      </c>
      <c r="G1920" s="1" t="s">
        <v>23</v>
      </c>
      <c r="H1920" s="1" t="s">
        <v>1148</v>
      </c>
    </row>
    <row r="1921" spans="1:8">
      <c r="A1921" s="1" t="s">
        <v>4590</v>
      </c>
      <c r="B1921" s="1" t="s">
        <v>26</v>
      </c>
      <c r="C1921" s="1" t="s">
        <v>17</v>
      </c>
      <c r="D1921" s="1" t="s">
        <v>20</v>
      </c>
      <c r="E1921" s="12">
        <f>F1921</f>
        <v>0.45359237000000002</v>
      </c>
      <c r="F1921" s="12">
        <f>Systems!L6</f>
        <v>0.45359237000000002</v>
      </c>
      <c r="G1921" s="1" t="s">
        <v>23</v>
      </c>
      <c r="H1921" s="1" t="s">
        <v>1148</v>
      </c>
    </row>
    <row r="1922" spans="1:8">
      <c r="A1922" s="1" t="s">
        <v>1902</v>
      </c>
      <c r="B1922" s="1" t="s">
        <v>2944</v>
      </c>
      <c r="C1922" s="1" t="s">
        <v>17</v>
      </c>
      <c r="D1922" s="1" t="s">
        <v>20</v>
      </c>
      <c r="E1922" s="12">
        <f>28*F1922</f>
        <v>12.700586360000001</v>
      </c>
      <c r="F1922" s="12">
        <f>Systems!L6</f>
        <v>0.45359237000000002</v>
      </c>
      <c r="G1922" s="1" t="s">
        <v>23</v>
      </c>
      <c r="H1922" s="1" t="s">
        <v>1148</v>
      </c>
    </row>
    <row r="1923" spans="1:8">
      <c r="A1923" s="1" t="s">
        <v>2357</v>
      </c>
      <c r="B1923" s="1" t="s">
        <v>26</v>
      </c>
      <c r="C1923" s="1" t="s">
        <v>17</v>
      </c>
      <c r="D1923" s="1" t="s">
        <v>20</v>
      </c>
      <c r="E1923" s="12">
        <f>100*F1923</f>
        <v>45.359237</v>
      </c>
      <c r="F1923" s="12">
        <f>Systems!L6</f>
        <v>0.45359237000000002</v>
      </c>
      <c r="G1923" s="1" t="s">
        <v>23</v>
      </c>
      <c r="H1923" s="1" t="s">
        <v>1148</v>
      </c>
    </row>
    <row r="1924" spans="1:8">
      <c r="A1924" s="1" t="s">
        <v>221</v>
      </c>
      <c r="B1924" s="1" t="s">
        <v>6988</v>
      </c>
      <c r="C1924" s="1" t="s">
        <v>17</v>
      </c>
      <c r="D1924" s="1" t="s">
        <v>20</v>
      </c>
      <c r="E1924" s="12">
        <f>F1924</f>
        <v>14.593902937206362</v>
      </c>
      <c r="F1924" s="12">
        <f>'Physical Definitions'!E13*Systems!L6/Systems!D22</f>
        <v>14.593902937206362</v>
      </c>
      <c r="G1924" s="1" t="s">
        <v>23</v>
      </c>
      <c r="H1924" s="1" t="s">
        <v>1148</v>
      </c>
    </row>
    <row r="1925" spans="1:8">
      <c r="A1925" s="1" t="s">
        <v>2580</v>
      </c>
      <c r="B1925" s="1" t="s">
        <v>397</v>
      </c>
      <c r="C1925" s="1" t="s">
        <v>17</v>
      </c>
      <c r="D1925" s="1" t="s">
        <v>20</v>
      </c>
      <c r="E1925" s="12">
        <f>14*F1925</f>
        <v>6.3502931800000004</v>
      </c>
      <c r="F1925" s="12">
        <f>Systems!L6</f>
        <v>0.45359237000000002</v>
      </c>
      <c r="G1925" s="1" t="s">
        <v>23</v>
      </c>
      <c r="H1925" s="1" t="s">
        <v>1148</v>
      </c>
    </row>
    <row r="1926" spans="1:8">
      <c r="A1926" s="248"/>
      <c r="B1926" s="248"/>
      <c r="C1926" s="248"/>
      <c r="D1926" s="248"/>
      <c r="E1926" s="250"/>
      <c r="F1926" s="250"/>
      <c r="G1926" s="248"/>
      <c r="H1926" s="248"/>
    </row>
    <row r="1927" spans="1:8">
      <c r="A1927" s="1" t="s">
        <v>6925</v>
      </c>
      <c r="B1927" s="1" t="s">
        <v>26</v>
      </c>
      <c r="C1927" s="1" t="s">
        <v>3033</v>
      </c>
      <c r="D1927" s="1" t="s">
        <v>19</v>
      </c>
      <c r="E1927" s="12">
        <f>175*F1927/3</f>
        <v>53.375</v>
      </c>
      <c r="F1927" s="12">
        <f>Systems!D109</f>
        <v>0.91500000000000004</v>
      </c>
      <c r="G1927" s="1" t="s">
        <v>14</v>
      </c>
      <c r="H1927" s="1" t="s">
        <v>41</v>
      </c>
    </row>
    <row r="1928" spans="1:8">
      <c r="A1928" s="1" t="s">
        <v>6926</v>
      </c>
      <c r="B1928" s="1" t="s">
        <v>26</v>
      </c>
      <c r="C1928" s="1" t="s">
        <v>3033</v>
      </c>
      <c r="D1928" s="1" t="s">
        <v>19</v>
      </c>
      <c r="E1928" s="12">
        <f>F1928/24</f>
        <v>1.9041666666666669E-2</v>
      </c>
      <c r="F1928" s="12">
        <f>Systems!D107</f>
        <v>0.45700000000000002</v>
      </c>
      <c r="G1928" s="1" t="s">
        <v>14</v>
      </c>
      <c r="H1928" s="1" t="s">
        <v>41</v>
      </c>
    </row>
    <row r="1929" spans="1:8">
      <c r="A1929" s="1" t="s">
        <v>4880</v>
      </c>
      <c r="B1929" s="1" t="s">
        <v>26</v>
      </c>
      <c r="C1929" s="1" t="s">
        <v>3033</v>
      </c>
      <c r="D1929" s="1" t="s">
        <v>19</v>
      </c>
      <c r="E1929" s="12">
        <f>F1929/16</f>
        <v>4.2862499999999998E-2</v>
      </c>
      <c r="F1929" s="12">
        <f>Systems!D108</f>
        <v>0.68579999999999997</v>
      </c>
      <c r="G1929" s="1" t="s">
        <v>14</v>
      </c>
      <c r="H1929" s="1" t="s">
        <v>41</v>
      </c>
    </row>
    <row r="1930" spans="1:8">
      <c r="A1930" s="1" t="s">
        <v>4881</v>
      </c>
      <c r="B1930" s="1" t="s">
        <v>26</v>
      </c>
      <c r="C1930" s="1" t="s">
        <v>3033</v>
      </c>
      <c r="D1930" s="1" t="s">
        <v>19</v>
      </c>
      <c r="E1930" s="12">
        <f>F1930/16</f>
        <v>5.7187500000000002E-2</v>
      </c>
      <c r="F1930" s="12">
        <f>Systems!D109</f>
        <v>0.91500000000000004</v>
      </c>
      <c r="G1930" s="1" t="s">
        <v>14</v>
      </c>
      <c r="H1930" s="1" t="s">
        <v>41</v>
      </c>
    </row>
    <row r="1931" spans="1:8">
      <c r="A1931" s="1" t="s">
        <v>4882</v>
      </c>
      <c r="B1931" s="1" t="s">
        <v>26</v>
      </c>
      <c r="C1931" s="1" t="s">
        <v>3033</v>
      </c>
      <c r="D1931" s="1" t="s">
        <v>19</v>
      </c>
      <c r="E1931" s="12">
        <f>175*F1931/3</f>
        <v>40.005000000000003</v>
      </c>
      <c r="F1931" s="12">
        <f>Systems!D108</f>
        <v>0.68579999999999997</v>
      </c>
      <c r="G1931" s="1" t="s">
        <v>14</v>
      </c>
      <c r="H1931" s="1" t="s">
        <v>41</v>
      </c>
    </row>
    <row r="1932" spans="1:8">
      <c r="A1932" s="1" t="s">
        <v>4883</v>
      </c>
      <c r="B1932" s="1" t="s">
        <v>26</v>
      </c>
      <c r="C1932" s="1" t="s">
        <v>3033</v>
      </c>
      <c r="D1932" s="1" t="s">
        <v>19</v>
      </c>
      <c r="E1932" s="12">
        <f>3500*F1932/3</f>
        <v>800.09999999999991</v>
      </c>
      <c r="F1932" s="12">
        <f>Systems!D108</f>
        <v>0.68579999999999997</v>
      </c>
      <c r="G1932" s="1" t="s">
        <v>14</v>
      </c>
      <c r="H1932" s="1" t="s">
        <v>41</v>
      </c>
    </row>
    <row r="1933" spans="1:8">
      <c r="A1933" s="1" t="s">
        <v>4884</v>
      </c>
      <c r="B1933" s="1" t="s">
        <v>26</v>
      </c>
      <c r="C1933" s="1" t="s">
        <v>3033</v>
      </c>
      <c r="D1933" s="1" t="s">
        <v>19</v>
      </c>
      <c r="E1933" s="12">
        <f>3500*F1933/3</f>
        <v>1067.5</v>
      </c>
      <c r="F1933" s="12">
        <f>Systems!D109</f>
        <v>0.91500000000000004</v>
      </c>
      <c r="G1933" s="1" t="s">
        <v>14</v>
      </c>
      <c r="H1933" s="1" t="s">
        <v>41</v>
      </c>
    </row>
    <row r="1934" spans="1:8">
      <c r="A1934" s="1" t="s">
        <v>4885</v>
      </c>
      <c r="B1934" s="1" t="s">
        <v>26</v>
      </c>
      <c r="C1934" s="1" t="s">
        <v>3033</v>
      </c>
      <c r="D1934" s="1" t="s">
        <v>19</v>
      </c>
      <c r="E1934" s="12">
        <f>2000*F1934</f>
        <v>1371.6</v>
      </c>
      <c r="F1934" s="12">
        <f>Systems!D108</f>
        <v>0.68579999999999997</v>
      </c>
      <c r="G1934" s="1" t="s">
        <v>14</v>
      </c>
      <c r="H1934" s="1" t="s">
        <v>41</v>
      </c>
    </row>
    <row r="1935" spans="1:8">
      <c r="A1935" s="1" t="s">
        <v>4886</v>
      </c>
      <c r="B1935" s="1" t="s">
        <v>26</v>
      </c>
      <c r="C1935" s="1" t="s">
        <v>3033</v>
      </c>
      <c r="D1935" s="1" t="s">
        <v>19</v>
      </c>
      <c r="E1935" s="12">
        <f>2000*F1935</f>
        <v>1830</v>
      </c>
      <c r="F1935" s="12">
        <f>Systems!D109</f>
        <v>0.91500000000000004</v>
      </c>
      <c r="G1935" s="1" t="s">
        <v>14</v>
      </c>
      <c r="H1935" s="1" t="s">
        <v>41</v>
      </c>
    </row>
    <row r="1936" spans="1:8">
      <c r="A1936" s="1" t="s">
        <v>4887</v>
      </c>
      <c r="B1936" s="1" t="s">
        <v>26</v>
      </c>
      <c r="C1936" s="1" t="s">
        <v>3033</v>
      </c>
      <c r="D1936" s="1" t="s">
        <v>19</v>
      </c>
      <c r="E1936" s="12">
        <f>F1936/2</f>
        <v>0.34289999999999998</v>
      </c>
      <c r="F1936" s="12">
        <f>Systems!D108</f>
        <v>0.68579999999999997</v>
      </c>
      <c r="G1936" s="1" t="s">
        <v>14</v>
      </c>
      <c r="H1936" s="1" t="s">
        <v>41</v>
      </c>
    </row>
    <row r="1937" spans="1:8">
      <c r="A1937" s="1" t="s">
        <v>4888</v>
      </c>
      <c r="B1937" s="1" t="s">
        <v>26</v>
      </c>
      <c r="C1937" s="1" t="s">
        <v>3033</v>
      </c>
      <c r="D1937" s="1" t="s">
        <v>19</v>
      </c>
      <c r="E1937" s="12">
        <f>F1937/2</f>
        <v>0.45750000000000002</v>
      </c>
      <c r="F1937" s="12">
        <f>Systems!D109</f>
        <v>0.91500000000000004</v>
      </c>
      <c r="G1937" s="1" t="s">
        <v>14</v>
      </c>
      <c r="H1937" s="1" t="s">
        <v>41</v>
      </c>
    </row>
    <row r="1938" spans="1:8">
      <c r="A1938" s="1" t="s">
        <v>146</v>
      </c>
      <c r="B1938" s="1" t="s">
        <v>26</v>
      </c>
      <c r="C1938" s="1" t="s">
        <v>3033</v>
      </c>
      <c r="D1938" s="1" t="s">
        <v>19</v>
      </c>
      <c r="E1938" s="12">
        <f>8000*F1938</f>
        <v>3656</v>
      </c>
      <c r="F1938" s="12">
        <f>Systems!D107</f>
        <v>0.45700000000000002</v>
      </c>
      <c r="G1938" s="1" t="s">
        <v>14</v>
      </c>
      <c r="H1938" s="1" t="s">
        <v>41</v>
      </c>
    </row>
    <row r="1939" spans="1:8">
      <c r="A1939" s="1" t="s">
        <v>1421</v>
      </c>
      <c r="B1939" s="1" t="s">
        <v>26</v>
      </c>
      <c r="C1939" s="1" t="s">
        <v>3033</v>
      </c>
      <c r="D1939" s="1" t="s">
        <v>19</v>
      </c>
      <c r="E1939" s="12">
        <f>F1939</f>
        <v>0.45700000000000002</v>
      </c>
      <c r="F1939" s="12">
        <f>Systems!D107</f>
        <v>0.45700000000000002</v>
      </c>
      <c r="G1939" s="1" t="s">
        <v>14</v>
      </c>
      <c r="H1939" s="1" t="s">
        <v>41</v>
      </c>
    </row>
    <row r="1940" spans="1:8">
      <c r="A1940" s="1" t="s">
        <v>4889</v>
      </c>
      <c r="B1940" s="1" t="s">
        <v>26</v>
      </c>
      <c r="C1940" s="1" t="s">
        <v>3033</v>
      </c>
      <c r="D1940" s="1" t="s">
        <v>19</v>
      </c>
      <c r="E1940" s="12">
        <f>2*F1940</f>
        <v>1.3715999999999999</v>
      </c>
      <c r="F1940" s="12">
        <f>Systems!D108</f>
        <v>0.68579999999999997</v>
      </c>
      <c r="G1940" s="1" t="s">
        <v>14</v>
      </c>
      <c r="H1940" s="1" t="s">
        <v>41</v>
      </c>
    </row>
    <row r="1941" spans="1:8">
      <c r="A1941" s="1" t="s">
        <v>4890</v>
      </c>
      <c r="B1941" s="1" t="s">
        <v>26</v>
      </c>
      <c r="C1941" s="1" t="s">
        <v>3033</v>
      </c>
      <c r="D1941" s="1" t="s">
        <v>19</v>
      </c>
      <c r="E1941" s="12">
        <f>2*F1941</f>
        <v>1.83</v>
      </c>
      <c r="F1941" s="12">
        <f>Systems!D109</f>
        <v>0.91500000000000004</v>
      </c>
      <c r="G1941" s="1" t="s">
        <v>14</v>
      </c>
      <c r="H1941" s="1" t="s">
        <v>41</v>
      </c>
    </row>
    <row r="1942" spans="1:8">
      <c r="A1942" s="1" t="s">
        <v>1517</v>
      </c>
      <c r="B1942" s="1" t="s">
        <v>26</v>
      </c>
      <c r="C1942" s="1" t="s">
        <v>3033</v>
      </c>
      <c r="D1942" s="1" t="s">
        <v>19</v>
      </c>
      <c r="E1942" s="12">
        <f>4*F1942</f>
        <v>1.8280000000000001</v>
      </c>
      <c r="F1942" s="12">
        <f>Systems!D107</f>
        <v>0.45700000000000002</v>
      </c>
      <c r="G1942" s="1" t="s">
        <v>14</v>
      </c>
      <c r="H1942" s="1" t="s">
        <v>41</v>
      </c>
    </row>
    <row r="1943" spans="1:8">
      <c r="A1943" s="1" t="s">
        <v>1238</v>
      </c>
      <c r="B1943" s="1" t="s">
        <v>26</v>
      </c>
      <c r="C1943" s="1" t="s">
        <v>3033</v>
      </c>
      <c r="D1943" s="1" t="s">
        <v>19</v>
      </c>
      <c r="E1943" s="12">
        <f>F1943/24</f>
        <v>1.9041666666666669E-2</v>
      </c>
      <c r="F1943" s="12">
        <f>Systems!D107</f>
        <v>0.45700000000000002</v>
      </c>
      <c r="G1943" s="1" t="s">
        <v>14</v>
      </c>
      <c r="H1943" s="1" t="s">
        <v>41</v>
      </c>
    </row>
    <row r="1944" spans="1:8">
      <c r="A1944" s="1" t="s">
        <v>218</v>
      </c>
      <c r="B1944" s="1" t="s">
        <v>26</v>
      </c>
      <c r="C1944" s="1" t="s">
        <v>3033</v>
      </c>
      <c r="D1944" s="1" t="s">
        <v>19</v>
      </c>
      <c r="E1944" s="12">
        <f>16000*F1944</f>
        <v>7312</v>
      </c>
      <c r="F1944" s="12">
        <f>Systems!D107</f>
        <v>0.45700000000000002</v>
      </c>
      <c r="G1944" s="1" t="s">
        <v>14</v>
      </c>
      <c r="H1944" s="1" t="s">
        <v>41</v>
      </c>
    </row>
    <row r="1945" spans="1:8">
      <c r="A1945" s="1" t="s">
        <v>4891</v>
      </c>
      <c r="B1945" s="1" t="s">
        <v>26</v>
      </c>
      <c r="C1945" s="1" t="s">
        <v>3033</v>
      </c>
      <c r="D1945" s="1" t="s">
        <v>19</v>
      </c>
      <c r="E1945" s="12">
        <f>F1945</f>
        <v>0.68579999999999997</v>
      </c>
      <c r="F1945" s="12">
        <f>Systems!D108</f>
        <v>0.68579999999999997</v>
      </c>
      <c r="G1945" s="1" t="s">
        <v>14</v>
      </c>
      <c r="H1945" s="1" t="s">
        <v>41</v>
      </c>
    </row>
    <row r="1946" spans="1:8">
      <c r="A1946" s="1" t="s">
        <v>4892</v>
      </c>
      <c r="B1946" s="1" t="s">
        <v>26</v>
      </c>
      <c r="C1946" s="1" t="s">
        <v>3033</v>
      </c>
      <c r="D1946" s="1" t="s">
        <v>19</v>
      </c>
      <c r="E1946" s="12">
        <f>F1946</f>
        <v>0.91500000000000004</v>
      </c>
      <c r="F1946" s="12">
        <f>Systems!D109</f>
        <v>0.91500000000000004</v>
      </c>
      <c r="G1946" s="1" t="s">
        <v>14</v>
      </c>
      <c r="H1946" s="1" t="s">
        <v>41</v>
      </c>
    </row>
    <row r="1947" spans="1:8">
      <c r="A1947" s="1" t="s">
        <v>4893</v>
      </c>
      <c r="B1947" s="1" t="s">
        <v>26</v>
      </c>
      <c r="C1947" s="1" t="s">
        <v>3033</v>
      </c>
      <c r="D1947" s="1" t="s">
        <v>19</v>
      </c>
      <c r="E1947" s="12">
        <f>F1947/16</f>
        <v>4.2862499999999998E-2</v>
      </c>
      <c r="F1947" s="12">
        <f>Systems!D108</f>
        <v>0.68579999999999997</v>
      </c>
      <c r="G1947" s="1" t="s">
        <v>14</v>
      </c>
      <c r="H1947" s="1" t="s">
        <v>41</v>
      </c>
    </row>
    <row r="1948" spans="1:8">
      <c r="A1948" s="1" t="s">
        <v>4894</v>
      </c>
      <c r="B1948" s="1" t="s">
        <v>26</v>
      </c>
      <c r="C1948" s="1" t="s">
        <v>3033</v>
      </c>
      <c r="D1948" s="1" t="s">
        <v>19</v>
      </c>
      <c r="E1948" s="12">
        <f>F1948/16</f>
        <v>5.7187500000000002E-2</v>
      </c>
      <c r="F1948" s="12">
        <f>Systems!D109</f>
        <v>0.91500000000000004</v>
      </c>
      <c r="G1948" s="1" t="s">
        <v>14</v>
      </c>
      <c r="H1948" s="1" t="s">
        <v>41</v>
      </c>
    </row>
    <row r="1949" spans="1:8">
      <c r="A1949" s="1" t="s">
        <v>4895</v>
      </c>
      <c r="B1949" s="1" t="s">
        <v>26</v>
      </c>
      <c r="C1949" s="1" t="s">
        <v>3033</v>
      </c>
      <c r="D1949" s="1" t="s">
        <v>19</v>
      </c>
      <c r="E1949" s="12">
        <f>F1949</f>
        <v>0.68579999999999997</v>
      </c>
      <c r="F1949" s="12">
        <f>Systems!D108</f>
        <v>0.68579999999999997</v>
      </c>
      <c r="G1949" s="1" t="s">
        <v>14</v>
      </c>
      <c r="H1949" s="1" t="s">
        <v>41</v>
      </c>
    </row>
    <row r="1950" spans="1:8">
      <c r="A1950" s="1" t="s">
        <v>4896</v>
      </c>
      <c r="B1950" s="1" t="s">
        <v>26</v>
      </c>
      <c r="C1950" s="1" t="s">
        <v>3033</v>
      </c>
      <c r="D1950" s="1" t="s">
        <v>19</v>
      </c>
      <c r="E1950" s="12">
        <f>F1950</f>
        <v>0.91500000000000004</v>
      </c>
      <c r="F1950" s="12">
        <f>Systems!D109</f>
        <v>0.91500000000000004</v>
      </c>
      <c r="G1950" s="1" t="s">
        <v>14</v>
      </c>
      <c r="H1950" s="1" t="s">
        <v>41</v>
      </c>
    </row>
    <row r="1951" spans="1:8">
      <c r="A1951" s="1" t="s">
        <v>794</v>
      </c>
      <c r="B1951" s="1" t="s">
        <v>26</v>
      </c>
      <c r="C1951" s="1" t="s">
        <v>3033</v>
      </c>
      <c r="D1951" s="1" t="s">
        <v>19</v>
      </c>
      <c r="E1951" s="12">
        <f>F1951</f>
        <v>0.45700000000000002</v>
      </c>
      <c r="F1951" s="12">
        <f>Systems!D107</f>
        <v>0.45700000000000002</v>
      </c>
      <c r="G1951" s="1" t="s">
        <v>14</v>
      </c>
      <c r="H1951" s="1" t="s">
        <v>41</v>
      </c>
    </row>
    <row r="1952" spans="1:8">
      <c r="A1952" s="1" t="s">
        <v>4897</v>
      </c>
      <c r="B1952" s="1" t="s">
        <v>26</v>
      </c>
      <c r="C1952" s="1" t="s">
        <v>3033</v>
      </c>
      <c r="D1952" s="1" t="s">
        <v>19</v>
      </c>
      <c r="E1952" s="12">
        <f>F1952/2</f>
        <v>0.34289999999999998</v>
      </c>
      <c r="F1952" s="12">
        <f>Systems!D108</f>
        <v>0.68579999999999997</v>
      </c>
      <c r="G1952" s="1" t="s">
        <v>14</v>
      </c>
      <c r="H1952" s="1" t="s">
        <v>41</v>
      </c>
    </row>
    <row r="1953" spans="1:8">
      <c r="A1953" s="1" t="s">
        <v>7507</v>
      </c>
      <c r="B1953" s="1" t="s">
        <v>26</v>
      </c>
      <c r="C1953" s="1" t="s">
        <v>3033</v>
      </c>
      <c r="D1953" s="1" t="s">
        <v>19</v>
      </c>
      <c r="E1953" s="12">
        <f>F1953/2</f>
        <v>0.45750000000000002</v>
      </c>
      <c r="F1953" s="12">
        <f>Systems!D109</f>
        <v>0.91500000000000004</v>
      </c>
      <c r="G1953" s="1" t="s">
        <v>14</v>
      </c>
      <c r="H1953" s="1" t="s">
        <v>41</v>
      </c>
    </row>
    <row r="1954" spans="1:8">
      <c r="A1954" s="1" t="s">
        <v>4898</v>
      </c>
      <c r="B1954" s="1" t="s">
        <v>26</v>
      </c>
      <c r="C1954" s="1" t="s">
        <v>3033</v>
      </c>
      <c r="D1954" s="1" t="s">
        <v>19</v>
      </c>
      <c r="E1954" s="12">
        <f>F1954/144</f>
        <v>4.7624999999999994E-3</v>
      </c>
      <c r="F1954" s="12">
        <f>Systems!D108</f>
        <v>0.68579999999999997</v>
      </c>
      <c r="G1954" s="1" t="s">
        <v>14</v>
      </c>
      <c r="H1954" s="1" t="s">
        <v>41</v>
      </c>
    </row>
    <row r="1955" spans="1:8">
      <c r="A1955" s="1" t="s">
        <v>4899</v>
      </c>
      <c r="B1955" s="1" t="s">
        <v>26</v>
      </c>
      <c r="C1955" s="1" t="s">
        <v>3033</v>
      </c>
      <c r="D1955" s="1" t="s">
        <v>19</v>
      </c>
      <c r="E1955" s="12">
        <f>F1955/144</f>
        <v>6.3541666666666668E-3</v>
      </c>
      <c r="F1955" s="12">
        <f>Systems!D109</f>
        <v>0.91500000000000004</v>
      </c>
      <c r="G1955" s="1" t="s">
        <v>14</v>
      </c>
      <c r="H1955" s="1" t="s">
        <v>41</v>
      </c>
    </row>
    <row r="1956" spans="1:8">
      <c r="A1956" s="1" t="s">
        <v>4900</v>
      </c>
      <c r="B1956" s="1" t="s">
        <v>26</v>
      </c>
      <c r="C1956" s="1" t="s">
        <v>3033</v>
      </c>
      <c r="D1956" s="1" t="s">
        <v>19</v>
      </c>
      <c r="E1956" s="12">
        <f>F1956/144</f>
        <v>4.7624999999999994E-3</v>
      </c>
      <c r="F1956" s="12">
        <f>Systems!D108</f>
        <v>0.68579999999999997</v>
      </c>
      <c r="G1956" s="1" t="s">
        <v>14</v>
      </c>
      <c r="H1956" s="1" t="s">
        <v>41</v>
      </c>
    </row>
    <row r="1957" spans="1:8">
      <c r="A1957" s="1" t="s">
        <v>4901</v>
      </c>
      <c r="B1957" s="1" t="s">
        <v>26</v>
      </c>
      <c r="C1957" s="1" t="s">
        <v>3033</v>
      </c>
      <c r="D1957" s="1" t="s">
        <v>19</v>
      </c>
      <c r="E1957" s="12">
        <f>F1957/144</f>
        <v>6.3541666666666668E-3</v>
      </c>
      <c r="F1957" s="12">
        <f>Systems!D109</f>
        <v>0.91500000000000004</v>
      </c>
      <c r="G1957" s="1" t="s">
        <v>14</v>
      </c>
      <c r="H1957" s="1" t="s">
        <v>41</v>
      </c>
    </row>
    <row r="1958" spans="1:8">
      <c r="A1958" s="1" t="s">
        <v>4902</v>
      </c>
      <c r="B1958" s="1" t="s">
        <v>26</v>
      </c>
      <c r="C1958" s="1" t="s">
        <v>3033</v>
      </c>
      <c r="D1958" s="1" t="s">
        <v>19</v>
      </c>
      <c r="E1958" s="12">
        <f>11*F1958/2</f>
        <v>3.7718999999999996</v>
      </c>
      <c r="F1958" s="12">
        <f>Systems!D108</f>
        <v>0.68579999999999997</v>
      </c>
      <c r="G1958" s="1" t="s">
        <v>14</v>
      </c>
      <c r="H1958" s="1" t="s">
        <v>41</v>
      </c>
    </row>
    <row r="1959" spans="1:8">
      <c r="A1959" s="1" t="s">
        <v>4903</v>
      </c>
      <c r="B1959" s="1" t="s">
        <v>26</v>
      </c>
      <c r="C1959" s="1" t="s">
        <v>3033</v>
      </c>
      <c r="D1959" s="1" t="s">
        <v>19</v>
      </c>
      <c r="E1959" s="12">
        <f>11*F1959/2</f>
        <v>5.0325000000000006</v>
      </c>
      <c r="F1959" s="12">
        <f>Systems!D109</f>
        <v>0.91500000000000004</v>
      </c>
      <c r="G1959" s="1" t="s">
        <v>14</v>
      </c>
      <c r="H1959" s="1" t="s">
        <v>41</v>
      </c>
    </row>
    <row r="1960" spans="1:8">
      <c r="A1960" s="1" t="s">
        <v>4904</v>
      </c>
      <c r="B1960" s="1" t="s">
        <v>26</v>
      </c>
      <c r="C1960" s="1" t="s">
        <v>3033</v>
      </c>
      <c r="D1960" s="1" t="s">
        <v>19</v>
      </c>
      <c r="E1960" s="12">
        <f>11*F1960/6</f>
        <v>1.2572999999999999</v>
      </c>
      <c r="F1960" s="12">
        <f>Systems!D108</f>
        <v>0.68579999999999997</v>
      </c>
      <c r="G1960" s="1" t="s">
        <v>14</v>
      </c>
      <c r="H1960" s="1" t="s">
        <v>41</v>
      </c>
    </row>
    <row r="1961" spans="1:8">
      <c r="A1961" s="1" t="s">
        <v>4905</v>
      </c>
      <c r="B1961" s="1" t="s">
        <v>26</v>
      </c>
      <c r="C1961" s="1" t="s">
        <v>3033</v>
      </c>
      <c r="D1961" s="1" t="s">
        <v>19</v>
      </c>
      <c r="E1961" s="12">
        <f>11*F1961/6</f>
        <v>1.6775000000000002</v>
      </c>
      <c r="F1961" s="12">
        <f>Systems!D109</f>
        <v>0.91500000000000004</v>
      </c>
      <c r="G1961" s="1" t="s">
        <v>14</v>
      </c>
      <c r="H1961" s="1" t="s">
        <v>41</v>
      </c>
    </row>
    <row r="1962" spans="1:8">
      <c r="A1962" s="1" t="s">
        <v>4906</v>
      </c>
      <c r="B1962" s="1" t="s">
        <v>26</v>
      </c>
      <c r="C1962" s="1" t="s">
        <v>3033</v>
      </c>
      <c r="D1962" s="1" t="s">
        <v>19</v>
      </c>
      <c r="E1962" s="12">
        <f>35*F1962/12</f>
        <v>2.0002499999999999</v>
      </c>
      <c r="F1962" s="12">
        <f>Systems!D108</f>
        <v>0.68579999999999997</v>
      </c>
      <c r="G1962" s="1" t="s">
        <v>14</v>
      </c>
      <c r="H1962" s="1" t="s">
        <v>41</v>
      </c>
    </row>
    <row r="1963" spans="1:8">
      <c r="A1963" s="1" t="s">
        <v>4907</v>
      </c>
      <c r="B1963" s="1" t="s">
        <v>26</v>
      </c>
      <c r="C1963" s="1" t="s">
        <v>3033</v>
      </c>
      <c r="D1963" s="1" t="s">
        <v>19</v>
      </c>
      <c r="E1963" s="12">
        <f>35*F1963/12</f>
        <v>2.6687499999999997</v>
      </c>
      <c r="F1963" s="12">
        <f>Systems!D109</f>
        <v>0.91500000000000004</v>
      </c>
      <c r="G1963" s="1" t="s">
        <v>14</v>
      </c>
      <c r="H1963" s="1" t="s">
        <v>41</v>
      </c>
    </row>
    <row r="1964" spans="1:8">
      <c r="A1964" s="1" t="s">
        <v>4908</v>
      </c>
      <c r="B1964" s="1" t="s">
        <v>26</v>
      </c>
      <c r="C1964" s="1" t="s">
        <v>3033</v>
      </c>
      <c r="D1964" s="1" t="s">
        <v>19</v>
      </c>
      <c r="E1964" s="12">
        <f>F1964/12</f>
        <v>5.7149999999999999E-2</v>
      </c>
      <c r="F1964" s="12">
        <f>Systems!D108</f>
        <v>0.68579999999999997</v>
      </c>
      <c r="G1964" s="1" t="s">
        <v>14</v>
      </c>
      <c r="H1964" s="1" t="s">
        <v>41</v>
      </c>
    </row>
    <row r="1965" spans="1:8">
      <c r="A1965" s="1" t="s">
        <v>4909</v>
      </c>
      <c r="B1965" s="1" t="s">
        <v>26</v>
      </c>
      <c r="C1965" s="1" t="s">
        <v>3033</v>
      </c>
      <c r="D1965" s="1" t="s">
        <v>19</v>
      </c>
      <c r="E1965" s="12">
        <f>F1965/12</f>
        <v>7.6249999999999998E-2</v>
      </c>
      <c r="F1965" s="12">
        <f>Systems!D109</f>
        <v>0.91500000000000004</v>
      </c>
      <c r="G1965" s="1" t="s">
        <v>14</v>
      </c>
      <c r="H1965" s="1" t="s">
        <v>41</v>
      </c>
    </row>
    <row r="1966" spans="1:8">
      <c r="A1966" s="1" t="s">
        <v>4910</v>
      </c>
      <c r="B1966" s="1" t="s">
        <v>26</v>
      </c>
      <c r="C1966" s="1" t="s">
        <v>3033</v>
      </c>
      <c r="D1966" s="1" t="s">
        <v>19</v>
      </c>
      <c r="E1966" s="12">
        <f>10*F1966</f>
        <v>6.8579999999999997</v>
      </c>
      <c r="F1966" s="12">
        <f>Systems!D108</f>
        <v>0.68579999999999997</v>
      </c>
      <c r="G1966" s="1" t="s">
        <v>14</v>
      </c>
      <c r="H1966" s="1" t="s">
        <v>41</v>
      </c>
    </row>
    <row r="1967" spans="1:8">
      <c r="A1967" s="1" t="s">
        <v>4911</v>
      </c>
      <c r="B1967" s="1" t="s">
        <v>26</v>
      </c>
      <c r="C1967" s="1" t="s">
        <v>3033</v>
      </c>
      <c r="D1967" s="1" t="s">
        <v>19</v>
      </c>
      <c r="E1967" s="12">
        <f>10*F1967</f>
        <v>9.15</v>
      </c>
      <c r="F1967" s="12">
        <f>Systems!D109</f>
        <v>0.91500000000000004</v>
      </c>
      <c r="G1967" s="1" t="s">
        <v>14</v>
      </c>
      <c r="H1967" s="1" t="s">
        <v>41</v>
      </c>
    </row>
    <row r="1968" spans="1:8">
      <c r="A1968" s="1" t="s">
        <v>2179</v>
      </c>
      <c r="B1968" s="1" t="s">
        <v>26</v>
      </c>
      <c r="C1968" s="1" t="s">
        <v>3033</v>
      </c>
      <c r="D1968" s="1" t="s">
        <v>19</v>
      </c>
      <c r="E1968" s="12">
        <f>4*F1968</f>
        <v>1.8280000000000001</v>
      </c>
      <c r="F1968" s="12">
        <f>Systems!D107</f>
        <v>0.45700000000000002</v>
      </c>
      <c r="G1968" s="1" t="s">
        <v>14</v>
      </c>
      <c r="H1968" s="1" t="s">
        <v>41</v>
      </c>
    </row>
    <row r="1969" spans="1:8">
      <c r="A1969" s="1" t="s">
        <v>2211</v>
      </c>
      <c r="B1969" s="1" t="s">
        <v>26</v>
      </c>
      <c r="C1969" s="1" t="s">
        <v>3033</v>
      </c>
      <c r="D1969" s="1" t="s">
        <v>19</v>
      </c>
      <c r="E1969" s="12">
        <f>F1969/20</f>
        <v>5.5050000000000003E-3</v>
      </c>
      <c r="F1969" s="12">
        <f>Systems!P108</f>
        <v>0.1101</v>
      </c>
      <c r="G1969" s="1" t="s">
        <v>14</v>
      </c>
      <c r="H1969" s="1" t="s">
        <v>41</v>
      </c>
    </row>
    <row r="1970" spans="1:8">
      <c r="A1970" s="1" t="s">
        <v>4912</v>
      </c>
      <c r="B1970" s="1" t="s">
        <v>26</v>
      </c>
      <c r="C1970" s="1" t="s">
        <v>3033</v>
      </c>
      <c r="D1970" s="1" t="s">
        <v>19</v>
      </c>
      <c r="E1970" s="12">
        <f>175*F1970/3</f>
        <v>40.005000000000003</v>
      </c>
      <c r="F1970" s="12">
        <f>Systems!D108</f>
        <v>0.68579999999999997</v>
      </c>
      <c r="G1970" s="1" t="s">
        <v>14</v>
      </c>
      <c r="H1970" s="1" t="s">
        <v>41</v>
      </c>
    </row>
    <row r="1971" spans="1:8">
      <c r="A1971" s="1" t="s">
        <v>4913</v>
      </c>
      <c r="B1971" s="1" t="s">
        <v>26</v>
      </c>
      <c r="C1971" s="1" t="s">
        <v>3033</v>
      </c>
      <c r="D1971" s="1" t="s">
        <v>19</v>
      </c>
      <c r="E1971" s="12">
        <f>175*F1971/3</f>
        <v>53.375</v>
      </c>
      <c r="F1971" s="12">
        <f>Systems!D109</f>
        <v>0.91500000000000004</v>
      </c>
      <c r="G1971" s="1" t="s">
        <v>14</v>
      </c>
      <c r="H1971" s="1" t="s">
        <v>41</v>
      </c>
    </row>
    <row r="1972" spans="1:8">
      <c r="A1972" s="1" t="s">
        <v>4914</v>
      </c>
      <c r="B1972" s="1" t="s">
        <v>26</v>
      </c>
      <c r="C1972" s="1" t="s">
        <v>3033</v>
      </c>
      <c r="D1972" s="1" t="s">
        <v>19</v>
      </c>
      <c r="E1972" s="12">
        <f>F1972/4</f>
        <v>0.17144999999999999</v>
      </c>
      <c r="F1972" s="12">
        <f>Systems!D108</f>
        <v>0.68579999999999997</v>
      </c>
      <c r="G1972" s="1" t="s">
        <v>14</v>
      </c>
      <c r="H1972" s="1" t="s">
        <v>41</v>
      </c>
    </row>
    <row r="1973" spans="1:8">
      <c r="A1973" s="1" t="s">
        <v>4915</v>
      </c>
      <c r="B1973" s="1" t="s">
        <v>26</v>
      </c>
      <c r="C1973" s="1" t="s">
        <v>3033</v>
      </c>
      <c r="D1973" s="1" t="s">
        <v>19</v>
      </c>
      <c r="E1973" s="12">
        <f>F1973/4</f>
        <v>0.22875000000000001</v>
      </c>
      <c r="F1973" s="12">
        <f>Systems!D109</f>
        <v>0.91500000000000004</v>
      </c>
      <c r="G1973" s="1" t="s">
        <v>14</v>
      </c>
      <c r="H1973" s="1" t="s">
        <v>41</v>
      </c>
    </row>
    <row r="1974" spans="1:8">
      <c r="A1974" s="1" t="s">
        <v>4916</v>
      </c>
      <c r="B1974" s="1" t="s">
        <v>26</v>
      </c>
      <c r="C1974" s="1" t="s">
        <v>3033</v>
      </c>
      <c r="D1974" s="1" t="s">
        <v>19</v>
      </c>
      <c r="E1974" s="12">
        <f>F1974/2</f>
        <v>0.22850000000000001</v>
      </c>
      <c r="F1974" s="12">
        <f>Systems!D107</f>
        <v>0.45700000000000002</v>
      </c>
      <c r="G1974" s="1" t="s">
        <v>14</v>
      </c>
      <c r="H1974" s="1" t="s">
        <v>41</v>
      </c>
    </row>
    <row r="1975" spans="1:8">
      <c r="A1975" s="1" t="s">
        <v>4917</v>
      </c>
      <c r="B1975" s="1" t="s">
        <v>26</v>
      </c>
      <c r="C1975" s="1" t="s">
        <v>3033</v>
      </c>
      <c r="D1975" s="1" t="s">
        <v>19</v>
      </c>
      <c r="E1975" s="12">
        <f>F1975/24</f>
        <v>2.8575E-2</v>
      </c>
      <c r="F1975" s="12">
        <f>Systems!D108</f>
        <v>0.68579999999999997</v>
      </c>
      <c r="G1975" s="1" t="s">
        <v>14</v>
      </c>
      <c r="H1975" s="1" t="s">
        <v>41</v>
      </c>
    </row>
    <row r="1976" spans="1:8">
      <c r="A1976" s="1" t="s">
        <v>4918</v>
      </c>
      <c r="B1976" s="1" t="s">
        <v>26</v>
      </c>
      <c r="C1976" s="1" t="s">
        <v>3033</v>
      </c>
      <c r="D1976" s="1" t="s">
        <v>19</v>
      </c>
      <c r="E1976" s="12">
        <f>F1976/24</f>
        <v>3.8124999999999999E-2</v>
      </c>
      <c r="F1976" s="12">
        <f>Systems!D109</f>
        <v>0.91500000000000004</v>
      </c>
      <c r="G1976" s="1" t="s">
        <v>14</v>
      </c>
      <c r="H1976" s="1" t="s">
        <v>41</v>
      </c>
    </row>
    <row r="1977" spans="1:8">
      <c r="A1977" s="1" t="s">
        <v>4919</v>
      </c>
      <c r="B1977" s="1" t="s">
        <v>26</v>
      </c>
      <c r="C1977" s="1" t="s">
        <v>3033</v>
      </c>
      <c r="D1977" s="1" t="s">
        <v>19</v>
      </c>
      <c r="E1977" s="12">
        <f>F1977/48</f>
        <v>1.42875E-2</v>
      </c>
      <c r="F1977" s="12">
        <f>Systems!D108</f>
        <v>0.68579999999999997</v>
      </c>
      <c r="G1977" s="1" t="s">
        <v>14</v>
      </c>
      <c r="H1977" s="1" t="s">
        <v>41</v>
      </c>
    </row>
    <row r="1978" spans="1:8">
      <c r="A1978" s="1" t="s">
        <v>4920</v>
      </c>
      <c r="B1978" s="1" t="s">
        <v>26</v>
      </c>
      <c r="C1978" s="1" t="s">
        <v>3033</v>
      </c>
      <c r="D1978" s="1" t="s">
        <v>19</v>
      </c>
      <c r="E1978" s="12">
        <f>F1978/48</f>
        <v>1.90625E-2</v>
      </c>
      <c r="F1978" s="12">
        <f>Systems!D109</f>
        <v>0.91500000000000004</v>
      </c>
      <c r="G1978" s="1" t="s">
        <v>14</v>
      </c>
      <c r="H1978" s="1" t="s">
        <v>41</v>
      </c>
    </row>
    <row r="1979" spans="1:8">
      <c r="A1979" s="1" t="s">
        <v>417</v>
      </c>
      <c r="B1979" s="1" t="s">
        <v>26</v>
      </c>
      <c r="C1979" s="1" t="s">
        <v>3033</v>
      </c>
      <c r="D1979" s="1" t="s">
        <v>19</v>
      </c>
      <c r="E1979" s="12">
        <f>F1979/2</f>
        <v>0.22850000000000001</v>
      </c>
      <c r="F1979" s="12">
        <f>Systems!D107</f>
        <v>0.45700000000000002</v>
      </c>
      <c r="G1979" s="1" t="s">
        <v>14</v>
      </c>
      <c r="H1979" s="1" t="s">
        <v>41</v>
      </c>
    </row>
    <row r="1980" spans="1:8">
      <c r="A1980" s="1" t="s">
        <v>432</v>
      </c>
      <c r="B1980" s="1" t="s">
        <v>26</v>
      </c>
      <c r="C1980" s="1" t="s">
        <v>3033</v>
      </c>
      <c r="D1980" s="1" t="s">
        <v>19</v>
      </c>
      <c r="E1980" s="12">
        <f>32000*F1980</f>
        <v>14624</v>
      </c>
      <c r="F1980" s="12">
        <f>Systems!D107</f>
        <v>0.45700000000000002</v>
      </c>
      <c r="G1980" s="1" t="s">
        <v>14</v>
      </c>
      <c r="H1980" s="1" t="s">
        <v>41</v>
      </c>
    </row>
    <row r="1981" spans="1:8" ht="16.5">
      <c r="A1981" s="1" t="s">
        <v>4883</v>
      </c>
      <c r="B1981" s="1" t="s">
        <v>26</v>
      </c>
      <c r="C1981" s="1" t="s">
        <v>3034</v>
      </c>
      <c r="D1981" s="1" t="s">
        <v>38</v>
      </c>
      <c r="E1981" s="12">
        <f>1600*F1981</f>
        <v>752.51462399999991</v>
      </c>
      <c r="F1981" s="12">
        <f>Systems!H108</f>
        <v>0.47032163999999993</v>
      </c>
      <c r="G1981" s="1" t="s">
        <v>39</v>
      </c>
      <c r="H1981" s="1" t="s">
        <v>41</v>
      </c>
    </row>
    <row r="1982" spans="1:8" ht="16.5">
      <c r="A1982" s="1" t="s">
        <v>4884</v>
      </c>
      <c r="B1982" s="1" t="s">
        <v>26</v>
      </c>
      <c r="C1982" s="1" t="s">
        <v>3034</v>
      </c>
      <c r="D1982" s="1" t="s">
        <v>38</v>
      </c>
      <c r="E1982" s="12">
        <f>1600*F1982</f>
        <v>1339.5600000000002</v>
      </c>
      <c r="F1982" s="12">
        <f>Systems!H109</f>
        <v>0.83722500000000011</v>
      </c>
      <c r="G1982" s="1" t="s">
        <v>39</v>
      </c>
      <c r="H1982" s="1" t="s">
        <v>41</v>
      </c>
    </row>
    <row r="1983" spans="1:8" ht="16.5">
      <c r="A1983" s="1" t="s">
        <v>4921</v>
      </c>
      <c r="B1983" s="1" t="s">
        <v>26</v>
      </c>
      <c r="C1983" s="1" t="s">
        <v>3034</v>
      </c>
      <c r="D1983" s="1" t="s">
        <v>38</v>
      </c>
      <c r="E1983" s="12">
        <f>1600*F1983</f>
        <v>752.51462399999991</v>
      </c>
      <c r="F1983" s="12">
        <f>Systems!H108</f>
        <v>0.47032163999999993</v>
      </c>
      <c r="G1983" s="1" t="s">
        <v>39</v>
      </c>
      <c r="H1983" s="1" t="s">
        <v>41</v>
      </c>
    </row>
    <row r="1984" spans="1:8" ht="16.5">
      <c r="A1984" s="1" t="s">
        <v>4922</v>
      </c>
      <c r="B1984" s="1" t="s">
        <v>26</v>
      </c>
      <c r="C1984" s="1" t="s">
        <v>3034</v>
      </c>
      <c r="D1984" s="1" t="s">
        <v>38</v>
      </c>
      <c r="E1984" s="12">
        <f>1600*F1984</f>
        <v>1339.5600000000002</v>
      </c>
      <c r="F1984" s="12">
        <f>Systems!H109</f>
        <v>0.83722500000000011</v>
      </c>
      <c r="G1984" s="1" t="s">
        <v>39</v>
      </c>
      <c r="H1984" s="1" t="s">
        <v>41</v>
      </c>
    </row>
    <row r="1985" spans="1:8" ht="16.5">
      <c r="A1985" s="1" t="s">
        <v>6927</v>
      </c>
      <c r="B1985" s="1" t="s">
        <v>26</v>
      </c>
      <c r="C1985" s="1" t="s">
        <v>3034</v>
      </c>
      <c r="D1985" s="1" t="s">
        <v>38</v>
      </c>
      <c r="E1985" s="12">
        <f>1600*F1985</f>
        <v>1337.8037760000004</v>
      </c>
      <c r="F1985" s="12">
        <f>POWER(3*Systems!D6,2)</f>
        <v>0.83612736000000021</v>
      </c>
      <c r="G1985" s="1" t="s">
        <v>39</v>
      </c>
      <c r="H1985" s="1" t="s">
        <v>41</v>
      </c>
    </row>
    <row r="1986" spans="1:8" ht="16.5">
      <c r="A1986" s="1" t="s">
        <v>1293</v>
      </c>
      <c r="B1986" s="1" t="s">
        <v>26</v>
      </c>
      <c r="C1986" s="1" t="s">
        <v>3034</v>
      </c>
      <c r="D1986" s="1" t="s">
        <v>38</v>
      </c>
      <c r="E1986" s="12">
        <f>3025*F1986</f>
        <v>2529.2852640000006</v>
      </c>
      <c r="F1986" s="12">
        <f>POWER(3*Systems!D6,2)</f>
        <v>0.83612736000000021</v>
      </c>
      <c r="G1986" s="1" t="s">
        <v>39</v>
      </c>
      <c r="H1986" s="1" t="s">
        <v>41</v>
      </c>
    </row>
    <row r="1987" spans="1:8" ht="16.5">
      <c r="A1987" s="1" t="s">
        <v>1366</v>
      </c>
      <c r="B1987" s="1" t="s">
        <v>26</v>
      </c>
      <c r="C1987" s="1" t="s">
        <v>3034</v>
      </c>
      <c r="D1987" s="1" t="s">
        <v>38</v>
      </c>
      <c r="E1987" s="12">
        <f>58080*F1987</f>
        <v>5395.8085632000002</v>
      </c>
      <c r="F1987" s="12">
        <f>Systems!D6*Systems!D6</f>
        <v>9.2903040000000006E-2</v>
      </c>
      <c r="G1987" s="1" t="s">
        <v>39</v>
      </c>
      <c r="H1987" s="1" t="s">
        <v>41</v>
      </c>
    </row>
    <row r="1988" spans="1:8" ht="16.5">
      <c r="A1988" s="1" t="s">
        <v>949</v>
      </c>
      <c r="B1988" s="1" t="s">
        <v>26</v>
      </c>
      <c r="C1988" s="1" t="s">
        <v>3034</v>
      </c>
      <c r="D1988" s="1" t="s">
        <v>38</v>
      </c>
      <c r="E1988" s="12">
        <f>F1988</f>
        <v>540</v>
      </c>
      <c r="F1988" s="12">
        <f>Systems!H107</f>
        <v>540</v>
      </c>
      <c r="G1988" s="1" t="s">
        <v>39</v>
      </c>
      <c r="H1988" s="1" t="s">
        <v>41</v>
      </c>
    </row>
    <row r="1989" spans="1:8" ht="16.5">
      <c r="A1989" s="1" t="s">
        <v>953</v>
      </c>
      <c r="B1989" s="1" t="s">
        <v>26</v>
      </c>
      <c r="C1989" s="1" t="s">
        <v>3034</v>
      </c>
      <c r="D1989" s="1" t="s">
        <v>38</v>
      </c>
      <c r="E1989" s="12">
        <f>F1989</f>
        <v>2.962E-2</v>
      </c>
      <c r="F1989" s="12">
        <f>Systems!H112</f>
        <v>2.962E-2</v>
      </c>
      <c r="G1989" s="1" t="s">
        <v>39</v>
      </c>
      <c r="H1989" s="1" t="s">
        <v>41</v>
      </c>
    </row>
    <row r="1990" spans="1:8" ht="16.5">
      <c r="A1990" s="1" t="s">
        <v>4923</v>
      </c>
      <c r="B1990" s="1" t="s">
        <v>26</v>
      </c>
      <c r="C1990" s="1" t="s">
        <v>3034</v>
      </c>
      <c r="D1990" s="1" t="s">
        <v>38</v>
      </c>
      <c r="E1990" s="12">
        <f>5*F1990</f>
        <v>2.3516081999999998</v>
      </c>
      <c r="F1990" s="12">
        <f>Systems!H108</f>
        <v>0.47032163999999993</v>
      </c>
      <c r="G1990" s="1" t="s">
        <v>39</v>
      </c>
      <c r="H1990" s="1" t="s">
        <v>41</v>
      </c>
    </row>
    <row r="1991" spans="1:8" ht="16.5">
      <c r="A1991" s="1" t="s">
        <v>4924</v>
      </c>
      <c r="B1991" s="1" t="s">
        <v>26</v>
      </c>
      <c r="C1991" s="1" t="s">
        <v>3034</v>
      </c>
      <c r="D1991" s="1" t="s">
        <v>38</v>
      </c>
      <c r="E1991" s="12">
        <f>5*F1991</f>
        <v>4.1861250000000005</v>
      </c>
      <c r="F1991" s="12">
        <f>Systems!H109</f>
        <v>0.83722500000000011</v>
      </c>
      <c r="G1991" s="1" t="s">
        <v>39</v>
      </c>
      <c r="H1991" s="1" t="s">
        <v>41</v>
      </c>
    </row>
    <row r="1992" spans="1:8" ht="16.5">
      <c r="A1992" s="1" t="s">
        <v>4925</v>
      </c>
      <c r="B1992" s="1" t="s">
        <v>26</v>
      </c>
      <c r="C1992" s="1" t="s">
        <v>3034</v>
      </c>
      <c r="D1992" s="1" t="s">
        <v>38</v>
      </c>
      <c r="E1992" s="12">
        <f>80*F1992</f>
        <v>37.625731199999997</v>
      </c>
      <c r="F1992" s="12">
        <f>Systems!H108</f>
        <v>0.47032163999999993</v>
      </c>
      <c r="G1992" s="1" t="s">
        <v>39</v>
      </c>
      <c r="H1992" s="1" t="s">
        <v>41</v>
      </c>
    </row>
    <row r="1993" spans="1:8" ht="16.5">
      <c r="A1993" s="1" t="s">
        <v>4926</v>
      </c>
      <c r="B1993" s="1" t="s">
        <v>26</v>
      </c>
      <c r="C1993" s="1" t="s">
        <v>3034</v>
      </c>
      <c r="D1993" s="1" t="s">
        <v>38</v>
      </c>
      <c r="E1993" s="12">
        <f>80*F1993</f>
        <v>66.978000000000009</v>
      </c>
      <c r="F1993" s="12">
        <f>Systems!H109</f>
        <v>0.83722500000000011</v>
      </c>
      <c r="G1993" s="1" t="s">
        <v>39</v>
      </c>
      <c r="H1993" s="1" t="s">
        <v>41</v>
      </c>
    </row>
    <row r="1994" spans="1:8" ht="16.5">
      <c r="A1994" s="1" t="s">
        <v>7508</v>
      </c>
      <c r="B1994" s="1" t="s">
        <v>26</v>
      </c>
      <c r="C1994" s="1" t="s">
        <v>3034</v>
      </c>
      <c r="D1994" s="1" t="s">
        <v>38</v>
      </c>
      <c r="E1994" s="12">
        <f>3200*F1994</f>
        <v>1505.0292479999998</v>
      </c>
      <c r="F1994" s="12">
        <f>Systems!H108</f>
        <v>0.47032163999999993</v>
      </c>
      <c r="G1994" s="1" t="s">
        <v>39</v>
      </c>
      <c r="H1994" s="1" t="s">
        <v>41</v>
      </c>
    </row>
    <row r="1995" spans="1:8" ht="16.5">
      <c r="A1995" s="1" t="s">
        <v>7509</v>
      </c>
      <c r="B1995" s="1" t="s">
        <v>26</v>
      </c>
      <c r="C1995" s="1" t="s">
        <v>3034</v>
      </c>
      <c r="D1995" s="1" t="s">
        <v>38</v>
      </c>
      <c r="E1995" s="12">
        <f>3200*F1995</f>
        <v>2679.1200000000003</v>
      </c>
      <c r="F1995" s="12">
        <f>Systems!H109</f>
        <v>0.83722500000000011</v>
      </c>
      <c r="G1995" s="1" t="s">
        <v>39</v>
      </c>
      <c r="H1995" s="1" t="s">
        <v>41</v>
      </c>
    </row>
    <row r="1996" spans="1:8" ht="16.5">
      <c r="A1996" s="1" t="s">
        <v>951</v>
      </c>
      <c r="B1996" s="1" t="s">
        <v>26</v>
      </c>
      <c r="C1996" s="1" t="s">
        <v>3034</v>
      </c>
      <c r="D1996" s="1" t="s">
        <v>38</v>
      </c>
      <c r="E1996" s="12">
        <f>F1996</f>
        <v>20.3</v>
      </c>
      <c r="F1996" s="12">
        <f>Systems!H110</f>
        <v>20.3</v>
      </c>
      <c r="G1996" s="1" t="s">
        <v>39</v>
      </c>
      <c r="H1996" s="1" t="s">
        <v>41</v>
      </c>
    </row>
    <row r="1997" spans="1:8" ht="16.5">
      <c r="A1997" s="1" t="s">
        <v>4927</v>
      </c>
      <c r="B1997" s="1" t="s">
        <v>26</v>
      </c>
      <c r="C1997" s="1" t="s">
        <v>3034</v>
      </c>
      <c r="D1997" s="1" t="s">
        <v>38</v>
      </c>
      <c r="E1997" s="12">
        <f>400*F1997</f>
        <v>188.12865599999998</v>
      </c>
      <c r="F1997" s="12">
        <f>Systems!H108</f>
        <v>0.47032163999999993</v>
      </c>
      <c r="G1997" s="1" t="s">
        <v>39</v>
      </c>
      <c r="H1997" s="1" t="s">
        <v>41</v>
      </c>
    </row>
    <row r="1998" spans="1:8" ht="16.5">
      <c r="A1998" s="1" t="s">
        <v>4928</v>
      </c>
      <c r="B1998" s="1" t="s">
        <v>26</v>
      </c>
      <c r="C1998" s="1" t="s">
        <v>3034</v>
      </c>
      <c r="D1998" s="1" t="s">
        <v>38</v>
      </c>
      <c r="E1998" s="12">
        <f>400*F1998</f>
        <v>334.89000000000004</v>
      </c>
      <c r="F1998" s="12">
        <f>Systems!H109</f>
        <v>0.83722500000000011</v>
      </c>
      <c r="G1998" s="1" t="s">
        <v>39</v>
      </c>
      <c r="H1998" s="1" t="s">
        <v>41</v>
      </c>
    </row>
    <row r="1999" spans="1:8" ht="16.5">
      <c r="A1999" s="1" t="s">
        <v>952</v>
      </c>
      <c r="B1999" s="1" t="s">
        <v>26</v>
      </c>
      <c r="C1999" s="1" t="s">
        <v>3034</v>
      </c>
      <c r="D1999" s="1" t="s">
        <v>38</v>
      </c>
      <c r="E1999" s="12">
        <f>F1999</f>
        <v>307.5</v>
      </c>
      <c r="F1999" s="12">
        <f>Systems!H111</f>
        <v>307.5</v>
      </c>
      <c r="G1999" s="1" t="s">
        <v>39</v>
      </c>
      <c r="H1999" s="1" t="s">
        <v>41</v>
      </c>
    </row>
    <row r="2000" spans="1:8" ht="16.5">
      <c r="A2000" s="1" t="s">
        <v>4929</v>
      </c>
      <c r="B2000" s="1" t="s">
        <v>26</v>
      </c>
      <c r="C2000" s="1" t="s">
        <v>3034</v>
      </c>
      <c r="D2000" s="1" t="s">
        <v>38</v>
      </c>
      <c r="E2000" s="12">
        <f>20*F2000</f>
        <v>9.4064327999999993</v>
      </c>
      <c r="F2000" s="12">
        <f>Systems!H108</f>
        <v>0.47032163999999993</v>
      </c>
      <c r="G2000" s="1" t="s">
        <v>39</v>
      </c>
      <c r="H2000" s="1" t="s">
        <v>41</v>
      </c>
    </row>
    <row r="2001" spans="1:8" ht="16.5">
      <c r="A2001" s="1" t="s">
        <v>4930</v>
      </c>
      <c r="B2001" s="1" t="s">
        <v>26</v>
      </c>
      <c r="C2001" s="1" t="s">
        <v>3034</v>
      </c>
      <c r="D2001" s="1" t="s">
        <v>38</v>
      </c>
      <c r="E2001" s="12">
        <f>20*F2001</f>
        <v>16.744500000000002</v>
      </c>
      <c r="F2001" s="12">
        <f>Systems!H109</f>
        <v>0.83722500000000011</v>
      </c>
      <c r="G2001" s="1" t="s">
        <v>39</v>
      </c>
      <c r="H2001" s="1" t="s">
        <v>41</v>
      </c>
    </row>
    <row r="2002" spans="1:8" ht="16.5">
      <c r="A2002" s="1" t="s">
        <v>6856</v>
      </c>
      <c r="B2002" s="5" t="s">
        <v>26</v>
      </c>
      <c r="C2002" s="1" t="s">
        <v>3034</v>
      </c>
      <c r="D2002" s="1" t="s">
        <v>38</v>
      </c>
      <c r="E2002" s="12">
        <f>F2002</f>
        <v>0.47032163999999993</v>
      </c>
      <c r="F2002" s="12">
        <f>POWER(Systems!D108,2)</f>
        <v>0.47032163999999993</v>
      </c>
      <c r="G2002" s="1" t="s">
        <v>39</v>
      </c>
      <c r="H2002" s="1" t="s">
        <v>41</v>
      </c>
    </row>
    <row r="2003" spans="1:8" ht="16.5">
      <c r="A2003" s="1" t="s">
        <v>4931</v>
      </c>
      <c r="B2003" s="5" t="s">
        <v>26</v>
      </c>
      <c r="C2003" s="1" t="s">
        <v>3034</v>
      </c>
      <c r="D2003" s="1" t="s">
        <v>38</v>
      </c>
      <c r="E2003" s="12">
        <f>F2003</f>
        <v>0.83722500000000011</v>
      </c>
      <c r="F2003" s="12">
        <f>POWER(Systems!D109,2)</f>
        <v>0.83722500000000011</v>
      </c>
      <c r="G2003" s="1" t="s">
        <v>39</v>
      </c>
      <c r="H2003" s="1" t="s">
        <v>41</v>
      </c>
    </row>
    <row r="2004" spans="1:8" ht="16.5">
      <c r="A2004" s="1" t="s">
        <v>4932</v>
      </c>
      <c r="B2004" s="1" t="s">
        <v>26</v>
      </c>
      <c r="C2004" s="1" t="s">
        <v>3034</v>
      </c>
      <c r="D2004" s="1" t="s">
        <v>38</v>
      </c>
      <c r="E2004" s="12">
        <f>2500*F2004</f>
        <v>1175.8040999999998</v>
      </c>
      <c r="F2004" s="12">
        <f>POWER(Systems!D108,2)</f>
        <v>0.47032163999999993</v>
      </c>
      <c r="G2004" s="1" t="s">
        <v>39</v>
      </c>
      <c r="H2004" s="1" t="s">
        <v>41</v>
      </c>
    </row>
    <row r="2005" spans="1:8" ht="16.5">
      <c r="A2005" s="1" t="s">
        <v>4933</v>
      </c>
      <c r="B2005" s="1" t="s">
        <v>26</v>
      </c>
      <c r="C2005" s="1" t="s">
        <v>3034</v>
      </c>
      <c r="D2005" s="1" t="s">
        <v>38</v>
      </c>
      <c r="E2005" s="12">
        <f>2500*F2005</f>
        <v>2093.0625000000005</v>
      </c>
      <c r="F2005" s="12">
        <f>POWER(Systems!D109,2)</f>
        <v>0.83722500000000011</v>
      </c>
      <c r="G2005" s="1" t="s">
        <v>39</v>
      </c>
      <c r="H2005" s="1" t="s">
        <v>41</v>
      </c>
    </row>
    <row r="2006" spans="1:8" ht="16.5">
      <c r="A2006" s="1" t="s">
        <v>1167</v>
      </c>
      <c r="B2006" s="1" t="s">
        <v>26</v>
      </c>
      <c r="C2006" s="1" t="s">
        <v>2936</v>
      </c>
      <c r="D2006" s="1" t="s">
        <v>32</v>
      </c>
      <c r="E2006" s="12">
        <f>(F2006/4)</f>
        <v>3.3E-3</v>
      </c>
      <c r="F2006" s="12">
        <f>Systems!T107</f>
        <v>1.32E-2</v>
      </c>
      <c r="G2006" s="1" t="s">
        <v>33</v>
      </c>
      <c r="H2006" s="1" t="s">
        <v>41</v>
      </c>
    </row>
    <row r="2007" spans="1:8" ht="16.5">
      <c r="A2007" s="1" t="s">
        <v>1247</v>
      </c>
      <c r="B2007" s="1" t="s">
        <v>26</v>
      </c>
      <c r="C2007" s="1" t="s">
        <v>2936</v>
      </c>
      <c r="D2007" s="1" t="s">
        <v>32</v>
      </c>
      <c r="E2007" s="12">
        <f>200*F2007</f>
        <v>2.64</v>
      </c>
      <c r="F2007" s="12">
        <f>Systems!T107</f>
        <v>1.32E-2</v>
      </c>
      <c r="G2007" s="1" t="s">
        <v>33</v>
      </c>
      <c r="H2007" s="1" t="s">
        <v>41</v>
      </c>
    </row>
    <row r="2008" spans="1:8" ht="16.5">
      <c r="A2008" s="1" t="s">
        <v>1028</v>
      </c>
      <c r="B2008" s="1" t="s">
        <v>26</v>
      </c>
      <c r="C2008" s="1" t="s">
        <v>2936</v>
      </c>
      <c r="D2008" s="1" t="s">
        <v>32</v>
      </c>
      <c r="E2008" s="12">
        <f>F2008/8</f>
        <v>1.25E-4</v>
      </c>
      <c r="F2008" s="12">
        <f>Systems!T108</f>
        <v>1E-3</v>
      </c>
      <c r="G2008" s="1" t="s">
        <v>33</v>
      </c>
      <c r="H2008" s="1" t="s">
        <v>41</v>
      </c>
    </row>
    <row r="2009" spans="1:8" ht="16.5">
      <c r="A2009" s="1" t="s">
        <v>1459</v>
      </c>
      <c r="B2009" s="1" t="s">
        <v>26</v>
      </c>
      <c r="C2009" s="1" t="s">
        <v>2936</v>
      </c>
      <c r="D2009" s="1" t="s">
        <v>32</v>
      </c>
      <c r="E2009" s="12">
        <f>F2009/32</f>
        <v>4.125E-4</v>
      </c>
      <c r="F2009" s="12">
        <f>Systems!T107</f>
        <v>1.32E-2</v>
      </c>
      <c r="G2009" s="1" t="s">
        <v>33</v>
      </c>
      <c r="H2009" s="1" t="s">
        <v>41</v>
      </c>
    </row>
    <row r="2010" spans="1:8" ht="16.5">
      <c r="A2010" s="1" t="s">
        <v>1465</v>
      </c>
      <c r="B2010" s="1" t="s">
        <v>26</v>
      </c>
      <c r="C2010" s="1" t="s">
        <v>2936</v>
      </c>
      <c r="D2010" s="1" t="s">
        <v>32</v>
      </c>
      <c r="E2010" s="12">
        <f>20*F2010</f>
        <v>0.26400000000000001</v>
      </c>
      <c r="F2010" s="12">
        <f>Systems!T107</f>
        <v>1.32E-2</v>
      </c>
      <c r="G2010" s="1" t="s">
        <v>33</v>
      </c>
      <c r="H2010" s="1" t="s">
        <v>41</v>
      </c>
    </row>
    <row r="2011" spans="1:8" ht="16.5">
      <c r="A2011" s="1" t="s">
        <v>795</v>
      </c>
      <c r="B2011" s="1" t="s">
        <v>26</v>
      </c>
      <c r="C2011" s="1" t="s">
        <v>2936</v>
      </c>
      <c r="D2011" s="1" t="s">
        <v>32</v>
      </c>
      <c r="E2011" s="12">
        <f>F2011</f>
        <v>1.32E-2</v>
      </c>
      <c r="F2011" s="12">
        <f>Systems!T107</f>
        <v>1.32E-2</v>
      </c>
      <c r="G2011" s="1" t="s">
        <v>33</v>
      </c>
      <c r="H2011" s="1" t="s">
        <v>41</v>
      </c>
    </row>
    <row r="2012" spans="1:8" ht="16.5">
      <c r="A2012" s="1" t="s">
        <v>1866</v>
      </c>
      <c r="B2012" s="1" t="s">
        <v>26</v>
      </c>
      <c r="C2012" s="1" t="s">
        <v>2936</v>
      </c>
      <c r="D2012" s="1" t="s">
        <v>32</v>
      </c>
      <c r="E2012" s="12">
        <f>F2012/16</f>
        <v>6.2500000000000001E-5</v>
      </c>
      <c r="F2012" s="12">
        <f>Systems!T108</f>
        <v>1E-3</v>
      </c>
      <c r="G2012" s="1" t="s">
        <v>33</v>
      </c>
      <c r="H2012" s="1" t="s">
        <v>41</v>
      </c>
    </row>
    <row r="2013" spans="1:8" ht="16.5">
      <c r="A2013" s="1" t="s">
        <v>2133</v>
      </c>
      <c r="B2013" s="1" t="s">
        <v>26</v>
      </c>
      <c r="C2013" s="1" t="s">
        <v>2936</v>
      </c>
      <c r="D2013" s="1" t="s">
        <v>32</v>
      </c>
      <c r="E2013" s="12">
        <f>F2013/32</f>
        <v>3.1250000000000001E-5</v>
      </c>
      <c r="F2013" s="12">
        <f>Systems!T108</f>
        <v>1E-3</v>
      </c>
      <c r="G2013" s="1" t="s">
        <v>33</v>
      </c>
      <c r="H2013" s="1" t="s">
        <v>41</v>
      </c>
    </row>
    <row r="2014" spans="1:8" ht="16.5">
      <c r="A2014" s="1" t="s">
        <v>793</v>
      </c>
      <c r="B2014" s="1" t="s">
        <v>26</v>
      </c>
      <c r="C2014" s="1" t="s">
        <v>2936</v>
      </c>
      <c r="D2014" s="1" t="s">
        <v>32</v>
      </c>
      <c r="E2014" s="12">
        <f>F2014/256</f>
        <v>5.15625E-5</v>
      </c>
      <c r="F2014" s="12">
        <f>Systems!T107</f>
        <v>1.32E-2</v>
      </c>
      <c r="G2014" s="1" t="s">
        <v>33</v>
      </c>
      <c r="H2014" s="1" t="s">
        <v>41</v>
      </c>
    </row>
    <row r="2015" spans="1:8" ht="16.5">
      <c r="A2015" s="1" t="s">
        <v>2305</v>
      </c>
      <c r="B2015" s="1" t="s">
        <v>26</v>
      </c>
      <c r="C2015" s="1" t="s">
        <v>2936</v>
      </c>
      <c r="D2015" s="1" t="s">
        <v>32</v>
      </c>
      <c r="E2015" s="12">
        <f>F2015/16</f>
        <v>8.25E-4</v>
      </c>
      <c r="F2015" s="12">
        <f>Systems!T107</f>
        <v>1.32E-2</v>
      </c>
      <c r="G2015" s="1" t="s">
        <v>33</v>
      </c>
      <c r="H2015" s="1" t="s">
        <v>41</v>
      </c>
    </row>
    <row r="2016" spans="1:8" ht="16.5">
      <c r="A2016" s="1" t="s">
        <v>910</v>
      </c>
      <c r="B2016" s="1" t="s">
        <v>26</v>
      </c>
      <c r="C2016" s="1" t="s">
        <v>2936</v>
      </c>
      <c r="D2016" s="1" t="s">
        <v>32</v>
      </c>
      <c r="E2016" s="12">
        <v>1E-3</v>
      </c>
      <c r="F2016" s="12">
        <f>Systems!T108</f>
        <v>1E-3</v>
      </c>
      <c r="G2016" s="1" t="s">
        <v>33</v>
      </c>
      <c r="H2016" s="1" t="s">
        <v>41</v>
      </c>
    </row>
    <row r="2017" spans="1:8" ht="16.5">
      <c r="A2017" s="1" t="s">
        <v>2464</v>
      </c>
      <c r="B2017" s="1" t="s">
        <v>26</v>
      </c>
      <c r="C2017" s="1" t="s">
        <v>2936</v>
      </c>
      <c r="D2017" s="1" t="s">
        <v>32</v>
      </c>
      <c r="E2017" s="12">
        <f>F2017</f>
        <v>1E-3</v>
      </c>
      <c r="F2017" s="12">
        <f>Systems!T108</f>
        <v>1E-3</v>
      </c>
      <c r="G2017" s="1" t="s">
        <v>33</v>
      </c>
      <c r="H2017" s="1" t="s">
        <v>41</v>
      </c>
    </row>
    <row r="2018" spans="1:8" ht="16.5">
      <c r="A2018" s="1" t="s">
        <v>2497</v>
      </c>
      <c r="B2018" s="1" t="s">
        <v>26</v>
      </c>
      <c r="C2018" s="1" t="s">
        <v>2936</v>
      </c>
      <c r="D2018" s="1" t="s">
        <v>32</v>
      </c>
      <c r="E2018" s="12">
        <f>16*F2018</f>
        <v>0.2112</v>
      </c>
      <c r="F2018" s="12">
        <f>Systems!T107</f>
        <v>1.32E-2</v>
      </c>
      <c r="G2018" s="1" t="s">
        <v>33</v>
      </c>
      <c r="H2018" s="1" t="s">
        <v>41</v>
      </c>
    </row>
    <row r="2019" spans="1:8" ht="16.5">
      <c r="A2019" s="1" t="s">
        <v>4934</v>
      </c>
      <c r="B2019" s="1" t="s">
        <v>26</v>
      </c>
      <c r="C2019" s="1" t="s">
        <v>2936</v>
      </c>
      <c r="D2019" s="1" t="s">
        <v>32</v>
      </c>
      <c r="E2019" s="12">
        <f>2*F2019</f>
        <v>2.64E-2</v>
      </c>
      <c r="F2019" s="12">
        <f>Systems!T107</f>
        <v>1.32E-2</v>
      </c>
      <c r="G2019" s="1" t="s">
        <v>33</v>
      </c>
      <c r="H2019" s="1" t="s">
        <v>41</v>
      </c>
    </row>
    <row r="2020" spans="1:8" ht="16.5">
      <c r="A2020" s="1" t="s">
        <v>1169</v>
      </c>
      <c r="B2020" s="1" t="s">
        <v>26</v>
      </c>
      <c r="C2020" s="1" t="s">
        <v>2935</v>
      </c>
      <c r="D2020" s="1" t="s">
        <v>32</v>
      </c>
      <c r="E2020" s="12">
        <f>F2020/16</f>
        <v>6.8812500000000002E-3</v>
      </c>
      <c r="F2020" s="12">
        <f>Systems!P108</f>
        <v>0.1101</v>
      </c>
      <c r="G2020" s="1" t="s">
        <v>33</v>
      </c>
      <c r="H2020" s="1" t="s">
        <v>41</v>
      </c>
    </row>
    <row r="2021" spans="1:8" ht="16.5">
      <c r="A2021" s="1" t="s">
        <v>1350</v>
      </c>
      <c r="B2021" s="1" t="s">
        <v>26</v>
      </c>
      <c r="C2021" s="1" t="s">
        <v>2935</v>
      </c>
      <c r="D2021" s="1" t="s">
        <v>32</v>
      </c>
      <c r="E2021" s="12">
        <f>640*F2021/80</f>
        <v>0.88080000000000003</v>
      </c>
      <c r="F2021" s="12">
        <f>Systems!P108</f>
        <v>0.1101</v>
      </c>
      <c r="G2021" s="1" t="s">
        <v>33</v>
      </c>
      <c r="H2021" s="1" t="s">
        <v>41</v>
      </c>
    </row>
    <row r="2022" spans="1:8" ht="16.5">
      <c r="A2022" s="1" t="s">
        <v>1392</v>
      </c>
      <c r="B2022" s="1" t="s">
        <v>26</v>
      </c>
      <c r="C2022" s="1" t="s">
        <v>2935</v>
      </c>
      <c r="D2022" s="1" t="s">
        <v>32</v>
      </c>
      <c r="E2022" s="12">
        <f>F2022/1600</f>
        <v>6.8812499999999999E-5</v>
      </c>
      <c r="F2022" s="12">
        <f>Systems!P108</f>
        <v>0.1101</v>
      </c>
      <c r="G2022" s="1" t="s">
        <v>33</v>
      </c>
      <c r="H2022" s="1" t="s">
        <v>41</v>
      </c>
    </row>
    <row r="2023" spans="1:8" ht="16.5">
      <c r="A2023" s="1" t="s">
        <v>1400</v>
      </c>
      <c r="B2023" s="1" t="s">
        <v>26</v>
      </c>
      <c r="C2023" s="1" t="s">
        <v>2935</v>
      </c>
      <c r="D2023" s="1" t="s">
        <v>32</v>
      </c>
      <c r="E2023" s="12">
        <f>F2023/1024</f>
        <v>1.0751953125E-4</v>
      </c>
      <c r="F2023" s="12">
        <f>Systems!P108</f>
        <v>0.1101</v>
      </c>
      <c r="G2023" s="1" t="s">
        <v>33</v>
      </c>
      <c r="H2023" s="1" t="s">
        <v>41</v>
      </c>
    </row>
    <row r="2024" spans="1:8" ht="16.5">
      <c r="A2024" s="1" t="s">
        <v>1652</v>
      </c>
      <c r="B2024" s="1" t="s">
        <v>26</v>
      </c>
      <c r="C2024" s="1" t="s">
        <v>2935</v>
      </c>
      <c r="D2024" s="1" t="s">
        <v>32</v>
      </c>
      <c r="E2024" s="12">
        <f>80*F2024</f>
        <v>8.8079999999999998</v>
      </c>
      <c r="F2024" s="12">
        <f>Systems!P108</f>
        <v>0.1101</v>
      </c>
      <c r="G2024" s="1" t="s">
        <v>33</v>
      </c>
      <c r="H2024" s="1" t="s">
        <v>41</v>
      </c>
    </row>
    <row r="2025" spans="1:8" ht="16.5">
      <c r="A2025" s="1" t="s">
        <v>1831</v>
      </c>
      <c r="B2025" s="1" t="s">
        <v>26</v>
      </c>
      <c r="C2025" s="1" t="s">
        <v>2935</v>
      </c>
      <c r="D2025" s="1" t="s">
        <v>32</v>
      </c>
      <c r="E2025" s="12">
        <f>16*F2025</f>
        <v>1.7616000000000001</v>
      </c>
      <c r="F2025" s="12">
        <f>Systems!P108</f>
        <v>0.1101</v>
      </c>
      <c r="G2025" s="1" t="s">
        <v>33</v>
      </c>
      <c r="H2025" s="1" t="s">
        <v>41</v>
      </c>
    </row>
    <row r="2026" spans="1:8" ht="16.5">
      <c r="A2026" s="1" t="s">
        <v>1837</v>
      </c>
      <c r="B2026" s="1" t="s">
        <v>26</v>
      </c>
      <c r="C2026" s="1" t="s">
        <v>2935</v>
      </c>
      <c r="D2026" s="1" t="s">
        <v>32</v>
      </c>
      <c r="E2026" s="12">
        <f>F2026/1280</f>
        <v>8.6015625000000005E-5</v>
      </c>
      <c r="F2026" s="12">
        <f>Systems!P108</f>
        <v>0.1101</v>
      </c>
      <c r="G2026" s="1" t="s">
        <v>33</v>
      </c>
      <c r="H2026" s="1" t="s">
        <v>41</v>
      </c>
    </row>
    <row r="2027" spans="1:8" ht="16.5">
      <c r="A2027" s="1" t="s">
        <v>1895</v>
      </c>
      <c r="B2027" s="1" t="s">
        <v>26</v>
      </c>
      <c r="C2027" s="1" t="s">
        <v>2935</v>
      </c>
      <c r="D2027" s="1" t="s">
        <v>32</v>
      </c>
      <c r="E2027" s="12">
        <f>F2027/320</f>
        <v>3.4406250000000002E-4</v>
      </c>
      <c r="F2027" s="12">
        <f>Systems!P108</f>
        <v>0.1101</v>
      </c>
      <c r="G2027" s="1" t="s">
        <v>33</v>
      </c>
      <c r="H2027" s="1" t="s">
        <v>41</v>
      </c>
    </row>
    <row r="2028" spans="1:8" ht="16.5">
      <c r="A2028" s="1" t="s">
        <v>2013</v>
      </c>
      <c r="B2028" s="1" t="s">
        <v>26</v>
      </c>
      <c r="C2028" s="1" t="s">
        <v>2935</v>
      </c>
      <c r="D2028" s="1" t="s">
        <v>32</v>
      </c>
      <c r="E2028" s="12">
        <f>F2028/2</f>
        <v>5.0000000000000001E-4</v>
      </c>
      <c r="F2028" s="12">
        <f>Systems!T108</f>
        <v>1E-3</v>
      </c>
      <c r="G2028" s="1" t="s">
        <v>33</v>
      </c>
      <c r="H2028" s="1" t="s">
        <v>41</v>
      </c>
    </row>
    <row r="2029" spans="1:8" ht="16.5">
      <c r="A2029" s="1" t="s">
        <v>903</v>
      </c>
      <c r="B2029" s="1" t="s">
        <v>26</v>
      </c>
      <c r="C2029" s="1" t="s">
        <v>2935</v>
      </c>
      <c r="D2029" s="1" t="s">
        <v>32</v>
      </c>
      <c r="E2029" s="12">
        <f>5*F2029/8</f>
        <v>6.8812499999999999E-2</v>
      </c>
      <c r="F2029" s="12">
        <f>Systems!P108</f>
        <v>0.1101</v>
      </c>
      <c r="G2029" s="1" t="s">
        <v>33</v>
      </c>
      <c r="H2029" s="1" t="s">
        <v>41</v>
      </c>
    </row>
    <row r="2030" spans="1:8" ht="16.5">
      <c r="A2030" s="1" t="s">
        <v>2106</v>
      </c>
      <c r="B2030" s="1" t="s">
        <v>26</v>
      </c>
      <c r="C2030" s="1" t="s">
        <v>2936</v>
      </c>
      <c r="D2030" s="1" t="s">
        <v>32</v>
      </c>
      <c r="E2030" s="12">
        <f>F2030/256</f>
        <v>5.15625E-5</v>
      </c>
      <c r="F2030" s="12">
        <f>Systems!T107</f>
        <v>1.32E-2</v>
      </c>
      <c r="G2030" s="1" t="s">
        <v>33</v>
      </c>
      <c r="H2030" s="1" t="s">
        <v>41</v>
      </c>
    </row>
    <row r="2031" spans="1:8" ht="16.5">
      <c r="A2031" s="1" t="s">
        <v>2211</v>
      </c>
      <c r="B2031" s="1" t="s">
        <v>26</v>
      </c>
      <c r="C2031" s="1" t="s">
        <v>2935</v>
      </c>
      <c r="D2031" s="1" t="s">
        <v>32</v>
      </c>
      <c r="E2031" s="12">
        <f>F2031/20</f>
        <v>5.5050000000000003E-3</v>
      </c>
      <c r="F2031" s="12">
        <f>Systems!P108</f>
        <v>0.1101</v>
      </c>
      <c r="G2031" s="1" t="s">
        <v>33</v>
      </c>
      <c r="H2031" s="1" t="s">
        <v>41</v>
      </c>
    </row>
    <row r="2032" spans="1:8" ht="16.5">
      <c r="A2032" s="1" t="s">
        <v>909</v>
      </c>
      <c r="B2032" s="1" t="s">
        <v>26</v>
      </c>
      <c r="C2032" s="1" t="s">
        <v>2935</v>
      </c>
      <c r="D2032" s="1" t="s">
        <v>32</v>
      </c>
      <c r="E2032" s="12">
        <f>F2032</f>
        <v>0.1101</v>
      </c>
      <c r="F2032" s="12">
        <f>Systems!P108</f>
        <v>0.1101</v>
      </c>
      <c r="G2032" s="1" t="s">
        <v>33</v>
      </c>
      <c r="H2032" s="1" t="s">
        <v>41</v>
      </c>
    </row>
    <row r="2033" spans="1:8" ht="16.5">
      <c r="A2033" s="1" t="s">
        <v>2237</v>
      </c>
      <c r="B2033" s="1" t="s">
        <v>26</v>
      </c>
      <c r="C2033" s="1" t="s">
        <v>2935</v>
      </c>
      <c r="D2033" s="1" t="s">
        <v>32</v>
      </c>
      <c r="E2033" s="12">
        <f>F2033/256</f>
        <v>4.3007812500000001E-4</v>
      </c>
      <c r="F2033" s="12">
        <f>Systems!P108</f>
        <v>0.1101</v>
      </c>
      <c r="G2033" s="1" t="s">
        <v>33</v>
      </c>
      <c r="H2033" s="1" t="s">
        <v>41</v>
      </c>
    </row>
    <row r="2034" spans="1:8" ht="16.5">
      <c r="A2034" s="1" t="s">
        <v>2365</v>
      </c>
      <c r="B2034" s="1" t="s">
        <v>26</v>
      </c>
      <c r="C2034" s="1" t="s">
        <v>2935</v>
      </c>
      <c r="D2034" s="1" t="s">
        <v>32</v>
      </c>
      <c r="E2034" s="12">
        <f>F2034/80</f>
        <v>1.3762500000000001E-3</v>
      </c>
      <c r="F2034" s="12">
        <f>Systems!P108</f>
        <v>0.1101</v>
      </c>
      <c r="G2034" s="1" t="s">
        <v>33</v>
      </c>
      <c r="H2034" s="1" t="s">
        <v>41</v>
      </c>
    </row>
    <row r="2035" spans="1:8" ht="16.5">
      <c r="A2035" s="1" t="s">
        <v>910</v>
      </c>
      <c r="B2035" s="1" t="s">
        <v>26</v>
      </c>
      <c r="C2035" s="1" t="s">
        <v>2935</v>
      </c>
      <c r="D2035" s="1" t="s">
        <v>32</v>
      </c>
      <c r="E2035" s="12">
        <f>F2035/64</f>
        <v>1.7203125000000001E-3</v>
      </c>
      <c r="F2035" s="12">
        <f>Systems!P108</f>
        <v>0.1101</v>
      </c>
      <c r="G2035" s="1" t="s">
        <v>33</v>
      </c>
      <c r="H2035" s="1" t="s">
        <v>41</v>
      </c>
    </row>
    <row r="2036" spans="1:8" ht="16.5">
      <c r="A2036" s="1" t="s">
        <v>2536</v>
      </c>
      <c r="B2036" s="1" t="s">
        <v>26</v>
      </c>
      <c r="C2036" s="1" t="s">
        <v>2935</v>
      </c>
      <c r="D2036" s="1" t="s">
        <v>32</v>
      </c>
      <c r="E2036" s="12">
        <v>0.1101</v>
      </c>
      <c r="F2036" s="12">
        <f>Systems!P108</f>
        <v>0.1101</v>
      </c>
      <c r="G2036" s="1" t="s">
        <v>33</v>
      </c>
      <c r="H2036" s="1" t="s">
        <v>41</v>
      </c>
    </row>
    <row r="2037" spans="1:8" ht="16.5">
      <c r="A2037" s="1" t="s">
        <v>2663</v>
      </c>
      <c r="B2037" s="1" t="s">
        <v>26</v>
      </c>
      <c r="C2037" s="1" t="s">
        <v>2935</v>
      </c>
      <c r="D2037" s="1" t="s">
        <v>32</v>
      </c>
      <c r="E2037" s="12">
        <f>F2037/128</f>
        <v>8.6015625000000003E-4</v>
      </c>
      <c r="F2037" s="12">
        <f>Systems!P108</f>
        <v>0.1101</v>
      </c>
      <c r="G2037" s="1" t="s">
        <v>33</v>
      </c>
      <c r="H2037" s="1" t="s">
        <v>41</v>
      </c>
    </row>
    <row r="2038" spans="1:8">
      <c r="A2038" s="1" t="s">
        <v>1159</v>
      </c>
      <c r="B2038" s="1" t="s">
        <v>26</v>
      </c>
      <c r="C2038" s="1" t="s">
        <v>17</v>
      </c>
      <c r="D2038" s="1" t="s">
        <v>20</v>
      </c>
      <c r="E2038" s="12">
        <f>20000*F2038</f>
        <v>940</v>
      </c>
      <c r="F2038" s="12">
        <f>Systems!L107</f>
        <v>4.7E-2</v>
      </c>
      <c r="G2038" s="1" t="s">
        <v>23</v>
      </c>
      <c r="H2038" s="1" t="s">
        <v>41</v>
      </c>
    </row>
    <row r="2039" spans="1:8">
      <c r="A2039" s="1" t="s">
        <v>1166</v>
      </c>
      <c r="B2039" s="1" t="s">
        <v>26</v>
      </c>
      <c r="C2039" s="1" t="s">
        <v>17</v>
      </c>
      <c r="D2039" s="1" t="s">
        <v>20</v>
      </c>
      <c r="E2039" s="12">
        <f>F2039/2</f>
        <v>0.46651999999999999</v>
      </c>
      <c r="F2039" s="12">
        <f>Systems!L108</f>
        <v>0.93303999999999998</v>
      </c>
      <c r="G2039" s="1" t="s">
        <v>23</v>
      </c>
      <c r="H2039" s="1" t="s">
        <v>41</v>
      </c>
    </row>
    <row r="2040" spans="1:8">
      <c r="A2040" s="1" t="s">
        <v>1167</v>
      </c>
      <c r="B2040" s="1" t="s">
        <v>26</v>
      </c>
      <c r="C2040" s="1" t="s">
        <v>17</v>
      </c>
      <c r="D2040" s="1" t="s">
        <v>20</v>
      </c>
      <c r="E2040" s="12">
        <f>F2040/4</f>
        <v>3.3</v>
      </c>
      <c r="F2040" s="12">
        <f>Systems!L109</f>
        <v>13.2</v>
      </c>
      <c r="G2040" s="1" t="s">
        <v>23</v>
      </c>
      <c r="H2040" s="1" t="s">
        <v>41</v>
      </c>
    </row>
    <row r="2041" spans="1:8">
      <c r="A2041" s="1" t="s">
        <v>1168</v>
      </c>
      <c r="B2041" s="1" t="s">
        <v>26</v>
      </c>
      <c r="C2041" s="1" t="s">
        <v>17</v>
      </c>
      <c r="D2041" s="1" t="s">
        <v>20</v>
      </c>
      <c r="E2041" s="12">
        <f>F2041/2</f>
        <v>0.46651999999999999</v>
      </c>
      <c r="F2041" s="12">
        <f>Systems!L108</f>
        <v>0.93303999999999998</v>
      </c>
      <c r="G2041" s="1" t="s">
        <v>23</v>
      </c>
      <c r="H2041" s="1" t="s">
        <v>41</v>
      </c>
    </row>
    <row r="2042" spans="1:8">
      <c r="A2042" s="1" t="s">
        <v>1165</v>
      </c>
      <c r="B2042" s="1" t="s">
        <v>26</v>
      </c>
      <c r="C2042" s="1" t="s">
        <v>17</v>
      </c>
      <c r="D2042" s="1" t="s">
        <v>20</v>
      </c>
      <c r="E2042" s="12">
        <f>F2042/8</f>
        <v>0.11663</v>
      </c>
      <c r="F2042" s="12">
        <f>Systems!L108</f>
        <v>0.93303999999999998</v>
      </c>
      <c r="G2042" s="1" t="s">
        <v>23</v>
      </c>
      <c r="H2042" s="1" t="s">
        <v>41</v>
      </c>
    </row>
    <row r="2043" spans="1:8">
      <c r="A2043" s="1" t="s">
        <v>1247</v>
      </c>
      <c r="B2043" s="1" t="s">
        <v>26</v>
      </c>
      <c r="C2043" s="1" t="s">
        <v>17</v>
      </c>
      <c r="D2043" s="1" t="s">
        <v>20</v>
      </c>
      <c r="E2043" s="12">
        <f>200*F2043</f>
        <v>2640</v>
      </c>
      <c r="F2043" s="12">
        <f>Systems!L109</f>
        <v>13.2</v>
      </c>
      <c r="G2043" s="1" t="s">
        <v>23</v>
      </c>
      <c r="H2043" s="1" t="s">
        <v>41</v>
      </c>
    </row>
    <row r="2044" spans="1:8">
      <c r="A2044" s="14" t="s">
        <v>1250</v>
      </c>
      <c r="B2044" s="1" t="s">
        <v>26</v>
      </c>
      <c r="C2044" s="1" t="s">
        <v>17</v>
      </c>
      <c r="D2044" s="1" t="s">
        <v>20</v>
      </c>
      <c r="E2044" s="16">
        <f>400*F2044</f>
        <v>181.436948</v>
      </c>
      <c r="F2044" s="16">
        <f>Systems!L6</f>
        <v>0.45359237000000002</v>
      </c>
      <c r="G2044" s="1" t="s">
        <v>23</v>
      </c>
      <c r="H2044" s="1" t="s">
        <v>41</v>
      </c>
    </row>
    <row r="2045" spans="1:8">
      <c r="A2045" s="1" t="s">
        <v>932</v>
      </c>
      <c r="B2045" s="1" t="s">
        <v>26</v>
      </c>
      <c r="C2045" s="1" t="s">
        <v>17</v>
      </c>
      <c r="D2045" s="1" t="s">
        <v>20</v>
      </c>
      <c r="E2045" s="12">
        <f>2000*F2045</f>
        <v>94</v>
      </c>
      <c r="F2045" s="12">
        <f>Systems!L107</f>
        <v>4.7E-2</v>
      </c>
      <c r="G2045" s="1" t="s">
        <v>23</v>
      </c>
      <c r="H2045" s="1" t="s">
        <v>41</v>
      </c>
    </row>
    <row r="2046" spans="1:8">
      <c r="A2046" s="1" t="s">
        <v>1277</v>
      </c>
      <c r="B2046" s="1" t="s">
        <v>26</v>
      </c>
      <c r="C2046" s="1" t="s">
        <v>17</v>
      </c>
      <c r="D2046" s="1" t="s">
        <v>20</v>
      </c>
      <c r="E2046" s="12">
        <f>40*F2046</f>
        <v>37.321599999999997</v>
      </c>
      <c r="F2046" s="12">
        <f>Systems!L108</f>
        <v>0.93303999999999998</v>
      </c>
      <c r="G2046" s="1" t="s">
        <v>23</v>
      </c>
      <c r="H2046" s="1" t="s">
        <v>41</v>
      </c>
    </row>
    <row r="2047" spans="1:8">
      <c r="A2047" s="1" t="s">
        <v>1291</v>
      </c>
      <c r="B2047" s="1" t="s">
        <v>26</v>
      </c>
      <c r="C2047" s="1" t="s">
        <v>17</v>
      </c>
      <c r="D2047" s="1" t="s">
        <v>20</v>
      </c>
      <c r="E2047" s="12">
        <f>F2047/80</f>
        <v>1.1663E-2</v>
      </c>
      <c r="F2047" s="12">
        <f>Systems!L108</f>
        <v>0.93303999999999998</v>
      </c>
      <c r="G2047" s="1" t="s">
        <v>23</v>
      </c>
      <c r="H2047" s="1" t="s">
        <v>41</v>
      </c>
    </row>
    <row r="2048" spans="1:8">
      <c r="A2048" s="1" t="s">
        <v>1350</v>
      </c>
      <c r="B2048" s="1" t="s">
        <v>26</v>
      </c>
      <c r="C2048" s="1" t="s">
        <v>17</v>
      </c>
      <c r="D2048" s="1" t="s">
        <v>20</v>
      </c>
      <c r="E2048" s="12">
        <f>800*F2048</f>
        <v>746.43200000000002</v>
      </c>
      <c r="F2048" s="12">
        <f>Systems!L108</f>
        <v>0.93303999999999998</v>
      </c>
      <c r="G2048" s="1" t="s">
        <v>23</v>
      </c>
      <c r="H2048" s="1" t="s">
        <v>41</v>
      </c>
    </row>
    <row r="2049" spans="1:8">
      <c r="A2049" s="1" t="s">
        <v>1393</v>
      </c>
      <c r="B2049" s="1" t="s">
        <v>26</v>
      </c>
      <c r="C2049" s="1" t="s">
        <v>17</v>
      </c>
      <c r="D2049" s="1" t="s">
        <v>20</v>
      </c>
      <c r="E2049" s="12">
        <f>F2049/122880</f>
        <v>7.5930989583333329E-6</v>
      </c>
      <c r="F2049" s="12">
        <f>Systems!L108</f>
        <v>0.93303999999999998</v>
      </c>
      <c r="G2049" s="1" t="s">
        <v>23</v>
      </c>
      <c r="H2049" s="1" t="s">
        <v>41</v>
      </c>
    </row>
    <row r="2050" spans="1:8">
      <c r="A2050" s="1" t="s">
        <v>1400</v>
      </c>
      <c r="B2050" s="1" t="s">
        <v>26</v>
      </c>
      <c r="C2050" s="1" t="s">
        <v>17</v>
      </c>
      <c r="D2050" s="1" t="s">
        <v>20</v>
      </c>
      <c r="E2050" s="12">
        <f>F2050/16</f>
        <v>5.8314999999999999E-2</v>
      </c>
      <c r="F2050" s="12">
        <f>Systems!L108</f>
        <v>0.93303999999999998</v>
      </c>
      <c r="G2050" s="1" t="s">
        <v>23</v>
      </c>
      <c r="H2050" s="1" t="s">
        <v>41</v>
      </c>
    </row>
    <row r="2051" spans="1:8">
      <c r="A2051" s="1" t="s">
        <v>1405</v>
      </c>
      <c r="B2051" s="1" t="s">
        <v>26</v>
      </c>
      <c r="C2051" s="1" t="s">
        <v>17</v>
      </c>
      <c r="D2051" s="1" t="s">
        <v>20</v>
      </c>
      <c r="E2051" s="12">
        <f>F2051/16</f>
        <v>5.8314999999999999E-2</v>
      </c>
      <c r="F2051" s="12">
        <f>Systems!L108</f>
        <v>0.93303999999999998</v>
      </c>
      <c r="G2051" s="1" t="s">
        <v>23</v>
      </c>
      <c r="H2051" s="1" t="s">
        <v>41</v>
      </c>
    </row>
    <row r="2052" spans="1:8">
      <c r="A2052" s="1" t="s">
        <v>1459</v>
      </c>
      <c r="B2052" s="1" t="s">
        <v>26</v>
      </c>
      <c r="C2052" s="1" t="s">
        <v>17</v>
      </c>
      <c r="D2052" s="1" t="s">
        <v>20</v>
      </c>
      <c r="E2052" s="12">
        <f>F2052/32</f>
        <v>0.41249999999999998</v>
      </c>
      <c r="F2052" s="12">
        <f>Systems!L109</f>
        <v>13.2</v>
      </c>
      <c r="G2052" s="1" t="s">
        <v>23</v>
      </c>
      <c r="H2052" s="1" t="s">
        <v>41</v>
      </c>
    </row>
    <row r="2053" spans="1:8">
      <c r="A2053" s="1" t="s">
        <v>1465</v>
      </c>
      <c r="B2053" s="1" t="s">
        <v>26</v>
      </c>
      <c r="C2053" s="1" t="s">
        <v>17</v>
      </c>
      <c r="D2053" s="1" t="s">
        <v>20</v>
      </c>
      <c r="E2053" s="12">
        <f>20*F2053</f>
        <v>264</v>
      </c>
      <c r="F2053" s="12">
        <f>Systems!L109</f>
        <v>13.2</v>
      </c>
      <c r="G2053" s="1" t="s">
        <v>23</v>
      </c>
      <c r="H2053" s="1" t="s">
        <v>41</v>
      </c>
    </row>
    <row r="2054" spans="1:8">
      <c r="A2054" s="1" t="s">
        <v>4935</v>
      </c>
      <c r="B2054" s="1" t="s">
        <v>26</v>
      </c>
      <c r="C2054" s="1" t="s">
        <v>17</v>
      </c>
      <c r="D2054" s="1" t="s">
        <v>20</v>
      </c>
      <c r="E2054" s="12">
        <f>2*F2054</f>
        <v>26.4</v>
      </c>
      <c r="F2054" s="12">
        <f>Systems!L109</f>
        <v>13.2</v>
      </c>
      <c r="G2054" s="1" t="s">
        <v>23</v>
      </c>
      <c r="H2054" s="1" t="s">
        <v>41</v>
      </c>
    </row>
    <row r="2055" spans="1:8">
      <c r="A2055" s="1" t="s">
        <v>1487</v>
      </c>
      <c r="B2055" s="1" t="s">
        <v>26</v>
      </c>
      <c r="C2055" s="1" t="s">
        <v>17</v>
      </c>
      <c r="D2055" s="1" t="s">
        <v>20</v>
      </c>
      <c r="E2055" s="12">
        <f>10*F2055</f>
        <v>9.3303999999999991</v>
      </c>
      <c r="F2055" s="12">
        <f>Systems!L108</f>
        <v>0.93303999999999998</v>
      </c>
      <c r="G2055" s="1" t="s">
        <v>23</v>
      </c>
      <c r="H2055" s="1" t="s">
        <v>41</v>
      </c>
    </row>
    <row r="2056" spans="1:8">
      <c r="A2056" s="1" t="s">
        <v>1488</v>
      </c>
      <c r="B2056" s="1" t="s">
        <v>26</v>
      </c>
      <c r="C2056" s="1" t="s">
        <v>17</v>
      </c>
      <c r="D2056" s="1" t="s">
        <v>20</v>
      </c>
      <c r="E2056" s="12">
        <f>10*F2056</f>
        <v>9.3303999999999991</v>
      </c>
      <c r="F2056" s="12">
        <f>Systems!L108</f>
        <v>0.93303999999999998</v>
      </c>
      <c r="G2056" s="1" t="s">
        <v>23</v>
      </c>
      <c r="H2056" s="1" t="s">
        <v>41</v>
      </c>
    </row>
    <row r="2057" spans="1:8">
      <c r="A2057" s="1" t="s">
        <v>1515</v>
      </c>
      <c r="B2057" s="1" t="s">
        <v>26</v>
      </c>
      <c r="C2057" s="1" t="s">
        <v>17</v>
      </c>
      <c r="D2057" s="1" t="s">
        <v>20</v>
      </c>
      <c r="E2057" s="12">
        <f>5*F2057/2</f>
        <v>2.3325999999999998</v>
      </c>
      <c r="F2057" s="12">
        <f>Systems!L108</f>
        <v>0.93303999999999998</v>
      </c>
      <c r="G2057" s="1" t="s">
        <v>23</v>
      </c>
      <c r="H2057" s="1" t="s">
        <v>41</v>
      </c>
    </row>
    <row r="2058" spans="1:8">
      <c r="A2058" s="1" t="s">
        <v>1516</v>
      </c>
      <c r="B2058" s="1" t="s">
        <v>26</v>
      </c>
      <c r="C2058" s="1" t="s">
        <v>17</v>
      </c>
      <c r="D2058" s="1" t="s">
        <v>20</v>
      </c>
      <c r="E2058" s="12">
        <f>F2058/30720</f>
        <v>3.0372395833333332E-5</v>
      </c>
      <c r="F2058" s="12">
        <f>Systems!L108</f>
        <v>0.93303999999999998</v>
      </c>
      <c r="G2058" s="1" t="s">
        <v>23</v>
      </c>
      <c r="H2058" s="1" t="s">
        <v>41</v>
      </c>
    </row>
    <row r="2059" spans="1:8">
      <c r="A2059" s="1" t="s">
        <v>1518</v>
      </c>
      <c r="B2059" s="1" t="s">
        <v>26</v>
      </c>
      <c r="C2059" s="1" t="s">
        <v>17</v>
      </c>
      <c r="D2059" s="1" t="s">
        <v>20</v>
      </c>
      <c r="E2059" s="12">
        <f>F2059/10</f>
        <v>4.7000000000000002E-3</v>
      </c>
      <c r="F2059" s="12">
        <f>Systems!L107</f>
        <v>4.7E-2</v>
      </c>
      <c r="G2059" s="1" t="s">
        <v>23</v>
      </c>
      <c r="H2059" s="1" t="s">
        <v>41</v>
      </c>
    </row>
    <row r="2060" spans="1:8">
      <c r="A2060" s="1" t="s">
        <v>1519</v>
      </c>
      <c r="B2060" s="1" t="s">
        <v>26</v>
      </c>
      <c r="C2060" s="1" t="s">
        <v>17</v>
      </c>
      <c r="D2060" s="1" t="s">
        <v>20</v>
      </c>
      <c r="E2060" s="12">
        <f>5*F2060/2</f>
        <v>2.3325999999999998</v>
      </c>
      <c r="F2060" s="12">
        <f>Systems!L108</f>
        <v>0.93303999999999998</v>
      </c>
      <c r="G2060" s="1" t="s">
        <v>23</v>
      </c>
      <c r="H2060" s="1" t="s">
        <v>41</v>
      </c>
    </row>
    <row r="2061" spans="1:8">
      <c r="A2061" s="1" t="s">
        <v>1520</v>
      </c>
      <c r="B2061" s="1" t="s">
        <v>26</v>
      </c>
      <c r="C2061" s="1" t="s">
        <v>17</v>
      </c>
      <c r="D2061" s="1" t="s">
        <v>20</v>
      </c>
      <c r="E2061" s="12">
        <f>5*F2061</f>
        <v>4.6651999999999996</v>
      </c>
      <c r="F2061" s="12">
        <f>Systems!L108</f>
        <v>0.93303999999999998</v>
      </c>
      <c r="G2061" s="1" t="s">
        <v>23</v>
      </c>
      <c r="H2061" s="1" t="s">
        <v>41</v>
      </c>
    </row>
    <row r="2062" spans="1:8">
      <c r="A2062" s="1" t="s">
        <v>795</v>
      </c>
      <c r="B2062" s="1" t="s">
        <v>26</v>
      </c>
      <c r="C2062" s="1" t="s">
        <v>17</v>
      </c>
      <c r="D2062" s="1" t="s">
        <v>20</v>
      </c>
      <c r="E2062" s="12">
        <f>F2062</f>
        <v>13.2</v>
      </c>
      <c r="F2062" s="12">
        <f>Systems!L109</f>
        <v>13.2</v>
      </c>
      <c r="G2062" s="1" t="s">
        <v>23</v>
      </c>
      <c r="H2062" s="1" t="s">
        <v>41</v>
      </c>
    </row>
    <row r="2063" spans="1:8">
      <c r="A2063" s="1" t="s">
        <v>1591</v>
      </c>
      <c r="B2063" s="1" t="s">
        <v>26</v>
      </c>
      <c r="C2063" s="1" t="s">
        <v>17</v>
      </c>
      <c r="D2063" s="1" t="s">
        <v>20</v>
      </c>
      <c r="E2063" s="12">
        <f>5*F2063</f>
        <v>4.6651999999999996</v>
      </c>
      <c r="F2063" s="12">
        <f>Systems!L108</f>
        <v>0.93303999999999998</v>
      </c>
      <c r="G2063" s="1" t="s">
        <v>23</v>
      </c>
      <c r="H2063" s="1" t="s">
        <v>41</v>
      </c>
    </row>
    <row r="2064" spans="1:8">
      <c r="A2064" s="1" t="s">
        <v>1719</v>
      </c>
      <c r="B2064" s="1" t="s">
        <v>26</v>
      </c>
      <c r="C2064" s="1" t="s">
        <v>17</v>
      </c>
      <c r="D2064" s="1" t="s">
        <v>20</v>
      </c>
      <c r="E2064" s="12">
        <f>200*F2064</f>
        <v>9.4</v>
      </c>
      <c r="F2064" s="12">
        <f>Systems!L107</f>
        <v>4.7E-2</v>
      </c>
      <c r="G2064" s="1" t="s">
        <v>23</v>
      </c>
      <c r="H2064" s="1" t="s">
        <v>41</v>
      </c>
    </row>
    <row r="2065" spans="1:8">
      <c r="A2065" s="1" t="s">
        <v>1797</v>
      </c>
      <c r="B2065" s="1" t="s">
        <v>26</v>
      </c>
      <c r="C2065" s="1" t="s">
        <v>17</v>
      </c>
      <c r="D2065" s="1" t="s">
        <v>20</v>
      </c>
      <c r="E2065" s="12">
        <f>F2065/64</f>
        <v>1.457875E-2</v>
      </c>
      <c r="F2065" s="12">
        <f>Systems!L108</f>
        <v>0.93303999999999998</v>
      </c>
      <c r="G2065" s="1" t="s">
        <v>23</v>
      </c>
      <c r="H2065" s="1" t="s">
        <v>41</v>
      </c>
    </row>
    <row r="2066" spans="1:8">
      <c r="A2066" s="1" t="s">
        <v>1834</v>
      </c>
      <c r="B2066" s="1" t="s">
        <v>26</v>
      </c>
      <c r="C2066" s="1" t="s">
        <v>17</v>
      </c>
      <c r="D2066" s="1" t="s">
        <v>20</v>
      </c>
      <c r="E2066" s="12">
        <f>3*F2066/10</f>
        <v>1.4100000000000001E-2</v>
      </c>
      <c r="F2066" s="12">
        <f>Systems!L107</f>
        <v>4.7E-2</v>
      </c>
      <c r="G2066" s="1" t="s">
        <v>23</v>
      </c>
      <c r="H2066" s="1" t="s">
        <v>41</v>
      </c>
    </row>
    <row r="2067" spans="1:8">
      <c r="A2067" s="1" t="s">
        <v>1869</v>
      </c>
      <c r="B2067" s="1" t="s">
        <v>26</v>
      </c>
      <c r="C2067" s="1" t="s">
        <v>17</v>
      </c>
      <c r="D2067" s="1" t="s">
        <v>20</v>
      </c>
      <c r="E2067" s="12">
        <f>3*F2067/20</f>
        <v>7.0500000000000007E-3</v>
      </c>
      <c r="F2067" s="12">
        <f>Systems!L107</f>
        <v>4.7E-2</v>
      </c>
      <c r="G2067" s="1" t="s">
        <v>23</v>
      </c>
      <c r="H2067" s="1" t="s">
        <v>41</v>
      </c>
    </row>
    <row r="2068" spans="1:8">
      <c r="A2068" s="1" t="s">
        <v>2027</v>
      </c>
      <c r="B2068" s="1" t="s">
        <v>26</v>
      </c>
      <c r="C2068" s="1" t="s">
        <v>17</v>
      </c>
      <c r="D2068" s="1" t="s">
        <v>20</v>
      </c>
      <c r="E2068" s="12">
        <f>F2068/960</f>
        <v>9.7191666666666661E-4</v>
      </c>
      <c r="F2068" s="12">
        <f>Systems!L108</f>
        <v>0.93303999999999998</v>
      </c>
      <c r="G2068" s="1" t="s">
        <v>23</v>
      </c>
      <c r="H2068" s="1" t="s">
        <v>41</v>
      </c>
    </row>
    <row r="2069" spans="1:8">
      <c r="A2069" s="1" t="s">
        <v>4936</v>
      </c>
      <c r="B2069" s="1" t="s">
        <v>26</v>
      </c>
      <c r="C2069" s="1" t="s">
        <v>17</v>
      </c>
      <c r="D2069" s="1" t="s">
        <v>20</v>
      </c>
      <c r="E2069" s="12">
        <f>3*F2069/160</f>
        <v>8.8125000000000009E-4</v>
      </c>
      <c r="F2069" s="12">
        <f>Systems!L107</f>
        <v>4.7E-2</v>
      </c>
      <c r="G2069" s="1" t="s">
        <v>23</v>
      </c>
      <c r="H2069" s="1" t="s">
        <v>41</v>
      </c>
    </row>
    <row r="2070" spans="1:8">
      <c r="A2070" s="1" t="s">
        <v>903</v>
      </c>
      <c r="B2070" s="1" t="s">
        <v>26</v>
      </c>
      <c r="C2070" s="1" t="s">
        <v>17</v>
      </c>
      <c r="D2070" s="1" t="s">
        <v>20</v>
      </c>
      <c r="E2070" s="12">
        <f>40*F2070</f>
        <v>37.321599999999997</v>
      </c>
      <c r="F2070" s="12">
        <f>Systems!L108</f>
        <v>0.93303999999999998</v>
      </c>
      <c r="G2070" s="1" t="s">
        <v>23</v>
      </c>
      <c r="H2070" s="1" t="s">
        <v>41</v>
      </c>
    </row>
    <row r="2071" spans="1:8">
      <c r="A2071" s="1" t="s">
        <v>2106</v>
      </c>
      <c r="B2071" s="1" t="s">
        <v>26</v>
      </c>
      <c r="C2071" s="1" t="s">
        <v>17</v>
      </c>
      <c r="D2071" s="1" t="s">
        <v>20</v>
      </c>
      <c r="E2071" s="12">
        <f>F2071/256</f>
        <v>5.1562499999999997E-2</v>
      </c>
      <c r="F2071" s="12">
        <f>Systems!L109</f>
        <v>13.2</v>
      </c>
      <c r="G2071" s="1" t="s">
        <v>23</v>
      </c>
      <c r="H2071" s="1" t="s">
        <v>41</v>
      </c>
    </row>
    <row r="2072" spans="1:8">
      <c r="A2072" s="1" t="s">
        <v>4937</v>
      </c>
      <c r="B2072" s="1" t="s">
        <v>26</v>
      </c>
      <c r="C2072" s="1" t="s">
        <v>17</v>
      </c>
      <c r="D2072" s="1" t="s">
        <v>20</v>
      </c>
      <c r="E2072" s="12">
        <f>F2072</f>
        <v>4.7E-2</v>
      </c>
      <c r="F2072" s="12">
        <f>Systems!L107</f>
        <v>4.7E-2</v>
      </c>
      <c r="G2072" s="1" t="s">
        <v>23</v>
      </c>
      <c r="H2072" s="1" t="s">
        <v>41</v>
      </c>
    </row>
    <row r="2073" spans="1:8">
      <c r="A2073" s="1" t="s">
        <v>793</v>
      </c>
      <c r="B2073" s="1" t="s">
        <v>26</v>
      </c>
      <c r="C2073" s="1" t="s">
        <v>17</v>
      </c>
      <c r="D2073" s="1" t="s">
        <v>20</v>
      </c>
      <c r="E2073" s="12">
        <f>F2073/256</f>
        <v>5.1562499999999997E-2</v>
      </c>
      <c r="F2073" s="12">
        <f>Systems!L109</f>
        <v>13.2</v>
      </c>
      <c r="G2073" s="1" t="s">
        <v>23</v>
      </c>
      <c r="H2073" s="1" t="s">
        <v>41</v>
      </c>
    </row>
    <row r="2074" spans="1:8">
      <c r="A2074" s="1" t="s">
        <v>2220</v>
      </c>
      <c r="B2074" s="1" t="s">
        <v>26</v>
      </c>
      <c r="C2074" s="1" t="s">
        <v>17</v>
      </c>
      <c r="D2074" s="1" t="s">
        <v>20</v>
      </c>
      <c r="E2074" s="12">
        <f>5*F2074</f>
        <v>4.6651999999999996</v>
      </c>
      <c r="F2074" s="12">
        <f>Systems!L108</f>
        <v>0.93303999999999998</v>
      </c>
      <c r="G2074" s="1" t="s">
        <v>23</v>
      </c>
      <c r="H2074" s="1" t="s">
        <v>41</v>
      </c>
    </row>
    <row r="2075" spans="1:8">
      <c r="A2075" s="1" t="s">
        <v>909</v>
      </c>
      <c r="B2075" s="1" t="s">
        <v>26</v>
      </c>
      <c r="C2075" s="1" t="s">
        <v>17</v>
      </c>
      <c r="D2075" s="1" t="s">
        <v>20</v>
      </c>
      <c r="E2075" s="12">
        <f>F2075/30</f>
        <v>3.1101333333333332E-2</v>
      </c>
      <c r="F2075" s="12">
        <f>Systems!L108</f>
        <v>0.93303999999999998</v>
      </c>
      <c r="G2075" s="1" t="s">
        <v>23</v>
      </c>
      <c r="H2075" s="1" t="s">
        <v>41</v>
      </c>
    </row>
    <row r="2076" spans="1:8">
      <c r="A2076" s="1" t="s">
        <v>2232</v>
      </c>
      <c r="B2076" s="1" t="s">
        <v>26</v>
      </c>
      <c r="C2076" s="1" t="s">
        <v>17</v>
      </c>
      <c r="D2076" s="1" t="s">
        <v>20</v>
      </c>
      <c r="E2076" s="12">
        <f>5*F2076</f>
        <v>4.6651999999999996</v>
      </c>
      <c r="F2076" s="12">
        <f>Systems!L108</f>
        <v>0.93303999999999998</v>
      </c>
      <c r="G2076" s="1" t="s">
        <v>23</v>
      </c>
      <c r="H2076" s="1" t="s">
        <v>41</v>
      </c>
    </row>
    <row r="2077" spans="1:8">
      <c r="A2077" s="1" t="s">
        <v>2237</v>
      </c>
      <c r="B2077" s="1" t="s">
        <v>26</v>
      </c>
      <c r="C2077" s="1" t="s">
        <v>17</v>
      </c>
      <c r="D2077" s="1" t="s">
        <v>20</v>
      </c>
      <c r="E2077" s="12">
        <f>F2077/4</f>
        <v>0.23326</v>
      </c>
      <c r="F2077" s="12">
        <f>Systems!L108</f>
        <v>0.93303999999999998</v>
      </c>
      <c r="G2077" s="1" t="s">
        <v>23</v>
      </c>
      <c r="H2077" s="1" t="s">
        <v>41</v>
      </c>
    </row>
    <row r="2078" spans="1:8">
      <c r="A2078" s="1" t="s">
        <v>2270</v>
      </c>
      <c r="B2078" s="1" t="s">
        <v>26</v>
      </c>
      <c r="C2078" s="1" t="s">
        <v>17</v>
      </c>
      <c r="D2078" s="1" t="s">
        <v>20</v>
      </c>
      <c r="E2078" s="12">
        <f>F2078/30</f>
        <v>3.1101333333333332E-2</v>
      </c>
      <c r="F2078" s="12">
        <f>Systems!L108</f>
        <v>0.93303999999999998</v>
      </c>
      <c r="G2078" s="1" t="s">
        <v>23</v>
      </c>
      <c r="H2078" s="1" t="s">
        <v>41</v>
      </c>
    </row>
    <row r="2079" spans="1:8">
      <c r="A2079" s="1" t="s">
        <v>2303</v>
      </c>
      <c r="C2079" s="1" t="s">
        <v>17</v>
      </c>
      <c r="D2079" s="1" t="s">
        <v>20</v>
      </c>
      <c r="E2079" s="12">
        <f>F2079/4</f>
        <v>0.23326</v>
      </c>
      <c r="F2079" s="12">
        <f>Systems!L108</f>
        <v>0.93303999999999998</v>
      </c>
      <c r="G2079" s="1" t="s">
        <v>23</v>
      </c>
      <c r="H2079" s="1" t="s">
        <v>41</v>
      </c>
    </row>
    <row r="2080" spans="1:8">
      <c r="A2080" s="1" t="s">
        <v>2305</v>
      </c>
      <c r="B2080" s="1" t="s">
        <v>26</v>
      </c>
      <c r="C2080" s="1" t="s">
        <v>17</v>
      </c>
      <c r="D2080" s="1" t="s">
        <v>20</v>
      </c>
      <c r="E2080" s="12">
        <f>F2080/16</f>
        <v>0.82499999999999996</v>
      </c>
      <c r="F2080" s="12">
        <f>Systems!L109</f>
        <v>13.2</v>
      </c>
      <c r="G2080" s="1" t="s">
        <v>23</v>
      </c>
      <c r="H2080" s="1" t="s">
        <v>41</v>
      </c>
    </row>
    <row r="2081" spans="1:8">
      <c r="A2081" s="1" t="s">
        <v>2365</v>
      </c>
      <c r="B2081" s="1" t="s">
        <v>26</v>
      </c>
      <c r="C2081" s="1" t="s">
        <v>17</v>
      </c>
      <c r="D2081" s="1" t="s">
        <v>20</v>
      </c>
      <c r="E2081" s="12">
        <f>5*F2081/4</f>
        <v>1.1662999999999999</v>
      </c>
      <c r="F2081" s="12">
        <f>Systems!L108</f>
        <v>0.93303999999999998</v>
      </c>
      <c r="G2081" s="1" t="s">
        <v>23</v>
      </c>
      <c r="H2081" s="1" t="s">
        <v>41</v>
      </c>
    </row>
    <row r="2082" spans="1:8">
      <c r="A2082" s="1" t="s">
        <v>2376</v>
      </c>
      <c r="B2082" s="1" t="s">
        <v>26</v>
      </c>
      <c r="C2082" s="1" t="s">
        <v>17</v>
      </c>
      <c r="D2082" s="1" t="s">
        <v>20</v>
      </c>
      <c r="E2082" s="12">
        <f>F2082/320</f>
        <v>1.4687500000000001E-4</v>
      </c>
      <c r="F2082" s="12">
        <f>Systems!L107</f>
        <v>4.7E-2</v>
      </c>
      <c r="G2082" s="1" t="s">
        <v>23</v>
      </c>
      <c r="H2082" s="1" t="s">
        <v>41</v>
      </c>
    </row>
    <row r="2083" spans="1:8">
      <c r="A2083" s="1" t="s">
        <v>2377</v>
      </c>
      <c r="B2083" s="1" t="s">
        <v>26</v>
      </c>
      <c r="C2083" s="1" t="s">
        <v>17</v>
      </c>
      <c r="D2083" s="1" t="s">
        <v>20</v>
      </c>
      <c r="E2083" s="12">
        <f>F2083/7680</f>
        <v>1.2148958333333333E-4</v>
      </c>
      <c r="F2083" s="12">
        <f>Systems!L108</f>
        <v>0.93303999999999998</v>
      </c>
      <c r="G2083" s="1" t="s">
        <v>23</v>
      </c>
      <c r="H2083" s="1" t="s">
        <v>41</v>
      </c>
    </row>
    <row r="2084" spans="1:8">
      <c r="A2084" s="1" t="s">
        <v>2375</v>
      </c>
      <c r="B2084" s="1" t="s">
        <v>26</v>
      </c>
      <c r="C2084" s="1" t="s">
        <v>17</v>
      </c>
      <c r="D2084" s="1" t="s">
        <v>20</v>
      </c>
      <c r="E2084" s="12">
        <f>F2084/320</f>
        <v>1.4687500000000001E-4</v>
      </c>
      <c r="F2084" s="12">
        <f>Systems!L107</f>
        <v>4.7E-2</v>
      </c>
      <c r="G2084" s="1" t="s">
        <v>23</v>
      </c>
      <c r="H2084" s="1" t="s">
        <v>41</v>
      </c>
    </row>
    <row r="2085" spans="1:8">
      <c r="A2085" s="1" t="s">
        <v>2407</v>
      </c>
      <c r="B2085" s="1" t="s">
        <v>26</v>
      </c>
      <c r="C2085" s="1" t="s">
        <v>17</v>
      </c>
      <c r="D2085" s="1" t="s">
        <v>20</v>
      </c>
      <c r="E2085" s="12">
        <f>F2085/7680</f>
        <v>1.2148958333333333E-4</v>
      </c>
      <c r="F2085" s="12">
        <f>Systems!L108</f>
        <v>0.93303999999999998</v>
      </c>
      <c r="G2085" s="1" t="s">
        <v>23</v>
      </c>
      <c r="H2085" s="1" t="s">
        <v>41</v>
      </c>
    </row>
    <row r="2086" spans="1:8">
      <c r="A2086" s="1" t="s">
        <v>2439</v>
      </c>
      <c r="B2086" s="1" t="s">
        <v>26</v>
      </c>
      <c r="C2086" s="1" t="s">
        <v>17</v>
      </c>
      <c r="D2086" s="1" t="s">
        <v>20</v>
      </c>
      <c r="E2086" s="12">
        <f>5*F2086/4</f>
        <v>1.1662999999999999</v>
      </c>
      <c r="F2086" s="12">
        <f>Systems!L108</f>
        <v>0.93303999999999998</v>
      </c>
      <c r="G2086" s="1" t="s">
        <v>23</v>
      </c>
      <c r="H2086" s="1" t="s">
        <v>41</v>
      </c>
    </row>
    <row r="2087" spans="1:8">
      <c r="A2087" s="1" t="s">
        <v>2440</v>
      </c>
      <c r="B2087" s="1" t="s">
        <v>26</v>
      </c>
      <c r="C2087" s="1" t="s">
        <v>17</v>
      </c>
      <c r="D2087" s="1" t="s">
        <v>20</v>
      </c>
      <c r="E2087" s="12">
        <f>5*F2087/4</f>
        <v>1.1662999999999999</v>
      </c>
      <c r="F2087" s="12">
        <f>Systems!L108</f>
        <v>0.93303999999999998</v>
      </c>
      <c r="G2087" s="1" t="s">
        <v>23</v>
      </c>
      <c r="H2087" s="1" t="s">
        <v>41</v>
      </c>
    </row>
    <row r="2088" spans="1:8">
      <c r="A2088" s="1" t="s">
        <v>910</v>
      </c>
      <c r="B2088" s="1" t="s">
        <v>26</v>
      </c>
      <c r="C2088" s="1" t="s">
        <v>17</v>
      </c>
      <c r="D2088" s="1" t="s">
        <v>20</v>
      </c>
      <c r="E2088" s="12">
        <f>F2088</f>
        <v>0.93303999999999998</v>
      </c>
      <c r="F2088" s="12">
        <f>Systems!L108</f>
        <v>0.93303999999999998</v>
      </c>
      <c r="G2088" s="1" t="s">
        <v>23</v>
      </c>
      <c r="H2088" s="1" t="s">
        <v>41</v>
      </c>
    </row>
    <row r="2089" spans="1:8">
      <c r="A2089" s="1" t="s">
        <v>4938</v>
      </c>
      <c r="B2089" s="1" t="s">
        <v>26</v>
      </c>
      <c r="C2089" s="1" t="s">
        <v>17</v>
      </c>
      <c r="D2089" s="1" t="s">
        <v>20</v>
      </c>
      <c r="E2089" s="12">
        <f>2.05715*F2089</f>
        <v>0.93310754394550011</v>
      </c>
      <c r="F2089" s="12">
        <f>Systems!L6</f>
        <v>0.45359237000000002</v>
      </c>
      <c r="G2089" s="1" t="s">
        <v>23</v>
      </c>
      <c r="H2089" s="1" t="s">
        <v>41</v>
      </c>
    </row>
    <row r="2090" spans="1:8">
      <c r="A2090" s="1" t="s">
        <v>2464</v>
      </c>
      <c r="B2090" s="1" t="s">
        <v>26</v>
      </c>
      <c r="C2090" s="1" t="s">
        <v>17</v>
      </c>
      <c r="D2090" s="1" t="s">
        <v>20</v>
      </c>
      <c r="E2090" s="12">
        <f>F2090</f>
        <v>0.93303999999999998</v>
      </c>
      <c r="F2090" s="12">
        <f>Systems!L108</f>
        <v>0.93303999999999998</v>
      </c>
      <c r="G2090" s="1" t="s">
        <v>23</v>
      </c>
      <c r="H2090" s="1" t="s">
        <v>41</v>
      </c>
    </row>
    <row r="2091" spans="1:8">
      <c r="A2091" s="1" t="s">
        <v>2497</v>
      </c>
      <c r="B2091" s="1" t="s">
        <v>26</v>
      </c>
      <c r="C2091" s="1" t="s">
        <v>17</v>
      </c>
      <c r="D2091" s="1" t="s">
        <v>20</v>
      </c>
      <c r="E2091" s="12">
        <f>16*F2091</f>
        <v>211.2</v>
      </c>
      <c r="F2091" s="12">
        <f>Systems!L109</f>
        <v>13.2</v>
      </c>
      <c r="G2091" s="1" t="s">
        <v>23</v>
      </c>
      <c r="H2091" s="1" t="s">
        <v>41</v>
      </c>
    </row>
    <row r="2092" spans="1:8">
      <c r="A2092" s="1" t="s">
        <v>2510</v>
      </c>
      <c r="B2092" s="1" t="s">
        <v>26</v>
      </c>
      <c r="C2092" s="1" t="s">
        <v>17</v>
      </c>
      <c r="D2092" s="1" t="s">
        <v>20</v>
      </c>
      <c r="E2092" s="12">
        <f>F2092/80</f>
        <v>1.1663E-2</v>
      </c>
      <c r="F2092" s="12">
        <f>Systems!L108</f>
        <v>0.93303999999999998</v>
      </c>
      <c r="G2092" s="1" t="s">
        <v>23</v>
      </c>
      <c r="H2092" s="1" t="s">
        <v>41</v>
      </c>
    </row>
    <row r="2093" spans="1:8">
      <c r="A2093" s="1" t="s">
        <v>2517</v>
      </c>
      <c r="B2093" s="1" t="s">
        <v>26</v>
      </c>
      <c r="C2093" s="1" t="s">
        <v>17</v>
      </c>
      <c r="D2093" s="1" t="s">
        <v>20</v>
      </c>
      <c r="E2093" s="12">
        <f>F2093/320</f>
        <v>2.9157499999999999E-3</v>
      </c>
      <c r="F2093" s="12">
        <f>Systems!L108</f>
        <v>0.93303999999999998</v>
      </c>
      <c r="G2093" s="1" t="s">
        <v>23</v>
      </c>
      <c r="H2093" s="1" t="s">
        <v>41</v>
      </c>
    </row>
    <row r="2094" spans="1:8">
      <c r="A2094" s="1" t="s">
        <v>2599</v>
      </c>
      <c r="B2094" s="1" t="s">
        <v>26</v>
      </c>
      <c r="C2094" s="1" t="s">
        <v>17</v>
      </c>
      <c r="D2094" s="1" t="s">
        <v>20</v>
      </c>
      <c r="E2094" s="12">
        <f>F2094/320</f>
        <v>2.9157499999999999E-3</v>
      </c>
      <c r="F2094" s="12">
        <f>Systems!L108</f>
        <v>0.93303999999999998</v>
      </c>
      <c r="G2094" s="1" t="s">
        <v>23</v>
      </c>
      <c r="H2094" s="1" t="s">
        <v>41</v>
      </c>
    </row>
    <row r="2095" spans="1:8">
      <c r="A2095" s="1" t="s">
        <v>2611</v>
      </c>
      <c r="B2095" s="1" t="s">
        <v>26</v>
      </c>
      <c r="C2095" s="1" t="s">
        <v>17</v>
      </c>
      <c r="D2095" s="1" t="s">
        <v>20</v>
      </c>
      <c r="E2095" s="12">
        <f>F2095/72</f>
        <v>1.2958888888888888E-2</v>
      </c>
      <c r="F2095" s="12">
        <f>Systems!L108</f>
        <v>0.93303999999999998</v>
      </c>
      <c r="G2095" s="1" t="s">
        <v>23</v>
      </c>
      <c r="H2095" s="1" t="s">
        <v>41</v>
      </c>
    </row>
    <row r="2096" spans="1:8">
      <c r="A2096" s="1" t="s">
        <v>2612</v>
      </c>
      <c r="B2096" s="1" t="s">
        <v>26</v>
      </c>
      <c r="C2096" s="1" t="s">
        <v>17</v>
      </c>
      <c r="D2096" s="1" t="s">
        <v>20</v>
      </c>
      <c r="E2096" s="12">
        <f>9*F2096/160</f>
        <v>2.6437499999999998E-3</v>
      </c>
      <c r="F2096" s="12">
        <f>Systems!L107</f>
        <v>4.7E-2</v>
      </c>
      <c r="G2096" s="1" t="s">
        <v>23</v>
      </c>
      <c r="H2096" s="1" t="s">
        <v>41</v>
      </c>
    </row>
    <row r="2097" spans="1:8">
      <c r="A2097" s="1" t="s">
        <v>2673</v>
      </c>
      <c r="B2097" s="1" t="s">
        <v>26</v>
      </c>
      <c r="C2097" s="1" t="s">
        <v>17</v>
      </c>
      <c r="D2097" s="1" t="s">
        <v>20</v>
      </c>
      <c r="E2097" s="12">
        <f>F2097/4</f>
        <v>1.175E-2</v>
      </c>
      <c r="F2097" s="12">
        <f>Systems!L107</f>
        <v>4.7E-2</v>
      </c>
      <c r="G2097" s="1" t="s">
        <v>23</v>
      </c>
      <c r="H2097" s="1" t="s">
        <v>41</v>
      </c>
    </row>
    <row r="2098" spans="1:8">
      <c r="A2098" s="1" t="s">
        <v>2674</v>
      </c>
      <c r="B2098" s="1" t="s">
        <v>26</v>
      </c>
      <c r="C2098" s="1" t="s">
        <v>17</v>
      </c>
      <c r="D2098" s="1" t="s">
        <v>20</v>
      </c>
      <c r="E2098" s="12">
        <f>F2098/80</f>
        <v>1.1663E-2</v>
      </c>
      <c r="F2098" s="12">
        <f>Systems!L108</f>
        <v>0.93303999999999998</v>
      </c>
      <c r="G2098" s="1" t="s">
        <v>23</v>
      </c>
      <c r="H2098" s="1" t="s">
        <v>41</v>
      </c>
    </row>
    <row r="2099" spans="1:8">
      <c r="A2099" s="1" t="s">
        <v>2716</v>
      </c>
      <c r="B2099" s="1" t="s">
        <v>26</v>
      </c>
      <c r="C2099" s="1" t="s">
        <v>17</v>
      </c>
      <c r="D2099" s="1" t="s">
        <v>20</v>
      </c>
      <c r="E2099" s="12">
        <f>100*F2099</f>
        <v>4.7</v>
      </c>
      <c r="F2099" s="12">
        <f>Systems!L107</f>
        <v>4.7E-2</v>
      </c>
      <c r="G2099" s="1" t="s">
        <v>23</v>
      </c>
      <c r="H2099" s="1" t="s">
        <v>41</v>
      </c>
    </row>
    <row r="2100" spans="1:8">
      <c r="A2100" s="1" t="s">
        <v>2806</v>
      </c>
      <c r="B2100" s="1" t="s">
        <v>26</v>
      </c>
      <c r="C2100" s="1" t="s">
        <v>17</v>
      </c>
      <c r="D2100" s="1" t="s">
        <v>20</v>
      </c>
      <c r="E2100" s="12">
        <f>F2100/3200</f>
        <v>1.46875E-5</v>
      </c>
      <c r="F2100" s="12">
        <f>Systems!L107</f>
        <v>4.7E-2</v>
      </c>
      <c r="G2100" s="1" t="s">
        <v>23</v>
      </c>
      <c r="H2100" s="1" t="s">
        <v>41</v>
      </c>
    </row>
    <row r="2101" spans="1:8">
      <c r="A2101" s="248"/>
      <c r="B2101" s="248"/>
      <c r="C2101" s="248"/>
      <c r="D2101" s="248"/>
      <c r="E2101" s="250"/>
      <c r="F2101" s="250"/>
      <c r="G2101" s="248"/>
      <c r="H2101" s="248"/>
    </row>
    <row r="2102" spans="1:8">
      <c r="A2102" s="1" t="s">
        <v>921</v>
      </c>
      <c r="B2102" s="1" t="s">
        <v>26</v>
      </c>
      <c r="C2102" s="1" t="s">
        <v>3033</v>
      </c>
      <c r="D2102" s="1" t="s">
        <v>19</v>
      </c>
      <c r="E2102" s="12">
        <f>F2102</f>
        <v>1.7</v>
      </c>
      <c r="F2102" s="12">
        <f>Systems!D113</f>
        <v>1.7</v>
      </c>
      <c r="G2102" s="1" t="s">
        <v>14</v>
      </c>
      <c r="H2102" s="1" t="s">
        <v>457</v>
      </c>
    </row>
    <row r="2103" spans="1:8">
      <c r="A2103" s="1" t="s">
        <v>794</v>
      </c>
      <c r="B2103" s="1" t="s">
        <v>26</v>
      </c>
      <c r="C2103" s="1" t="s">
        <v>3033</v>
      </c>
      <c r="D2103" s="1" t="s">
        <v>19</v>
      </c>
      <c r="E2103" s="12">
        <f>F2103/4</f>
        <v>0.42499999999999999</v>
      </c>
      <c r="F2103" s="12">
        <f>Systems!D113</f>
        <v>1.7</v>
      </c>
      <c r="G2103" s="1" t="s">
        <v>14</v>
      </c>
      <c r="H2103" s="1" t="s">
        <v>457</v>
      </c>
    </row>
    <row r="2104" spans="1:8">
      <c r="A2104" s="1" t="s">
        <v>1840</v>
      </c>
      <c r="B2104" s="1" t="s">
        <v>26</v>
      </c>
      <c r="C2104" s="1" t="s">
        <v>3033</v>
      </c>
      <c r="D2104" s="1" t="s">
        <v>19</v>
      </c>
      <c r="E2104" s="12">
        <f>F2104/8</f>
        <v>0.21249999999999999</v>
      </c>
      <c r="F2104" s="12">
        <f>Systems!D113</f>
        <v>1.7</v>
      </c>
      <c r="G2104" s="1" t="s">
        <v>14</v>
      </c>
      <c r="H2104" s="1" t="s">
        <v>457</v>
      </c>
    </row>
    <row r="2105" spans="1:8" ht="16.5">
      <c r="A2105" s="1" t="s">
        <v>1003</v>
      </c>
      <c r="B2105" s="1" t="s">
        <v>26</v>
      </c>
      <c r="C2105" s="1" t="s">
        <v>3034</v>
      </c>
      <c r="D2105" s="1" t="s">
        <v>38</v>
      </c>
      <c r="E2105" s="12">
        <f>F2105</f>
        <v>7096.5</v>
      </c>
      <c r="F2105" s="12">
        <f>Systems!H113</f>
        <v>7096.5</v>
      </c>
      <c r="G2105" s="1" t="s">
        <v>39</v>
      </c>
      <c r="H2105" s="1" t="s">
        <v>457</v>
      </c>
    </row>
    <row r="2106" spans="1:8" ht="16.5">
      <c r="A2106" s="1" t="s">
        <v>4939</v>
      </c>
      <c r="B2106" s="1" t="s">
        <v>26</v>
      </c>
      <c r="C2106" s="1" t="s">
        <v>2936</v>
      </c>
      <c r="D2106" s="1" t="s">
        <v>32</v>
      </c>
      <c r="E2106" s="12">
        <f>F2106</f>
        <v>4.9129999999999994</v>
      </c>
      <c r="F2106" s="12">
        <f>Systems!T113</f>
        <v>4.9129999999999994</v>
      </c>
      <c r="G2106" s="1" t="s">
        <v>33</v>
      </c>
      <c r="H2106" s="1" t="s">
        <v>457</v>
      </c>
    </row>
    <row r="2107" spans="1:8" ht="16.5">
      <c r="A2107" s="1" t="s">
        <v>922</v>
      </c>
      <c r="B2107" s="1" t="s">
        <v>26</v>
      </c>
      <c r="C2107" s="1" t="s">
        <v>2935</v>
      </c>
      <c r="D2107" s="1" t="s">
        <v>32</v>
      </c>
      <c r="E2107" s="12">
        <f>F2107</f>
        <v>1.5751000000000001E-3</v>
      </c>
      <c r="F2107" s="12">
        <f>Systems!P113</f>
        <v>1.5751000000000001E-3</v>
      </c>
      <c r="G2107" s="1" t="s">
        <v>33</v>
      </c>
      <c r="H2107" s="1" t="s">
        <v>457</v>
      </c>
    </row>
    <row r="2108" spans="1:8" ht="16.5">
      <c r="A2108" s="1" t="s">
        <v>1856</v>
      </c>
      <c r="B2108" s="1" t="s">
        <v>26</v>
      </c>
      <c r="C2108" s="1" t="s">
        <v>2935</v>
      </c>
      <c r="D2108" s="1" t="s">
        <v>32</v>
      </c>
      <c r="E2108" s="12">
        <f>19*F2108/2</f>
        <v>1.4963450000000001E-2</v>
      </c>
      <c r="F2108" s="12">
        <f>Systems!P113</f>
        <v>1.5751000000000001E-3</v>
      </c>
      <c r="G2108" s="1" t="s">
        <v>33</v>
      </c>
      <c r="H2108" s="1" t="s">
        <v>457</v>
      </c>
    </row>
    <row r="2109" spans="1:8" ht="16.5">
      <c r="A2109" s="1" t="s">
        <v>1861</v>
      </c>
      <c r="B2109" s="1" t="s">
        <v>26</v>
      </c>
      <c r="C2109" s="1" t="s">
        <v>2935</v>
      </c>
      <c r="D2109" s="1" t="s">
        <v>32</v>
      </c>
      <c r="E2109" s="12">
        <f>19*F2109/8</f>
        <v>3.7408625000000004E-3</v>
      </c>
      <c r="F2109" s="12">
        <f>Systems!P113</f>
        <v>1.5751000000000001E-3</v>
      </c>
      <c r="G2109" s="1" t="s">
        <v>33</v>
      </c>
      <c r="H2109" s="1" t="s">
        <v>457</v>
      </c>
    </row>
    <row r="2110" spans="1:8" ht="16.5">
      <c r="A2110" s="1" t="s">
        <v>1862</v>
      </c>
      <c r="B2110" s="1" t="s">
        <v>26</v>
      </c>
      <c r="C2110" s="1" t="s">
        <v>2935</v>
      </c>
      <c r="D2110" s="1" t="s">
        <v>32</v>
      </c>
      <c r="E2110" s="12">
        <f>12597*F2110/10</f>
        <v>1.9841534700000001</v>
      </c>
      <c r="F2110" s="12">
        <f>Systems!P113</f>
        <v>1.5751000000000001E-3</v>
      </c>
      <c r="G2110" s="1" t="s">
        <v>33</v>
      </c>
      <c r="H2110" s="1" t="s">
        <v>457</v>
      </c>
    </row>
    <row r="2111" spans="1:8" ht="16.5">
      <c r="A2111" s="1" t="s">
        <v>2112</v>
      </c>
      <c r="B2111" s="1" t="s">
        <v>26</v>
      </c>
      <c r="C2111" s="1" t="s">
        <v>2935</v>
      </c>
      <c r="D2111" s="1" t="s">
        <v>32</v>
      </c>
      <c r="E2111" s="12">
        <f>5*F2111/52</f>
        <v>1.514519230769231E-4</v>
      </c>
      <c r="F2111" s="12">
        <f>Systems!P113</f>
        <v>1.5751000000000001E-3</v>
      </c>
      <c r="G2111" s="1" t="s">
        <v>33</v>
      </c>
      <c r="H2111" s="1" t="s">
        <v>457</v>
      </c>
    </row>
    <row r="2112" spans="1:8" ht="16.5">
      <c r="A2112" s="1" t="s">
        <v>923</v>
      </c>
      <c r="B2112" s="1" t="s">
        <v>26</v>
      </c>
      <c r="C2112" s="1" t="s">
        <v>2935</v>
      </c>
      <c r="D2112" s="1" t="s">
        <v>32</v>
      </c>
      <c r="E2112" s="12">
        <f>4199*F2112/100</f>
        <v>6.6138449000000002E-2</v>
      </c>
      <c r="F2112" s="12">
        <f>Systems!P113</f>
        <v>1.5751000000000001E-3</v>
      </c>
      <c r="G2112" s="1" t="s">
        <v>33</v>
      </c>
      <c r="H2112" s="1" t="s">
        <v>457</v>
      </c>
    </row>
    <row r="2113" spans="1:8" ht="16.5">
      <c r="A2113" s="1" t="s">
        <v>2276</v>
      </c>
      <c r="B2113" s="1" t="s">
        <v>26</v>
      </c>
      <c r="C2113" s="1" t="s">
        <v>2935</v>
      </c>
      <c r="D2113" s="1" t="s">
        <v>32</v>
      </c>
      <c r="E2113" s="12">
        <f>5*F2113/104</f>
        <v>7.5725961538461548E-5</v>
      </c>
      <c r="F2113" s="12">
        <f>Systems!P113</f>
        <v>1.5751000000000001E-3</v>
      </c>
      <c r="G2113" s="1" t="s">
        <v>33</v>
      </c>
      <c r="H2113" s="1" t="s">
        <v>457</v>
      </c>
    </row>
    <row r="2114" spans="1:8" ht="16.5">
      <c r="A2114" s="1" t="s">
        <v>2600</v>
      </c>
      <c r="B2114" s="1" t="s">
        <v>26</v>
      </c>
      <c r="C2114" s="1" t="s">
        <v>2935</v>
      </c>
      <c r="D2114" s="1" t="s">
        <v>32</v>
      </c>
      <c r="E2114" s="12">
        <f>323*F2114/20</f>
        <v>2.5437864999999997E-2</v>
      </c>
      <c r="F2114" s="12">
        <f>Systems!P113</f>
        <v>1.5751000000000001E-3</v>
      </c>
      <c r="G2114" s="1" t="s">
        <v>33</v>
      </c>
      <c r="H2114" s="1" t="s">
        <v>457</v>
      </c>
    </row>
    <row r="2115" spans="1:8">
      <c r="A2115" s="1" t="s">
        <v>1207</v>
      </c>
      <c r="B2115" s="1" t="s">
        <v>26</v>
      </c>
      <c r="C2115" s="1" t="s">
        <v>17</v>
      </c>
      <c r="D2115" s="1" t="s">
        <v>20</v>
      </c>
      <c r="E2115" s="12">
        <f>2*F2115</f>
        <v>123.522605</v>
      </c>
      <c r="F2115" s="12">
        <f>Systems!L113</f>
        <v>61.761302499999999</v>
      </c>
      <c r="G2115" s="1" t="s">
        <v>23</v>
      </c>
      <c r="H2115" s="1" t="s">
        <v>457</v>
      </c>
    </row>
    <row r="2116" spans="1:8">
      <c r="A2116" s="1" t="s">
        <v>4940</v>
      </c>
      <c r="B2116" s="1" t="s">
        <v>26</v>
      </c>
      <c r="C2116" s="1" t="s">
        <v>17</v>
      </c>
      <c r="D2116" s="1" t="s">
        <v>20</v>
      </c>
      <c r="E2116" s="12">
        <f>9*F2116/2</f>
        <v>277.92586125000003</v>
      </c>
      <c r="F2116" s="12">
        <f>Systems!L113</f>
        <v>61.761302499999999</v>
      </c>
      <c r="G2116" s="1" t="s">
        <v>23</v>
      </c>
      <c r="H2116" s="1" t="s">
        <v>457</v>
      </c>
    </row>
    <row r="2117" spans="1:8">
      <c r="A2117" s="1" t="s">
        <v>4941</v>
      </c>
      <c r="B2117" s="1" t="s">
        <v>26</v>
      </c>
      <c r="C2117" s="1" t="s">
        <v>17</v>
      </c>
      <c r="D2117" s="1" t="s">
        <v>20</v>
      </c>
      <c r="E2117" s="12">
        <f>3*F2117</f>
        <v>185.2839075</v>
      </c>
      <c r="F2117" s="12">
        <f>Systems!L113</f>
        <v>61.761302499999999</v>
      </c>
      <c r="G2117" s="1" t="s">
        <v>23</v>
      </c>
      <c r="H2117" s="1" t="s">
        <v>457</v>
      </c>
    </row>
    <row r="2118" spans="1:8">
      <c r="A2118" s="1" t="s">
        <v>912</v>
      </c>
      <c r="B2118" s="1" t="s">
        <v>26</v>
      </c>
      <c r="C2118" s="1" t="s">
        <v>17</v>
      </c>
      <c r="D2118" s="1" t="s">
        <v>20</v>
      </c>
      <c r="E2118" s="12">
        <f>F2118/100</f>
        <v>0.61761302500000004</v>
      </c>
      <c r="F2118" s="12">
        <f>Systems!L113</f>
        <v>61.761302499999999</v>
      </c>
      <c r="G2118" s="1" t="s">
        <v>23</v>
      </c>
      <c r="H2118" s="1" t="s">
        <v>457</v>
      </c>
    </row>
    <row r="2119" spans="1:8">
      <c r="A2119" s="1" t="s">
        <v>1751</v>
      </c>
      <c r="B2119" s="1" t="s">
        <v>26</v>
      </c>
      <c r="C2119" s="1" t="s">
        <v>17</v>
      </c>
      <c r="D2119" s="1" t="s">
        <v>20</v>
      </c>
      <c r="E2119" s="12">
        <f>F2119/1000</f>
        <v>3.8600999999999996E-2</v>
      </c>
      <c r="F2119" s="12">
        <f>Systems!L115</f>
        <v>38.600999999999999</v>
      </c>
      <c r="G2119" s="1" t="s">
        <v>23</v>
      </c>
      <c r="H2119" s="1" t="s">
        <v>457</v>
      </c>
    </row>
    <row r="2120" spans="1:8">
      <c r="A2120" s="1" t="s">
        <v>1788</v>
      </c>
      <c r="B2120" s="1" t="s">
        <v>26</v>
      </c>
      <c r="C2120" s="1" t="s">
        <v>17</v>
      </c>
      <c r="D2120" s="1" t="s">
        <v>20</v>
      </c>
      <c r="E2120" s="12">
        <f>F2120/100</f>
        <v>0.61761302500000004</v>
      </c>
      <c r="F2120" s="12">
        <f>Systems!L113</f>
        <v>61.761302499999999</v>
      </c>
      <c r="G2120" s="1" t="s">
        <v>23</v>
      </c>
      <c r="H2120" s="1" t="s">
        <v>457</v>
      </c>
    </row>
    <row r="2121" spans="1:8">
      <c r="A2121" s="1" t="s">
        <v>4942</v>
      </c>
      <c r="B2121" s="1" t="s">
        <v>26</v>
      </c>
      <c r="C2121" s="1" t="s">
        <v>17</v>
      </c>
      <c r="D2121" s="1" t="s">
        <v>20</v>
      </c>
      <c r="E2121" s="12">
        <f>27*F2121</f>
        <v>1667.5551674999999</v>
      </c>
      <c r="F2121" s="12">
        <f>Systems!L113</f>
        <v>61.761302499999999</v>
      </c>
      <c r="G2121" s="1" t="s">
        <v>23</v>
      </c>
      <c r="H2121" s="1" t="s">
        <v>457</v>
      </c>
    </row>
    <row r="2122" spans="1:8">
      <c r="A2122" s="1" t="s">
        <v>4943</v>
      </c>
      <c r="B2122" s="1" t="s">
        <v>26</v>
      </c>
      <c r="C2122" s="1" t="s">
        <v>17</v>
      </c>
      <c r="D2122" s="1" t="s">
        <v>20</v>
      </c>
      <c r="E2122" s="12">
        <f>28*F2122</f>
        <v>1729.31647</v>
      </c>
      <c r="F2122" s="12">
        <f>Systems!L113</f>
        <v>61.761302499999999</v>
      </c>
      <c r="G2122" s="1" t="s">
        <v>23</v>
      </c>
      <c r="H2122" s="1" t="s">
        <v>457</v>
      </c>
    </row>
    <row r="2123" spans="1:8">
      <c r="A2123" s="1" t="s">
        <v>4944</v>
      </c>
      <c r="B2123" s="1" t="s">
        <v>26</v>
      </c>
      <c r="C2123" s="1" t="s">
        <v>17</v>
      </c>
      <c r="D2123" s="1" t="s">
        <v>20</v>
      </c>
      <c r="E2123" s="12">
        <f>30*F2123</f>
        <v>1852.8390749999999</v>
      </c>
      <c r="F2123" s="12">
        <f>Systems!L113</f>
        <v>61.761302499999999</v>
      </c>
      <c r="G2123" s="1" t="s">
        <v>23</v>
      </c>
      <c r="H2123" s="1" t="s">
        <v>457</v>
      </c>
    </row>
    <row r="2124" spans="1:8">
      <c r="A2124" s="1" t="s">
        <v>1893</v>
      </c>
      <c r="B2124" s="1" t="s">
        <v>26</v>
      </c>
      <c r="C2124" s="1" t="s">
        <v>17</v>
      </c>
      <c r="D2124" s="1" t="s">
        <v>20</v>
      </c>
      <c r="E2124" s="12">
        <f>29*F2124/400</f>
        <v>4.4776944312499998</v>
      </c>
      <c r="F2124" s="12">
        <f>Systems!L113</f>
        <v>61.761302499999999</v>
      </c>
      <c r="G2124" s="1" t="s">
        <v>23</v>
      </c>
      <c r="H2124" s="1" t="s">
        <v>457</v>
      </c>
    </row>
    <row r="2125" spans="1:8">
      <c r="A2125" s="1" t="s">
        <v>923</v>
      </c>
      <c r="B2125" s="1" t="s">
        <v>26</v>
      </c>
      <c r="C2125" s="1" t="s">
        <v>17</v>
      </c>
      <c r="D2125" s="1" t="s">
        <v>20</v>
      </c>
      <c r="E2125" s="12">
        <f>F2125</f>
        <v>61.761302499999999</v>
      </c>
      <c r="F2125" s="12">
        <f>Systems!L113</f>
        <v>61.761302499999999</v>
      </c>
      <c r="G2125" s="1" t="s">
        <v>23</v>
      </c>
      <c r="H2125" s="1" t="s">
        <v>457</v>
      </c>
    </row>
    <row r="2126" spans="1:8">
      <c r="A2126" s="1" t="s">
        <v>2267</v>
      </c>
      <c r="B2126" s="1" t="s">
        <v>26</v>
      </c>
      <c r="C2126" s="1" t="s">
        <v>17</v>
      </c>
      <c r="D2126" s="1" t="s">
        <v>20</v>
      </c>
      <c r="E2126" s="12">
        <f>F2126</f>
        <v>61.761302499999999</v>
      </c>
      <c r="F2126" s="12">
        <f>Systems!L113</f>
        <v>61.761302499999999</v>
      </c>
      <c r="G2126" s="1" t="s">
        <v>23</v>
      </c>
      <c r="H2126" s="1" t="s">
        <v>457</v>
      </c>
    </row>
    <row r="2127" spans="1:8">
      <c r="A2127" s="1" t="s">
        <v>2370</v>
      </c>
      <c r="B2127" s="1" t="s">
        <v>26</v>
      </c>
      <c r="C2127" s="1" t="s">
        <v>17</v>
      </c>
      <c r="D2127" s="1" t="s">
        <v>20</v>
      </c>
      <c r="E2127" s="12">
        <f>F2127/3200</f>
        <v>1.9300407031250001E-2</v>
      </c>
      <c r="F2127" s="12">
        <f>Systems!L113</f>
        <v>61.761302499999999</v>
      </c>
      <c r="G2127" s="1" t="s">
        <v>23</v>
      </c>
      <c r="H2127" s="1" t="s">
        <v>457</v>
      </c>
    </row>
    <row r="2128" spans="1:8">
      <c r="A2128" s="1" t="s">
        <v>2537</v>
      </c>
      <c r="B2128" s="1" t="s">
        <v>26</v>
      </c>
      <c r="C2128" s="1" t="s">
        <v>17</v>
      </c>
      <c r="D2128" s="1" t="s">
        <v>20</v>
      </c>
      <c r="E2128" s="12">
        <f>F2128/12800</f>
        <v>4.8251017578125003E-3</v>
      </c>
      <c r="F2128" s="12">
        <f>Systems!L113</f>
        <v>61.761302499999999</v>
      </c>
      <c r="G2128" s="1" t="s">
        <v>23</v>
      </c>
      <c r="H2128" s="1" t="s">
        <v>457</v>
      </c>
    </row>
    <row r="2129" spans="1:8">
      <c r="A2129" s="1" t="s">
        <v>4945</v>
      </c>
      <c r="B2129" s="1" t="s">
        <v>26</v>
      </c>
      <c r="C2129" s="1" t="s">
        <v>17</v>
      </c>
      <c r="D2129" s="1" t="s">
        <v>20</v>
      </c>
      <c r="E2129" s="12">
        <f>F2129/8</f>
        <v>6.7612500000000004</v>
      </c>
      <c r="F2129" s="12">
        <f>Systems!L114</f>
        <v>54.09</v>
      </c>
      <c r="G2129" s="1" t="s">
        <v>23</v>
      </c>
      <c r="H2129" s="1" t="s">
        <v>457</v>
      </c>
    </row>
    <row r="2130" spans="1:8">
      <c r="A2130" s="1" t="s">
        <v>978</v>
      </c>
      <c r="B2130" s="1" t="s">
        <v>26</v>
      </c>
      <c r="C2130" s="1" t="s">
        <v>17</v>
      </c>
      <c r="D2130" s="1" t="s">
        <v>20</v>
      </c>
      <c r="E2130" s="12">
        <f>F2130/1600</f>
        <v>3.8600814062500002E-2</v>
      </c>
      <c r="F2130" s="12">
        <f>Systems!L113</f>
        <v>61.761302499999999</v>
      </c>
      <c r="G2130" s="1" t="s">
        <v>23</v>
      </c>
      <c r="H2130" s="1" t="s">
        <v>457</v>
      </c>
    </row>
    <row r="2131" spans="1:8">
      <c r="A2131" s="1" t="s">
        <v>2602</v>
      </c>
      <c r="B2131" s="1" t="s">
        <v>26</v>
      </c>
      <c r="C2131" s="1" t="s">
        <v>17</v>
      </c>
      <c r="D2131" s="1" t="s">
        <v>20</v>
      </c>
      <c r="E2131" s="12">
        <f>F2131/25600</f>
        <v>2.4125508789062501E-3</v>
      </c>
      <c r="F2131" s="12">
        <f>Systems!L113</f>
        <v>61.761302499999999</v>
      </c>
      <c r="G2131" s="1" t="s">
        <v>23</v>
      </c>
      <c r="H2131" s="1" t="s">
        <v>457</v>
      </c>
    </row>
    <row r="2132" spans="1:8">
      <c r="A2132" s="1" t="s">
        <v>4946</v>
      </c>
      <c r="B2132" s="1" t="s">
        <v>26</v>
      </c>
      <c r="C2132" s="1" t="s">
        <v>17</v>
      </c>
      <c r="D2132" s="1" t="s">
        <v>20</v>
      </c>
      <c r="E2132" s="12">
        <f>F2132/16</f>
        <v>3.3806250000000002</v>
      </c>
      <c r="F2132" s="12">
        <f>Systems!L114</f>
        <v>54.09</v>
      </c>
      <c r="G2132" s="1" t="s">
        <v>23</v>
      </c>
      <c r="H2132" s="1" t="s">
        <v>457</v>
      </c>
    </row>
    <row r="2133" spans="1:8">
      <c r="A2133" s="1" t="s">
        <v>2643</v>
      </c>
      <c r="B2133" s="1" t="s">
        <v>26</v>
      </c>
      <c r="C2133" s="1" t="s">
        <v>17</v>
      </c>
      <c r="D2133" s="1" t="s">
        <v>20</v>
      </c>
      <c r="E2133" s="12">
        <f>F2133/1600</f>
        <v>3.8600814062500002E-2</v>
      </c>
      <c r="F2133" s="12">
        <f>Systems!L113</f>
        <v>61.761302499999999</v>
      </c>
      <c r="G2133" s="1" t="s">
        <v>23</v>
      </c>
      <c r="H2133" s="1" t="s">
        <v>457</v>
      </c>
    </row>
    <row r="2134" spans="1:8">
      <c r="A2134" s="1" t="s">
        <v>4947</v>
      </c>
      <c r="B2134" s="1" t="s">
        <v>26</v>
      </c>
      <c r="C2134" s="1" t="s">
        <v>17</v>
      </c>
      <c r="D2134" s="1" t="s">
        <v>20</v>
      </c>
      <c r="E2134" s="12">
        <f>F2134</f>
        <v>38.600999999999999</v>
      </c>
      <c r="F2134" s="12">
        <f>Systems!L115</f>
        <v>38.600999999999999</v>
      </c>
      <c r="G2134" s="1" t="s">
        <v>23</v>
      </c>
      <c r="H2134" s="1" t="s">
        <v>457</v>
      </c>
    </row>
    <row r="2135" spans="1:8">
      <c r="A2135" s="1" t="s">
        <v>4948</v>
      </c>
      <c r="B2135" s="1" t="s">
        <v>26</v>
      </c>
      <c r="C2135" s="1" t="s">
        <v>17</v>
      </c>
      <c r="D2135" s="1" t="s">
        <v>20</v>
      </c>
      <c r="E2135" s="12">
        <f>F2135</f>
        <v>54.09</v>
      </c>
      <c r="F2135" s="12">
        <f>Systems!L114</f>
        <v>54.09</v>
      </c>
      <c r="G2135" s="1" t="s">
        <v>23</v>
      </c>
      <c r="H2135" s="1" t="s">
        <v>457</v>
      </c>
    </row>
    <row r="2136" spans="1:8">
      <c r="A2136" s="1" t="s">
        <v>2659</v>
      </c>
      <c r="B2136" s="1" t="s">
        <v>26</v>
      </c>
      <c r="C2136" s="1" t="s">
        <v>17</v>
      </c>
      <c r="D2136" s="1" t="s">
        <v>20</v>
      </c>
      <c r="E2136" s="12">
        <f>5*F2136</f>
        <v>308.8065125</v>
      </c>
      <c r="F2136" s="12">
        <f>Systems!L113</f>
        <v>61.761302499999999</v>
      </c>
      <c r="G2136" s="1" t="s">
        <v>23</v>
      </c>
      <c r="H2136" s="1" t="s">
        <v>457</v>
      </c>
    </row>
    <row r="2137" spans="1:8">
      <c r="A2137" s="1" t="s">
        <v>4949</v>
      </c>
      <c r="B2137" s="1" t="s">
        <v>26</v>
      </c>
      <c r="C2137" s="1" t="s">
        <v>17</v>
      </c>
      <c r="D2137" s="1" t="s">
        <v>20</v>
      </c>
      <c r="E2137" s="12">
        <f>F2137/1000</f>
        <v>3.8600999999999996E-2</v>
      </c>
      <c r="F2137" s="12">
        <f>Systems!L115</f>
        <v>38.600999999999999</v>
      </c>
      <c r="G2137" s="1" t="s">
        <v>23</v>
      </c>
      <c r="H2137" s="1" t="s">
        <v>457</v>
      </c>
    </row>
    <row r="2138" spans="1:8">
      <c r="A2138" s="1" t="s">
        <v>2665</v>
      </c>
      <c r="B2138" s="1" t="s">
        <v>26</v>
      </c>
      <c r="C2138" s="1" t="s">
        <v>17</v>
      </c>
      <c r="D2138" s="1" t="s">
        <v>20</v>
      </c>
      <c r="E2138" s="12">
        <f>F2138/10</f>
        <v>3.8601000000000001</v>
      </c>
      <c r="F2138" s="12">
        <f>Systems!L115</f>
        <v>38.600999999999999</v>
      </c>
      <c r="G2138" s="1" t="s">
        <v>23</v>
      </c>
      <c r="H2138" s="1" t="s">
        <v>457</v>
      </c>
    </row>
    <row r="2139" spans="1:8">
      <c r="A2139" s="1" t="s">
        <v>2786</v>
      </c>
      <c r="B2139" s="1" t="s">
        <v>26</v>
      </c>
      <c r="C2139" s="1" t="s">
        <v>17</v>
      </c>
      <c r="D2139" s="1" t="s">
        <v>20</v>
      </c>
      <c r="E2139" s="12">
        <f>F2139/76800</f>
        <v>8.0418362630208331E-4</v>
      </c>
      <c r="F2139" s="12">
        <f>Systems!L113</f>
        <v>61.761302499999999</v>
      </c>
      <c r="G2139" s="1" t="s">
        <v>23</v>
      </c>
      <c r="H2139" s="1" t="s">
        <v>457</v>
      </c>
    </row>
    <row r="2140" spans="1:8">
      <c r="A2140" s="248"/>
      <c r="B2140" s="248"/>
      <c r="C2140" s="248"/>
      <c r="D2140" s="248"/>
      <c r="E2140" s="250"/>
      <c r="F2140" s="250"/>
      <c r="G2140" s="248"/>
      <c r="H2140" s="248"/>
    </row>
    <row r="2141" spans="1:8">
      <c r="A2141" s="1" t="s">
        <v>56</v>
      </c>
      <c r="B2141" s="5" t="s">
        <v>13</v>
      </c>
      <c r="C2141" s="1" t="s">
        <v>3033</v>
      </c>
      <c r="D2141" s="1" t="s">
        <v>19</v>
      </c>
      <c r="E2141" s="12">
        <f>F2141</f>
        <v>1E-10</v>
      </c>
      <c r="F2141" s="12">
        <f>'Physical Definitions'!E28</f>
        <v>1E-10</v>
      </c>
      <c r="G2141" s="1" t="s">
        <v>14</v>
      </c>
      <c r="H2141" s="1" t="s">
        <v>58</v>
      </c>
    </row>
    <row r="2142" spans="1:8">
      <c r="A2142" s="1" t="s">
        <v>4950</v>
      </c>
      <c r="B2142" s="1" t="s">
        <v>26</v>
      </c>
      <c r="C2142" s="1" t="s">
        <v>3033</v>
      </c>
      <c r="D2142" s="1" t="s">
        <v>19</v>
      </c>
      <c r="E2142" s="12">
        <f>F2142/10</f>
        <v>185.2</v>
      </c>
      <c r="F2142" s="12">
        <f>'Physical Definitions'!E17</f>
        <v>1852</v>
      </c>
      <c r="G2142" s="1" t="s">
        <v>14</v>
      </c>
      <c r="H2142" s="1" t="s">
        <v>58</v>
      </c>
    </row>
    <row r="2143" spans="1:8">
      <c r="A2143" s="1" t="s">
        <v>528</v>
      </c>
      <c r="B2143" s="1" t="s">
        <v>26</v>
      </c>
      <c r="C2143" s="1" t="s">
        <v>3033</v>
      </c>
      <c r="D2143" s="1" t="s">
        <v>19</v>
      </c>
      <c r="E2143" s="12">
        <f>F2143</f>
        <v>3.3333333333333332E-4</v>
      </c>
      <c r="F2143" s="12">
        <f>'Physical Definitions'!E21/3</f>
        <v>3.3333333333333332E-4</v>
      </c>
      <c r="G2143" s="1" t="s">
        <v>14</v>
      </c>
      <c r="H2143" s="1" t="s">
        <v>58</v>
      </c>
    </row>
    <row r="2144" spans="1:8">
      <c r="A2144" s="1" t="s">
        <v>1930</v>
      </c>
      <c r="B2144" s="1" t="s">
        <v>26</v>
      </c>
      <c r="C2144" s="1" t="s">
        <v>3033</v>
      </c>
      <c r="D2144" s="1" t="s">
        <v>19</v>
      </c>
      <c r="E2144" s="12">
        <f>400*F2144</f>
        <v>400</v>
      </c>
      <c r="F2144" s="12">
        <f>SI!E3</f>
        <v>1</v>
      </c>
      <c r="G2144" s="1" t="s">
        <v>14</v>
      </c>
      <c r="H2144" s="1" t="s">
        <v>58</v>
      </c>
    </row>
    <row r="2145" spans="1:8">
      <c r="A2145" s="1" t="s">
        <v>1938</v>
      </c>
      <c r="B2145" s="1" t="s">
        <v>6984</v>
      </c>
      <c r="C2145" s="1" t="s">
        <v>3033</v>
      </c>
      <c r="D2145" s="1" t="s">
        <v>19</v>
      </c>
      <c r="E2145" s="12">
        <f>3*F2145</f>
        <v>5556</v>
      </c>
      <c r="F2145" s="12">
        <f>1852*SI!E3</f>
        <v>1852</v>
      </c>
      <c r="G2145" s="1" t="s">
        <v>14</v>
      </c>
      <c r="H2145" s="1" t="s">
        <v>58</v>
      </c>
    </row>
    <row r="2146" spans="1:8">
      <c r="A2146" s="1" t="s">
        <v>2014</v>
      </c>
      <c r="B2146" s="1" t="s">
        <v>26</v>
      </c>
      <c r="C2146" s="1" t="s">
        <v>3033</v>
      </c>
      <c r="D2146" s="1" t="s">
        <v>19</v>
      </c>
      <c r="E2146" s="12">
        <f>F2146</f>
        <v>42194.988000000005</v>
      </c>
      <c r="F2146" s="12">
        <f>(26*5280+3*385)*Systems!D6</f>
        <v>42194.988000000005</v>
      </c>
      <c r="G2146" s="1" t="s">
        <v>14</v>
      </c>
      <c r="H2146" s="1" t="s">
        <v>58</v>
      </c>
    </row>
    <row r="2147" spans="1:8">
      <c r="A2147" s="1" t="s">
        <v>1484</v>
      </c>
      <c r="B2147" s="1" t="s">
        <v>6954</v>
      </c>
      <c r="C2147" s="1" t="s">
        <v>3033</v>
      </c>
      <c r="D2147" s="1" t="s">
        <v>19</v>
      </c>
      <c r="E2147" s="12">
        <f>1760*F2147</f>
        <v>1609.3440000000003</v>
      </c>
      <c r="F2147" s="12">
        <f>3*Systems!D6</f>
        <v>0.9144000000000001</v>
      </c>
      <c r="G2147" s="1" t="s">
        <v>14</v>
      </c>
      <c r="H2147" s="1" t="s">
        <v>58</v>
      </c>
    </row>
    <row r="2148" spans="1:8">
      <c r="A2148" s="1" t="s">
        <v>4952</v>
      </c>
      <c r="B2148" s="1" t="s">
        <v>4953</v>
      </c>
      <c r="C2148" s="1" t="s">
        <v>3033</v>
      </c>
      <c r="D2148" s="1" t="s">
        <v>19</v>
      </c>
      <c r="E2148" s="12">
        <f>F2148</f>
        <v>1852</v>
      </c>
      <c r="F2148" s="12">
        <f>'Physical Definitions'!E29</f>
        <v>1852</v>
      </c>
      <c r="G2148" s="1" t="s">
        <v>14</v>
      </c>
      <c r="H2148" s="1" t="s">
        <v>58</v>
      </c>
    </row>
    <row r="2149" spans="1:8">
      <c r="A2149" s="1" t="s">
        <v>4812</v>
      </c>
      <c r="B2149" s="1" t="s">
        <v>4951</v>
      </c>
      <c r="C2149" s="1" t="s">
        <v>3033</v>
      </c>
      <c r="D2149" s="1" t="s">
        <v>19</v>
      </c>
      <c r="E2149" s="12">
        <f>6087*F2149</f>
        <v>1855.3176000000001</v>
      </c>
      <c r="F2149" s="12">
        <f>Systems!D6</f>
        <v>0.30480000000000002</v>
      </c>
      <c r="G2149" s="1" t="s">
        <v>14</v>
      </c>
      <c r="H2149" s="1" t="s">
        <v>58</v>
      </c>
    </row>
    <row r="2150" spans="1:8">
      <c r="A2150" s="1" t="s">
        <v>4813</v>
      </c>
      <c r="B2150" s="1" t="s">
        <v>6989</v>
      </c>
      <c r="C2150" s="1" t="s">
        <v>3033</v>
      </c>
      <c r="D2150" s="1" t="s">
        <v>19</v>
      </c>
      <c r="E2150" s="12">
        <f>F2150</f>
        <v>1852</v>
      </c>
      <c r="F2150" s="12">
        <f>'Physical Definitions'!E29</f>
        <v>1852</v>
      </c>
      <c r="G2150" s="1" t="s">
        <v>14</v>
      </c>
      <c r="H2150" s="1" t="s">
        <v>58</v>
      </c>
    </row>
    <row r="2151" spans="1:8">
      <c r="A2151" s="1" t="s">
        <v>4954</v>
      </c>
      <c r="B2151" s="1" t="s">
        <v>26</v>
      </c>
      <c r="C2151" s="1" t="s">
        <v>3033</v>
      </c>
      <c r="D2151" s="1" t="s">
        <v>19</v>
      </c>
      <c r="E2151" s="12">
        <f>12*F2151</f>
        <v>4.217517642175176E-2</v>
      </c>
      <c r="F2151" s="166">
        <f>Systems!D6/86.724</f>
        <v>3.5145980351459802E-3</v>
      </c>
      <c r="G2151" s="1" t="s">
        <v>14</v>
      </c>
      <c r="H2151" s="1" t="s">
        <v>58</v>
      </c>
    </row>
    <row r="2152" spans="1:8">
      <c r="A2152" s="1" t="s">
        <v>4955</v>
      </c>
      <c r="B2152" s="1" t="s">
        <v>26</v>
      </c>
      <c r="C2152" s="1" t="s">
        <v>3033</v>
      </c>
      <c r="D2152" s="1" t="s">
        <v>19</v>
      </c>
      <c r="E2152" s="12">
        <f>F2152/6</f>
        <v>4.2333333333333337E-3</v>
      </c>
      <c r="F2152" s="12">
        <f>Systems!D6/12</f>
        <v>2.5400000000000002E-2</v>
      </c>
      <c r="G2152" s="1" t="s">
        <v>14</v>
      </c>
      <c r="H2152" s="1" t="s">
        <v>58</v>
      </c>
    </row>
    <row r="2153" spans="1:8">
      <c r="A2153" s="1" t="s">
        <v>4956</v>
      </c>
      <c r="B2153" s="1" t="s">
        <v>26</v>
      </c>
      <c r="C2153" s="1" t="s">
        <v>3033</v>
      </c>
      <c r="D2153" s="1" t="s">
        <v>19</v>
      </c>
      <c r="E2153" s="12">
        <f>12*F2153</f>
        <v>4.2333333333333337E-3</v>
      </c>
      <c r="F2153" s="166">
        <f>Systems!D6/(12*72)</f>
        <v>3.5277777777777781E-4</v>
      </c>
      <c r="G2153" s="1" t="s">
        <v>14</v>
      </c>
      <c r="H2153" s="1" t="s">
        <v>58</v>
      </c>
    </row>
    <row r="2154" spans="1:8">
      <c r="A2154" s="1" t="s">
        <v>4957</v>
      </c>
      <c r="B2154" s="1" t="s">
        <v>26</v>
      </c>
      <c r="C2154" s="1" t="s">
        <v>3033</v>
      </c>
      <c r="D2154" s="1" t="s">
        <v>19</v>
      </c>
      <c r="E2154" s="12">
        <f>12*F2154</f>
        <v>4.2175176421751764E-3</v>
      </c>
      <c r="F2154" s="12">
        <f>Systems!D6/(12*72.27)</f>
        <v>3.5145980351459805E-4</v>
      </c>
      <c r="G2154" s="1" t="s">
        <v>14</v>
      </c>
      <c r="H2154" s="1" t="s">
        <v>58</v>
      </c>
    </row>
    <row r="2155" spans="1:8">
      <c r="A2155" s="1" t="s">
        <v>4958</v>
      </c>
      <c r="B2155" s="1" t="s">
        <v>26</v>
      </c>
      <c r="C2155" s="1" t="s">
        <v>3033</v>
      </c>
      <c r="D2155" s="1" t="s">
        <v>19</v>
      </c>
      <c r="E2155" s="12">
        <f>F2155</f>
        <v>3.5145980351459802E-3</v>
      </c>
      <c r="F2155" s="12">
        <f>Systems!D6/86.724</f>
        <v>3.5145980351459802E-3</v>
      </c>
      <c r="G2155" s="1" t="s">
        <v>14</v>
      </c>
      <c r="H2155" s="1" t="s">
        <v>58</v>
      </c>
    </row>
    <row r="2156" spans="1:8">
      <c r="A2156" s="1" t="s">
        <v>4959</v>
      </c>
      <c r="B2156" s="1" t="s">
        <v>545</v>
      </c>
      <c r="C2156" s="1" t="s">
        <v>3033</v>
      </c>
      <c r="D2156" s="1" t="s">
        <v>19</v>
      </c>
      <c r="E2156" s="12">
        <f>F2156/72</f>
        <v>3.5277777777777781E-4</v>
      </c>
      <c r="F2156" s="12">
        <f>Systems!D6/12</f>
        <v>2.5400000000000002E-2</v>
      </c>
      <c r="G2156" s="1" t="s">
        <v>14</v>
      </c>
      <c r="H2156" s="1" t="s">
        <v>58</v>
      </c>
    </row>
    <row r="2157" spans="1:8">
      <c r="A2157" s="1" t="s">
        <v>4960</v>
      </c>
      <c r="B2157" s="1" t="s">
        <v>26</v>
      </c>
      <c r="C2157" s="1" t="s">
        <v>3033</v>
      </c>
      <c r="D2157" s="1" t="s">
        <v>19</v>
      </c>
      <c r="E2157" s="12">
        <f>F2157/72</f>
        <v>3.5277777777777781E-4</v>
      </c>
      <c r="F2157" s="12">
        <f>Systems!D6/12</f>
        <v>2.5400000000000002E-2</v>
      </c>
      <c r="G2157" s="1" t="s">
        <v>14</v>
      </c>
      <c r="H2157" s="1" t="s">
        <v>58</v>
      </c>
    </row>
    <row r="2158" spans="1:8">
      <c r="A2158" s="1" t="s">
        <v>4961</v>
      </c>
      <c r="B2158" s="1" t="s">
        <v>26</v>
      </c>
      <c r="C2158" s="1" t="s">
        <v>3033</v>
      </c>
      <c r="D2158" s="1" t="s">
        <v>19</v>
      </c>
      <c r="E2158" s="12">
        <f>F2158/72.27</f>
        <v>3.514598035145981E-4</v>
      </c>
      <c r="F2158" s="12">
        <f>Systems!D6/12</f>
        <v>2.5400000000000002E-2</v>
      </c>
      <c r="G2158" s="1" t="s">
        <v>14</v>
      </c>
      <c r="H2158" s="1" t="s">
        <v>58</v>
      </c>
    </row>
    <row r="2159" spans="1:8">
      <c r="A2159" s="1" t="s">
        <v>353</v>
      </c>
      <c r="B2159" s="1" t="s">
        <v>26</v>
      </c>
      <c r="C2159" s="1" t="s">
        <v>3033</v>
      </c>
      <c r="D2159" s="1" t="s">
        <v>19</v>
      </c>
      <c r="E2159" s="12">
        <f>10000000*F2159</f>
        <v>10000000</v>
      </c>
      <c r="F2159" s="12">
        <f>SI!E3</f>
        <v>1</v>
      </c>
      <c r="G2159" s="1" t="s">
        <v>14</v>
      </c>
      <c r="H2159" s="1" t="s">
        <v>58</v>
      </c>
    </row>
    <row r="2160" spans="1:8">
      <c r="A2160" s="1" t="s">
        <v>7510</v>
      </c>
      <c r="B2160" s="1" t="s">
        <v>4962</v>
      </c>
      <c r="C2160" s="1" t="s">
        <v>3033</v>
      </c>
      <c r="D2160" s="1" t="s">
        <v>19</v>
      </c>
      <c r="E2160" s="12">
        <v>1.0002077897E-13</v>
      </c>
      <c r="G2160" s="1" t="s">
        <v>14</v>
      </c>
      <c r="H2160" s="1" t="s">
        <v>58</v>
      </c>
    </row>
    <row r="2161" spans="1:8" ht="16.5">
      <c r="A2161" s="1" t="s">
        <v>4963</v>
      </c>
      <c r="B2161" s="1" t="s">
        <v>6946</v>
      </c>
      <c r="C2161" s="1" t="s">
        <v>3034</v>
      </c>
      <c r="D2161" s="1" t="s">
        <v>38</v>
      </c>
      <c r="E2161" s="12">
        <f>F2161</f>
        <v>2034171.9050791222</v>
      </c>
      <c r="F2161" s="12">
        <f>PI()*POWER(Systems!D6*5280/2,2)</f>
        <v>2034171.9050791222</v>
      </c>
      <c r="G2161" s="1" t="s">
        <v>39</v>
      </c>
      <c r="H2161" s="1" t="s">
        <v>58</v>
      </c>
    </row>
    <row r="2162" spans="1:8" ht="16.5">
      <c r="A2162" s="1" t="s">
        <v>4818</v>
      </c>
      <c r="B2162" s="1" t="s">
        <v>6291</v>
      </c>
      <c r="C2162" s="1" t="s">
        <v>3034</v>
      </c>
      <c r="D2162" s="1" t="s">
        <v>38</v>
      </c>
      <c r="E2162" s="12">
        <f>F2162</f>
        <v>2693840.3022295614</v>
      </c>
      <c r="F2162" s="12">
        <f>PI()*POWER('Physical Definitions'!E17/2,2)</f>
        <v>2693840.3022295614</v>
      </c>
      <c r="G2162" s="1" t="s">
        <v>39</v>
      </c>
      <c r="H2162" s="1" t="s">
        <v>58</v>
      </c>
    </row>
    <row r="2163" spans="1:8" ht="16.5">
      <c r="A2163" s="1" t="s">
        <v>4824</v>
      </c>
      <c r="B2163" s="1" t="s">
        <v>4964</v>
      </c>
      <c r="C2163" s="1" t="s">
        <v>3034</v>
      </c>
      <c r="D2163" s="1" t="s">
        <v>38</v>
      </c>
      <c r="E2163" s="12">
        <f>9*F2163</f>
        <v>30869136</v>
      </c>
      <c r="F2163" s="12">
        <f>POWER('Physical Definitions'!E29,2)</f>
        <v>3429904</v>
      </c>
      <c r="G2163" s="1" t="s">
        <v>39</v>
      </c>
      <c r="H2163" s="1" t="s">
        <v>58</v>
      </c>
    </row>
    <row r="2164" spans="1:8" ht="16.5">
      <c r="A2164" s="1" t="s">
        <v>4596</v>
      </c>
      <c r="B2164" s="1" t="s">
        <v>6990</v>
      </c>
      <c r="C2164" s="1" t="s">
        <v>3034</v>
      </c>
      <c r="D2164" s="1" t="s">
        <v>38</v>
      </c>
      <c r="E2164" s="12">
        <f>F2164</f>
        <v>2589988.1103360001</v>
      </c>
      <c r="F2164" s="12">
        <f>POWER(1760*3*Systems!D6,2)</f>
        <v>2589988.1103360001</v>
      </c>
      <c r="G2164" s="1" t="s">
        <v>39</v>
      </c>
      <c r="H2164" s="1" t="s">
        <v>58</v>
      </c>
    </row>
    <row r="2165" spans="1:8" ht="16.5">
      <c r="A2165" s="1" t="s">
        <v>4966</v>
      </c>
      <c r="B2165" s="1" t="s">
        <v>4965</v>
      </c>
      <c r="C2165" s="1" t="s">
        <v>3034</v>
      </c>
      <c r="D2165" s="1" t="s">
        <v>38</v>
      </c>
      <c r="E2165" s="12">
        <f>F2165</f>
        <v>3429904</v>
      </c>
      <c r="F2165" s="12">
        <f>POWER('Physical Definitions'!E29,2)</f>
        <v>3429904</v>
      </c>
      <c r="G2165" s="1" t="s">
        <v>39</v>
      </c>
      <c r="H2165" s="1" t="s">
        <v>58</v>
      </c>
    </row>
    <row r="2166" spans="1:8" ht="16.5">
      <c r="A2166" s="1" t="s">
        <v>4967</v>
      </c>
      <c r="B2166" s="1" t="s">
        <v>26</v>
      </c>
      <c r="C2166" s="1" t="s">
        <v>2935</v>
      </c>
      <c r="D2166" s="1" t="s">
        <v>32</v>
      </c>
      <c r="E2166" s="12">
        <f>450*F2166*0.001</f>
        <v>4.5000000000000004E-4</v>
      </c>
      <c r="F2166" s="12">
        <f>'Physical Definitions'!E9</f>
        <v>1E-3</v>
      </c>
      <c r="G2166" s="1" t="s">
        <v>33</v>
      </c>
      <c r="H2166" s="1" t="s">
        <v>58</v>
      </c>
    </row>
    <row r="2167" spans="1:8" ht="16.5">
      <c r="A2167" s="1" t="s">
        <v>4969</v>
      </c>
      <c r="B2167" s="1" t="s">
        <v>4968</v>
      </c>
      <c r="C2167" s="1" t="s">
        <v>2935</v>
      </c>
      <c r="D2167" s="1" t="s">
        <v>32</v>
      </c>
      <c r="E2167" s="12">
        <f t="shared" ref="E2167:E2173" si="3">F2167</f>
        <v>1.0000000000000002E-3</v>
      </c>
      <c r="F2167" s="12">
        <f>POWER('Physical Definitions'!E25,3)</f>
        <v>1.0000000000000002E-3</v>
      </c>
      <c r="G2167" s="1" t="s">
        <v>33</v>
      </c>
      <c r="H2167" s="1" t="s">
        <v>58</v>
      </c>
    </row>
    <row r="2168" spans="1:8" ht="16.5">
      <c r="A2168" s="1" t="s">
        <v>4970</v>
      </c>
      <c r="B2168" s="1" t="s">
        <v>4971</v>
      </c>
      <c r="C2168" s="1" t="s">
        <v>2935</v>
      </c>
      <c r="D2168" s="1" t="s">
        <v>32</v>
      </c>
      <c r="E2168" s="12">
        <f>F2168</f>
        <v>1</v>
      </c>
      <c r="F2168" s="12">
        <f>POWER(SI!E3,3)</f>
        <v>1</v>
      </c>
      <c r="G2168" s="1" t="s">
        <v>33</v>
      </c>
      <c r="H2168" s="1" t="s">
        <v>58</v>
      </c>
    </row>
    <row r="2169" spans="1:8" ht="16.5">
      <c r="A2169" s="1" t="s">
        <v>1451</v>
      </c>
      <c r="B2169" s="1" t="s">
        <v>4972</v>
      </c>
      <c r="C2169" s="1" t="s">
        <v>2936</v>
      </c>
      <c r="D2169" s="1" t="s">
        <v>32</v>
      </c>
      <c r="E2169" s="12">
        <f>F2169</f>
        <v>4168206834.6315684</v>
      </c>
      <c r="F2169" s="12">
        <f>POWER(1000*6336/3937,3)</f>
        <v>4168206834.6315684</v>
      </c>
      <c r="G2169" s="1" t="s">
        <v>33</v>
      </c>
      <c r="H2169" s="1" t="s">
        <v>58</v>
      </c>
    </row>
    <row r="2170" spans="1:8" ht="16.5">
      <c r="A2170" s="1" t="s">
        <v>4849</v>
      </c>
      <c r="B2170" s="1" t="s">
        <v>4850</v>
      </c>
      <c r="C2170" s="1" t="s">
        <v>2936</v>
      </c>
      <c r="D2170" s="1" t="s">
        <v>32</v>
      </c>
      <c r="E2170" s="12">
        <f t="shared" si="3"/>
        <v>2.7419858886214326E-2</v>
      </c>
      <c r="F2170" s="12">
        <f>POWER(Systems!D6,3)*((60-32)*5/9 +273.15)/298.15</f>
        <v>2.7419858886214326E-2</v>
      </c>
      <c r="G2170" s="1" t="s">
        <v>33</v>
      </c>
      <c r="H2170" s="1" t="s">
        <v>58</v>
      </c>
    </row>
    <row r="2171" spans="1:8" ht="16.5">
      <c r="A2171" s="1" t="s">
        <v>4973</v>
      </c>
      <c r="B2171" s="1" t="s">
        <v>2558</v>
      </c>
      <c r="C2171" s="1" t="s">
        <v>2936</v>
      </c>
      <c r="D2171" s="1" t="s">
        <v>32</v>
      </c>
      <c r="E2171" s="12">
        <f t="shared" si="3"/>
        <v>1</v>
      </c>
      <c r="F2171" s="12">
        <f>POWER(SI!E3,3)</f>
        <v>1</v>
      </c>
      <c r="G2171" s="1" t="s">
        <v>33</v>
      </c>
      <c r="H2171" s="1" t="s">
        <v>58</v>
      </c>
    </row>
    <row r="2172" spans="1:8" ht="16.5">
      <c r="A2172" s="1" t="s">
        <v>4974</v>
      </c>
      <c r="B2172" s="1" t="s">
        <v>6295</v>
      </c>
      <c r="C2172" s="1" t="s">
        <v>2936</v>
      </c>
      <c r="D2172" s="1" t="s">
        <v>32</v>
      </c>
      <c r="E2172" s="12">
        <f t="shared" si="3"/>
        <v>0.91614958913298672</v>
      </c>
      <c r="F2172" s="12">
        <f>POWER(SI!E3,3)*273.15/298.15</f>
        <v>0.91614958913298672</v>
      </c>
      <c r="G2172" s="1" t="s">
        <v>33</v>
      </c>
      <c r="H2172" s="1" t="s">
        <v>58</v>
      </c>
    </row>
    <row r="2173" spans="1:8">
      <c r="A2173" s="1" t="s">
        <v>4975</v>
      </c>
      <c r="B2173" s="1" t="s">
        <v>115</v>
      </c>
      <c r="C2173" s="1" t="s">
        <v>17</v>
      </c>
      <c r="D2173" s="1" t="s">
        <v>20</v>
      </c>
      <c r="E2173" s="12">
        <f t="shared" si="3"/>
        <v>2.0000000000000001E-4</v>
      </c>
      <c r="F2173" s="12">
        <f>'Physical Definitions'!E27</f>
        <v>2.0000000000000001E-4</v>
      </c>
      <c r="G2173" s="1" t="s">
        <v>23</v>
      </c>
      <c r="H2173" s="1" t="s">
        <v>58</v>
      </c>
    </row>
    <row r="2174" spans="1:8">
      <c r="A2174" s="1" t="s">
        <v>4976</v>
      </c>
      <c r="B2174" s="1" t="s">
        <v>6296</v>
      </c>
      <c r="C2174" s="1" t="s">
        <v>17</v>
      </c>
      <c r="D2174" s="1" t="s">
        <v>20</v>
      </c>
      <c r="E2174" s="12">
        <v>2.053E-4</v>
      </c>
      <c r="G2174" s="1" t="s">
        <v>23</v>
      </c>
      <c r="H2174" s="1" t="s">
        <v>58</v>
      </c>
    </row>
    <row r="2175" spans="1:8">
      <c r="A2175" s="1" t="s">
        <v>4857</v>
      </c>
      <c r="B2175" s="1" t="s">
        <v>4858</v>
      </c>
      <c r="C2175" s="1" t="s">
        <v>17</v>
      </c>
      <c r="D2175" s="1" t="s">
        <v>20</v>
      </c>
      <c r="E2175" s="12">
        <f>76*F2175</f>
        <v>34.473020120000001</v>
      </c>
      <c r="F2175" s="12">
        <f>Systems!L6</f>
        <v>0.45359237000000002</v>
      </c>
      <c r="G2175" s="1" t="s">
        <v>23</v>
      </c>
      <c r="H2175" s="1" t="s">
        <v>58</v>
      </c>
    </row>
    <row r="2176" spans="1:8">
      <c r="A2176" s="248"/>
      <c r="B2176" s="248"/>
      <c r="C2176" s="248"/>
      <c r="D2176" s="248"/>
      <c r="E2176" s="250"/>
      <c r="F2176" s="250"/>
      <c r="G2176" s="248"/>
      <c r="H2176" s="248"/>
    </row>
    <row r="2177" spans="1:8">
      <c r="A2177" s="1" t="s">
        <v>1272</v>
      </c>
      <c r="B2177" s="1" t="s">
        <v>26</v>
      </c>
      <c r="C2177" s="19" t="s">
        <v>3033</v>
      </c>
      <c r="D2177" s="1" t="s">
        <v>19</v>
      </c>
      <c r="E2177" s="12">
        <f>F2177/3</f>
        <v>8.3333333333333329E-2</v>
      </c>
      <c r="F2177" s="12">
        <f>Systems!D117</f>
        <v>0.25</v>
      </c>
      <c r="G2177" s="1" t="s">
        <v>14</v>
      </c>
      <c r="H2177" s="1" t="s">
        <v>466</v>
      </c>
    </row>
    <row r="2178" spans="1:8">
      <c r="A2178" s="1" t="s">
        <v>1369</v>
      </c>
      <c r="B2178" s="1" t="s">
        <v>26</v>
      </c>
      <c r="C2178" s="1" t="s">
        <v>3033</v>
      </c>
      <c r="D2178" s="1" t="s">
        <v>19</v>
      </c>
      <c r="E2178" s="12">
        <f>5*F2178/2</f>
        <v>0.625</v>
      </c>
      <c r="F2178" s="12">
        <f>Systems!D117</f>
        <v>0.25</v>
      </c>
      <c r="G2178" s="1" t="s">
        <v>14</v>
      </c>
      <c r="H2178" s="1" t="s">
        <v>466</v>
      </c>
    </row>
    <row r="2179" spans="1:8">
      <c r="A2179" s="1" t="s">
        <v>1381</v>
      </c>
      <c r="B2179" s="1" t="s">
        <v>26</v>
      </c>
      <c r="C2179" s="1" t="s">
        <v>3033</v>
      </c>
      <c r="D2179" s="1" t="s">
        <v>19</v>
      </c>
      <c r="E2179" s="12">
        <f>84*F2179</f>
        <v>25.603200000000001</v>
      </c>
      <c r="F2179" s="12">
        <f>Systems!D6</f>
        <v>0.30480000000000002</v>
      </c>
      <c r="G2179" s="1" t="s">
        <v>14</v>
      </c>
      <c r="H2179" s="1" t="s">
        <v>466</v>
      </c>
    </row>
    <row r="2180" spans="1:8">
      <c r="A2180" s="1" t="s">
        <v>1421</v>
      </c>
      <c r="B2180" s="1" t="s">
        <v>26</v>
      </c>
      <c r="C2180" s="1" t="s">
        <v>3033</v>
      </c>
      <c r="D2180" s="1" t="s">
        <v>19</v>
      </c>
      <c r="E2180" s="12">
        <f>3*F2180/2</f>
        <v>0.45720000000000005</v>
      </c>
      <c r="F2180" s="12">
        <f>Systems!D116</f>
        <v>0.30480000000000002</v>
      </c>
      <c r="G2180" s="1" t="s">
        <v>14</v>
      </c>
      <c r="H2180" s="1" t="s">
        <v>466</v>
      </c>
    </row>
    <row r="2181" spans="1:8">
      <c r="A2181" s="1" t="s">
        <v>1496</v>
      </c>
      <c r="B2181" s="1" t="s">
        <v>26</v>
      </c>
      <c r="C2181" s="1" t="s">
        <v>3033</v>
      </c>
      <c r="D2181" s="1" t="s">
        <v>19</v>
      </c>
      <c r="E2181" s="12">
        <f>6*F2181</f>
        <v>1.5</v>
      </c>
      <c r="F2181" s="12">
        <f>Systems!D117</f>
        <v>0.25</v>
      </c>
      <c r="G2181" s="1" t="s">
        <v>14</v>
      </c>
      <c r="H2181" s="1" t="s">
        <v>466</v>
      </c>
    </row>
    <row r="2182" spans="1:8">
      <c r="A2182" s="1" t="s">
        <v>4977</v>
      </c>
      <c r="B2182" s="1" t="s">
        <v>26</v>
      </c>
      <c r="C2182" s="1" t="s">
        <v>3033</v>
      </c>
      <c r="D2182" s="1" t="s">
        <v>19</v>
      </c>
      <c r="E2182" s="12">
        <f>F2182/2</f>
        <v>0.125</v>
      </c>
      <c r="F2182" s="12">
        <f>Systems!D117</f>
        <v>0.25</v>
      </c>
      <c r="G2182" s="1" t="s">
        <v>14</v>
      </c>
      <c r="H2182" s="1" t="s">
        <v>466</v>
      </c>
    </row>
    <row r="2183" spans="1:8">
      <c r="A2183" s="1" t="s">
        <v>4978</v>
      </c>
      <c r="B2183" s="1" t="s">
        <v>26</v>
      </c>
      <c r="C2183" s="1" t="s">
        <v>3033</v>
      </c>
      <c r="D2183" s="1" t="s">
        <v>19</v>
      </c>
      <c r="E2183" s="12">
        <f>5*F2183/12</f>
        <v>0.10416666666666667</v>
      </c>
      <c r="F2183" s="12">
        <f>Systems!D117</f>
        <v>0.25</v>
      </c>
      <c r="G2183" s="1" t="s">
        <v>14</v>
      </c>
      <c r="H2183" s="1" t="s">
        <v>466</v>
      </c>
    </row>
    <row r="2184" spans="1:8">
      <c r="A2184" s="1" t="s">
        <v>193</v>
      </c>
      <c r="B2184" s="1" t="s">
        <v>6991</v>
      </c>
      <c r="C2184" s="1" t="s">
        <v>3033</v>
      </c>
      <c r="D2184" s="1" t="s">
        <v>19</v>
      </c>
      <c r="E2184" s="12">
        <f>14*F2184</f>
        <v>4.2671999999999999</v>
      </c>
      <c r="F2184" s="12">
        <f>Systems!D116</f>
        <v>0.30480000000000002</v>
      </c>
      <c r="G2184" s="1" t="s">
        <v>14</v>
      </c>
      <c r="H2184" s="1" t="s">
        <v>466</v>
      </c>
    </row>
    <row r="2185" spans="1:8">
      <c r="A2185" s="1" t="s">
        <v>1613</v>
      </c>
      <c r="B2185" s="1" t="s">
        <v>26</v>
      </c>
      <c r="C2185" s="1" t="s">
        <v>3033</v>
      </c>
      <c r="D2185" s="1" t="s">
        <v>19</v>
      </c>
      <c r="E2185" s="12">
        <f>12*F2185</f>
        <v>3</v>
      </c>
      <c r="F2185" s="12">
        <f>Systems!D117</f>
        <v>0.25</v>
      </c>
      <c r="G2185" s="1" t="s">
        <v>14</v>
      </c>
      <c r="H2185" s="1" t="s">
        <v>466</v>
      </c>
    </row>
    <row r="2186" spans="1:8">
      <c r="A2186" s="1" t="s">
        <v>200</v>
      </c>
      <c r="B2186" s="1" t="s">
        <v>6949</v>
      </c>
      <c r="C2186" s="1" t="s">
        <v>3033</v>
      </c>
      <c r="D2186" s="1" t="s">
        <v>19</v>
      </c>
      <c r="E2186" s="12">
        <f>F2186</f>
        <v>0.30480000000000002</v>
      </c>
      <c r="F2186" s="12">
        <f>Systems!D116</f>
        <v>0.30480000000000002</v>
      </c>
      <c r="G2186" s="1" t="s">
        <v>14</v>
      </c>
      <c r="H2186" s="1" t="s">
        <v>466</v>
      </c>
    </row>
    <row r="2187" spans="1:8">
      <c r="A2187" s="1" t="s">
        <v>1629</v>
      </c>
      <c r="B2187" s="1" t="s">
        <v>26</v>
      </c>
      <c r="C2187" s="1" t="s">
        <v>3033</v>
      </c>
      <c r="D2187" s="1" t="s">
        <v>19</v>
      </c>
      <c r="E2187" s="12">
        <f>144*F2187</f>
        <v>36</v>
      </c>
      <c r="F2187" s="12">
        <f>Systems!D117</f>
        <v>0.25</v>
      </c>
      <c r="G2187" s="1" t="s">
        <v>14</v>
      </c>
      <c r="H2187" s="1" t="s">
        <v>466</v>
      </c>
    </row>
    <row r="2188" spans="1:8">
      <c r="A2188" s="1" t="s">
        <v>1640</v>
      </c>
      <c r="B2188" s="1" t="s">
        <v>6992</v>
      </c>
      <c r="C2188" s="1" t="s">
        <v>3033</v>
      </c>
      <c r="D2188" s="1" t="s">
        <v>19</v>
      </c>
      <c r="E2188" s="12">
        <f>840*F2188</f>
        <v>256.03200000000004</v>
      </c>
      <c r="F2188" s="12">
        <f>Systems!D116</f>
        <v>0.30480000000000002</v>
      </c>
      <c r="G2188" s="1" t="s">
        <v>14</v>
      </c>
      <c r="H2188" s="1" t="s">
        <v>466</v>
      </c>
    </row>
    <row r="2189" spans="1:8">
      <c r="A2189" s="1" t="s">
        <v>1692</v>
      </c>
      <c r="B2189" s="1" t="s">
        <v>26</v>
      </c>
      <c r="C2189" s="1" t="s">
        <v>3033</v>
      </c>
      <c r="D2189" s="1" t="s">
        <v>19</v>
      </c>
      <c r="E2189" s="12">
        <f>F2189/36</f>
        <v>6.9444444444444441E-3</v>
      </c>
      <c r="F2189" s="12">
        <f>Systems!D117</f>
        <v>0.25</v>
      </c>
      <c r="G2189" s="1" t="s">
        <v>14</v>
      </c>
      <c r="H2189" s="1" t="s">
        <v>466</v>
      </c>
    </row>
    <row r="2190" spans="1:8">
      <c r="A2190" s="1" t="s">
        <v>245</v>
      </c>
      <c r="B2190" s="1" t="s">
        <v>6974</v>
      </c>
      <c r="C2190" s="1" t="s">
        <v>3033</v>
      </c>
      <c r="D2190" s="1" t="s">
        <v>19</v>
      </c>
      <c r="E2190" s="12">
        <f>F2190/12</f>
        <v>2.5400000000000002E-2</v>
      </c>
      <c r="F2190" s="12">
        <f>Systems!D116</f>
        <v>0.30480000000000002</v>
      </c>
      <c r="G2190" s="1" t="s">
        <v>14</v>
      </c>
      <c r="H2190" s="1" t="s">
        <v>466</v>
      </c>
    </row>
    <row r="2191" spans="1:8">
      <c r="A2191" s="1" t="s">
        <v>1972</v>
      </c>
      <c r="B2191" s="1" t="s">
        <v>26</v>
      </c>
      <c r="C2191" s="1" t="s">
        <v>3033</v>
      </c>
      <c r="D2191" s="1" t="s">
        <v>19</v>
      </c>
      <c r="E2191" s="12">
        <f>42*F2191/5</f>
        <v>2.5603199999999999</v>
      </c>
      <c r="F2191" s="12">
        <f>Systems!D116</f>
        <v>0.30480000000000002</v>
      </c>
      <c r="G2191" s="1" t="s">
        <v>14</v>
      </c>
      <c r="H2191" s="1" t="s">
        <v>466</v>
      </c>
    </row>
    <row r="2192" spans="1:8">
      <c r="A2192" s="1" t="s">
        <v>1484</v>
      </c>
      <c r="B2192" s="1" t="s">
        <v>6971</v>
      </c>
      <c r="C2192" s="1" t="s">
        <v>3033</v>
      </c>
      <c r="D2192" s="1" t="s">
        <v>19</v>
      </c>
      <c r="E2192" s="12">
        <f>6721*F2192</f>
        <v>2048.5608000000002</v>
      </c>
      <c r="F2192" s="12">
        <f>Systems!D6</f>
        <v>0.30480000000000002</v>
      </c>
      <c r="G2192" s="1" t="s">
        <v>14</v>
      </c>
      <c r="H2192" s="1" t="s">
        <v>466</v>
      </c>
    </row>
    <row r="2193" spans="1:8">
      <c r="A2193" s="1" t="s">
        <v>2175</v>
      </c>
      <c r="B2193" s="1" t="s">
        <v>26</v>
      </c>
      <c r="C2193" s="1" t="s">
        <v>3033</v>
      </c>
      <c r="D2193" s="1" t="s">
        <v>19</v>
      </c>
      <c r="E2193" s="12">
        <f>F2193/12</f>
        <v>2.0833333333333332E-2</v>
      </c>
      <c r="F2193" s="12">
        <f>Systems!D117</f>
        <v>0.25</v>
      </c>
      <c r="G2193" s="1" t="s">
        <v>14</v>
      </c>
      <c r="H2193" s="1" t="s">
        <v>466</v>
      </c>
    </row>
    <row r="2194" spans="1:8">
      <c r="A2194" s="1" t="s">
        <v>1284</v>
      </c>
      <c r="B2194" s="1" t="s">
        <v>26</v>
      </c>
      <c r="C2194" s="1" t="s">
        <v>3033</v>
      </c>
      <c r="D2194" s="1" t="s">
        <v>19</v>
      </c>
      <c r="E2194" s="12">
        <f>5*F2194</f>
        <v>1.524</v>
      </c>
      <c r="F2194" s="12">
        <f>Systems!D116</f>
        <v>0.30480000000000002</v>
      </c>
      <c r="G2194" s="1" t="s">
        <v>14</v>
      </c>
      <c r="H2194" s="1" t="s">
        <v>466</v>
      </c>
    </row>
    <row r="2195" spans="1:8">
      <c r="A2195" s="1" t="s">
        <v>1334</v>
      </c>
      <c r="B2195" s="1" t="s">
        <v>26</v>
      </c>
      <c r="C2195" s="1" t="s">
        <v>3033</v>
      </c>
      <c r="D2195" s="1" t="s">
        <v>19</v>
      </c>
      <c r="E2195" s="12">
        <f>3*F2195</f>
        <v>7.6200000000000004E-2</v>
      </c>
      <c r="F2195" s="12">
        <f>Systems!D116/12</f>
        <v>2.5400000000000002E-2</v>
      </c>
      <c r="G2195" s="1" t="s">
        <v>14</v>
      </c>
      <c r="H2195" s="1" t="s">
        <v>466</v>
      </c>
    </row>
    <row r="2196" spans="1:8">
      <c r="A2196" s="1" t="s">
        <v>1492</v>
      </c>
      <c r="B2196" s="1" t="s">
        <v>26</v>
      </c>
      <c r="C2196" s="1" t="s">
        <v>3033</v>
      </c>
      <c r="D2196" s="1" t="s">
        <v>19</v>
      </c>
      <c r="E2196" s="12">
        <f>21*F2196</f>
        <v>6.4008000000000003</v>
      </c>
      <c r="F2196" s="12">
        <f>Systems!D6</f>
        <v>0.30480000000000002</v>
      </c>
      <c r="G2196" s="1" t="s">
        <v>14</v>
      </c>
      <c r="H2196" s="1" t="s">
        <v>466</v>
      </c>
    </row>
    <row r="2197" spans="1:8">
      <c r="A2197" s="1" t="s">
        <v>2542</v>
      </c>
      <c r="B2197" s="1" t="s">
        <v>26</v>
      </c>
      <c r="C2197" s="1" t="s">
        <v>3033</v>
      </c>
      <c r="D2197" s="1" t="s">
        <v>19</v>
      </c>
      <c r="E2197" s="12">
        <f>9*F2197</f>
        <v>0.22860000000000003</v>
      </c>
      <c r="F2197" s="12">
        <f>Systems!D116/12</f>
        <v>2.5400000000000002E-2</v>
      </c>
      <c r="G2197" s="1" t="s">
        <v>14</v>
      </c>
      <c r="H2197" s="1" t="s">
        <v>466</v>
      </c>
    </row>
    <row r="2198" spans="1:8">
      <c r="A2198" s="1" t="s">
        <v>1004</v>
      </c>
      <c r="B2198" s="1" t="s">
        <v>26</v>
      </c>
      <c r="C2198" s="1" t="s">
        <v>3033</v>
      </c>
      <c r="D2198" s="1" t="s">
        <v>19</v>
      </c>
      <c r="E2198" s="12">
        <f>F2198</f>
        <v>0.25</v>
      </c>
      <c r="F2198" s="12">
        <f>Systems!D117</f>
        <v>0.25</v>
      </c>
      <c r="G2198" s="1" t="s">
        <v>14</v>
      </c>
      <c r="H2198" s="1" t="s">
        <v>466</v>
      </c>
    </row>
    <row r="2199" spans="1:8">
      <c r="A2199" s="1" t="s">
        <v>431</v>
      </c>
      <c r="B2199" s="1" t="s">
        <v>6972</v>
      </c>
      <c r="C2199" s="1" t="s">
        <v>3033</v>
      </c>
      <c r="D2199" s="1" t="s">
        <v>19</v>
      </c>
      <c r="E2199" s="12">
        <f>3*F2199</f>
        <v>0.9144000000000001</v>
      </c>
      <c r="F2199" s="12">
        <f>Systems!D116</f>
        <v>0.30480000000000002</v>
      </c>
      <c r="G2199" s="1" t="s">
        <v>14</v>
      </c>
      <c r="H2199" s="1" t="s">
        <v>466</v>
      </c>
    </row>
    <row r="2200" spans="1:8" ht="16.5">
      <c r="A2200" s="1" t="s">
        <v>1005</v>
      </c>
      <c r="B2200" s="1" t="s">
        <v>26</v>
      </c>
      <c r="C2200" s="1" t="s">
        <v>3034</v>
      </c>
      <c r="D2200" s="1" t="s">
        <v>38</v>
      </c>
      <c r="E2200" s="12">
        <f>F2200</f>
        <v>4046.8564224000011</v>
      </c>
      <c r="F2200" s="12">
        <f>Systems!H117</f>
        <v>4046.8564224000011</v>
      </c>
      <c r="G2200" s="1" t="s">
        <v>39</v>
      </c>
      <c r="H2200" s="1" t="s">
        <v>466</v>
      </c>
    </row>
    <row r="2201" spans="1:8" ht="16.5">
      <c r="A2201" s="1" t="s">
        <v>45</v>
      </c>
      <c r="B2201" s="1" t="s">
        <v>6976</v>
      </c>
      <c r="C2201" s="1" t="s">
        <v>3034</v>
      </c>
      <c r="D2201" s="1" t="s">
        <v>38</v>
      </c>
      <c r="E2201" s="12">
        <f>4840*F2201/0.62</f>
        <v>6527.1877780645182</v>
      </c>
      <c r="F2201" s="12">
        <f>POWER(3*Systems!D6,2)</f>
        <v>0.83612736000000021</v>
      </c>
      <c r="G2201" s="1" t="s">
        <v>39</v>
      </c>
      <c r="H2201" s="1" t="s">
        <v>466</v>
      </c>
    </row>
    <row r="2202" spans="1:8" ht="16.5">
      <c r="A2202" s="1" t="s">
        <v>1249</v>
      </c>
      <c r="B2202" s="1" t="s">
        <v>26</v>
      </c>
      <c r="C2202" s="1" t="s">
        <v>3034</v>
      </c>
      <c r="D2202" s="1" t="s">
        <v>38</v>
      </c>
      <c r="E2202" s="12">
        <f>1440*F2202</f>
        <v>5827473.2482560016</v>
      </c>
      <c r="F2202" s="12">
        <f>Systems!H117</f>
        <v>4046.8564224000011</v>
      </c>
      <c r="G2202" s="1" t="s">
        <v>39</v>
      </c>
      <c r="H2202" s="1" t="s">
        <v>466</v>
      </c>
    </row>
    <row r="2203" spans="1:8" ht="16.5">
      <c r="A2203" s="1" t="s">
        <v>2467</v>
      </c>
      <c r="B2203" s="1" t="s">
        <v>26</v>
      </c>
      <c r="C2203" s="1" t="s">
        <v>3034</v>
      </c>
      <c r="D2203" s="1" t="s">
        <v>38</v>
      </c>
      <c r="E2203" s="12">
        <f>120*F2203</f>
        <v>485622.77068800014</v>
      </c>
      <c r="F2203" s="12">
        <f>Systems!H117</f>
        <v>4046.8564224000011</v>
      </c>
      <c r="G2203" s="1" t="s">
        <v>39</v>
      </c>
      <c r="H2203" s="1" t="s">
        <v>466</v>
      </c>
    </row>
    <row r="2204" spans="1:8" ht="16.5">
      <c r="A2204" s="1" t="s">
        <v>2700</v>
      </c>
      <c r="B2204" s="1" t="s">
        <v>26</v>
      </c>
      <c r="C2204" s="1" t="s">
        <v>3034</v>
      </c>
      <c r="D2204" s="1" t="s">
        <v>38</v>
      </c>
      <c r="E2204" s="12">
        <f>72*F2204</f>
        <v>93312</v>
      </c>
      <c r="F2204" s="12">
        <f>POWER(144*Systems!D117,2)</f>
        <v>1296</v>
      </c>
      <c r="G2204" s="1" t="s">
        <v>39</v>
      </c>
      <c r="H2204" s="1" t="s">
        <v>466</v>
      </c>
    </row>
    <row r="2205" spans="1:8" ht="16.5">
      <c r="A2205" s="1" t="s">
        <v>2714</v>
      </c>
      <c r="B2205" s="1" t="s">
        <v>26</v>
      </c>
      <c r="C2205" s="1" t="s">
        <v>3034</v>
      </c>
      <c r="D2205" s="1" t="s">
        <v>38</v>
      </c>
      <c r="E2205" s="12">
        <f>4320*F2205</f>
        <v>17482419.744768005</v>
      </c>
      <c r="F2205" s="12">
        <f>Systems!H117</f>
        <v>4046.8564224000011</v>
      </c>
      <c r="G2205" s="1" t="s">
        <v>39</v>
      </c>
      <c r="H2205" s="1" t="s">
        <v>466</v>
      </c>
    </row>
    <row r="2206" spans="1:8" ht="16.5">
      <c r="A2206" s="1" t="s">
        <v>4589</v>
      </c>
      <c r="B2206" s="1" t="s">
        <v>6973</v>
      </c>
      <c r="C2206" s="1" t="s">
        <v>2936</v>
      </c>
      <c r="D2206" s="1" t="s">
        <v>32</v>
      </c>
      <c r="E2206" s="12">
        <f>F2206</f>
        <v>2.8316846592000004E-2</v>
      </c>
      <c r="F2206" s="12">
        <f>Systems!T116</f>
        <v>2.8316846592000004E-2</v>
      </c>
      <c r="G2206" s="1" t="s">
        <v>33</v>
      </c>
      <c r="H2206" s="1" t="s">
        <v>466</v>
      </c>
    </row>
    <row r="2207" spans="1:8" ht="16.5">
      <c r="A2207" s="1" t="s">
        <v>4979</v>
      </c>
      <c r="B2207" s="1" t="s">
        <v>26</v>
      </c>
      <c r="C2207" s="1" t="s">
        <v>2936</v>
      </c>
      <c r="D2207" s="1" t="s">
        <v>32</v>
      </c>
      <c r="E2207" s="12">
        <f>F2207</f>
        <v>1.5625E-2</v>
      </c>
      <c r="F2207" s="12">
        <f>Systems!T117</f>
        <v>1.5625E-2</v>
      </c>
      <c r="G2207" s="1" t="s">
        <v>33</v>
      </c>
      <c r="H2207" s="1" t="s">
        <v>466</v>
      </c>
    </row>
    <row r="2208" spans="1:8" ht="16.5">
      <c r="A2208" s="1" t="s">
        <v>2557</v>
      </c>
      <c r="B2208" s="1" t="s">
        <v>603</v>
      </c>
      <c r="C2208" s="1" t="s">
        <v>2936</v>
      </c>
      <c r="D2208" s="1" t="s">
        <v>32</v>
      </c>
      <c r="E2208" s="12">
        <f>165*F2208</f>
        <v>4.6722796876800006</v>
      </c>
      <c r="F2208" s="12">
        <f>POWER(Systems!D6,3)</f>
        <v>2.8316846592000004E-2</v>
      </c>
      <c r="G2208" s="1" t="s">
        <v>33</v>
      </c>
      <c r="H2208" s="1" t="s">
        <v>466</v>
      </c>
    </row>
    <row r="2209" spans="1:8" ht="16.5">
      <c r="A2209" s="18" t="s">
        <v>1264</v>
      </c>
      <c r="B2209" s="1" t="s">
        <v>465</v>
      </c>
      <c r="C2209" s="1" t="s">
        <v>2935</v>
      </c>
      <c r="D2209" s="1" t="s">
        <v>32</v>
      </c>
      <c r="E2209" s="16">
        <f>63*F2209/2</f>
        <v>0.11232349148160002</v>
      </c>
      <c r="F2209" s="16">
        <f>Systems!P116</f>
        <v>3.5658251264000006E-3</v>
      </c>
      <c r="G2209" s="1" t="s">
        <v>33</v>
      </c>
      <c r="H2209" s="1" t="s">
        <v>466</v>
      </c>
    </row>
    <row r="2210" spans="1:8" ht="16.5">
      <c r="A2210" s="1" t="s">
        <v>818</v>
      </c>
      <c r="B2210" s="1" t="s">
        <v>6993</v>
      </c>
      <c r="C2210" s="1" t="s">
        <v>2935</v>
      </c>
      <c r="D2210" s="1" t="s">
        <v>32</v>
      </c>
      <c r="E2210" s="12">
        <f>F2210</f>
        <v>3.5658251264000006E-3</v>
      </c>
      <c r="F2210" s="12">
        <f>Systems!P116</f>
        <v>3.5658251264000006E-3</v>
      </c>
      <c r="G2210" s="1" t="s">
        <v>33</v>
      </c>
      <c r="H2210" s="1" t="s">
        <v>466</v>
      </c>
    </row>
    <row r="2211" spans="1:8" ht="16.5">
      <c r="A2211" s="1" t="s">
        <v>1463</v>
      </c>
      <c r="B2211" s="1" t="s">
        <v>231</v>
      </c>
      <c r="C2211" s="1" t="s">
        <v>2935</v>
      </c>
      <c r="D2211" s="1" t="s">
        <v>32</v>
      </c>
      <c r="E2211" s="12">
        <f>126*F2211</f>
        <v>0.44929396592640009</v>
      </c>
      <c r="F2211" s="12">
        <f>Systems!P116</f>
        <v>3.5658251264000006E-3</v>
      </c>
      <c r="G2211" s="1" t="s">
        <v>33</v>
      </c>
      <c r="H2211" s="1" t="s">
        <v>466</v>
      </c>
    </row>
    <row r="2212" spans="1:8" ht="16.5">
      <c r="A2212" s="1" t="s">
        <v>1007</v>
      </c>
      <c r="B2212" s="1" t="s">
        <v>26</v>
      </c>
      <c r="C2212" s="1" t="s">
        <v>2935</v>
      </c>
      <c r="D2212" s="1" t="s">
        <v>32</v>
      </c>
      <c r="E2212" s="12">
        <f>F2212</f>
        <v>0.66</v>
      </c>
      <c r="F2212" s="12">
        <f>Systems!P117</f>
        <v>0.66</v>
      </c>
      <c r="G2212" s="1" t="s">
        <v>33</v>
      </c>
      <c r="H2212" s="1" t="s">
        <v>466</v>
      </c>
    </row>
    <row r="2213" spans="1:8" ht="16.5">
      <c r="A2213" s="1" t="s">
        <v>1008</v>
      </c>
      <c r="B2213" s="1" t="s">
        <v>26</v>
      </c>
      <c r="C2213" s="1" t="s">
        <v>2935</v>
      </c>
      <c r="D2213" s="1" t="s">
        <v>32</v>
      </c>
      <c r="E2213" s="12">
        <f>F2213/12</f>
        <v>5.5E-2</v>
      </c>
      <c r="F2213" s="12">
        <f>Systems!P117</f>
        <v>0.66</v>
      </c>
      <c r="G2213" s="1" t="s">
        <v>33</v>
      </c>
      <c r="H2213" s="1" t="s">
        <v>466</v>
      </c>
    </row>
    <row r="2214" spans="1:8" ht="16.5">
      <c r="A2214" s="1" t="s">
        <v>2160</v>
      </c>
      <c r="B2214" s="8" t="s">
        <v>26</v>
      </c>
      <c r="C2214" s="1" t="s">
        <v>2935</v>
      </c>
      <c r="D2214" s="1" t="s">
        <v>32</v>
      </c>
      <c r="E2214" s="12">
        <f>144*F2214</f>
        <v>95.04</v>
      </c>
      <c r="F2214" s="12">
        <f>Systems!P117</f>
        <v>0.66</v>
      </c>
      <c r="G2214" s="1" t="s">
        <v>33</v>
      </c>
      <c r="H2214" s="1" t="s">
        <v>466</v>
      </c>
    </row>
    <row r="2215" spans="1:8" ht="16.5">
      <c r="A2215" s="1" t="s">
        <v>2166</v>
      </c>
      <c r="B2215" s="8" t="s">
        <v>26</v>
      </c>
      <c r="C2215" s="1" t="s">
        <v>2935</v>
      </c>
      <c r="D2215" s="1" t="s">
        <v>32</v>
      </c>
      <c r="E2215" s="12">
        <f>12*F2215</f>
        <v>7.92</v>
      </c>
      <c r="F2215" s="12">
        <f>Systems!P117</f>
        <v>0.66</v>
      </c>
      <c r="G2215" s="1" t="s">
        <v>33</v>
      </c>
      <c r="H2215" s="1" t="s">
        <v>466</v>
      </c>
    </row>
    <row r="2216" spans="1:8" ht="16.5">
      <c r="A2216" s="1" t="s">
        <v>2275</v>
      </c>
      <c r="B2216" s="1" t="s">
        <v>6965</v>
      </c>
      <c r="C2216" s="1" t="s">
        <v>2935</v>
      </c>
      <c r="D2216" s="1" t="s">
        <v>32</v>
      </c>
      <c r="E2216" s="12">
        <f>F2216/8</f>
        <v>4.4572814080000008E-4</v>
      </c>
      <c r="F2216" s="12">
        <f>Systems!P116</f>
        <v>3.5658251264000006E-3</v>
      </c>
      <c r="G2216" s="1" t="s">
        <v>33</v>
      </c>
      <c r="H2216" s="1" t="s">
        <v>466</v>
      </c>
    </row>
    <row r="2217" spans="1:8" ht="16.5">
      <c r="A2217" s="1" t="s">
        <v>2255</v>
      </c>
      <c r="B2217" s="1" t="s">
        <v>26</v>
      </c>
      <c r="C2217" s="1" t="s">
        <v>2935</v>
      </c>
      <c r="D2217" s="1" t="s">
        <v>32</v>
      </c>
      <c r="E2217" s="12">
        <f>504*F2217</f>
        <v>1.7971758637056003</v>
      </c>
      <c r="F2217" s="12">
        <f>Systems!P116</f>
        <v>3.5658251264000006E-3</v>
      </c>
      <c r="G2217" s="1" t="s">
        <v>33</v>
      </c>
      <c r="H2217" s="1" t="s">
        <v>466</v>
      </c>
    </row>
    <row r="2218" spans="1:8" ht="16.5">
      <c r="A2218" s="1" t="s">
        <v>2296</v>
      </c>
      <c r="B2218" s="1" t="s">
        <v>26</v>
      </c>
      <c r="C2218" s="1" t="s">
        <v>2935</v>
      </c>
      <c r="D2218" s="1" t="s">
        <v>32</v>
      </c>
      <c r="E2218" s="12">
        <f>F2218/2</f>
        <v>1.7829125632000003E-3</v>
      </c>
      <c r="F2218" s="12">
        <f>Systems!P116</f>
        <v>3.5658251264000006E-3</v>
      </c>
      <c r="G2218" s="1" t="s">
        <v>33</v>
      </c>
      <c r="H2218" s="1" t="s">
        <v>466</v>
      </c>
    </row>
    <row r="2219" spans="1:8" ht="16.5">
      <c r="A2219" s="1" t="s">
        <v>2310</v>
      </c>
      <c r="B2219" s="1" t="s">
        <v>26</v>
      </c>
      <c r="C2219" s="1" t="s">
        <v>2935</v>
      </c>
      <c r="D2219" s="1" t="s">
        <v>32</v>
      </c>
      <c r="E2219" s="12">
        <f>126*F2219</f>
        <v>0.44929396592640009</v>
      </c>
      <c r="F2219" s="12">
        <f>Systems!P116</f>
        <v>3.5658251264000006E-3</v>
      </c>
      <c r="G2219" s="1" t="s">
        <v>33</v>
      </c>
      <c r="H2219" s="1" t="s">
        <v>466</v>
      </c>
    </row>
    <row r="2220" spans="1:8" ht="16.5">
      <c r="A2220" s="1" t="s">
        <v>842</v>
      </c>
      <c r="B2220" s="1" t="s">
        <v>6964</v>
      </c>
      <c r="C2220" s="1" t="s">
        <v>2935</v>
      </c>
      <c r="D2220" s="1" t="s">
        <v>32</v>
      </c>
      <c r="E2220" s="12">
        <f>F2220/4</f>
        <v>8.9145628160000015E-4</v>
      </c>
      <c r="F2220" s="12">
        <f>Systems!P116</f>
        <v>3.5658251264000006E-3</v>
      </c>
      <c r="G2220" s="1" t="s">
        <v>33</v>
      </c>
      <c r="H2220" s="1" t="s">
        <v>466</v>
      </c>
    </row>
    <row r="2221" spans="1:8" ht="16.5">
      <c r="A2221" s="1" t="s">
        <v>2402</v>
      </c>
      <c r="B2221" s="1" t="s">
        <v>26</v>
      </c>
      <c r="C2221" s="1" t="s">
        <v>2935</v>
      </c>
      <c r="D2221" s="1" t="s">
        <v>32</v>
      </c>
      <c r="E2221" s="12">
        <f>18*F2221</f>
        <v>6.4184852275200016E-2</v>
      </c>
      <c r="F2221" s="12">
        <f>Systems!P116</f>
        <v>3.5658251264000006E-3</v>
      </c>
      <c r="G2221" s="1" t="s">
        <v>33</v>
      </c>
      <c r="H2221" s="1" t="s">
        <v>466</v>
      </c>
    </row>
    <row r="2222" spans="1:8" ht="16.5">
      <c r="A2222" s="1" t="s">
        <v>2658</v>
      </c>
      <c r="B2222" s="1" t="s">
        <v>26</v>
      </c>
      <c r="C2222" s="1" t="s">
        <v>2935</v>
      </c>
      <c r="D2222" s="1" t="s">
        <v>32</v>
      </c>
      <c r="E2222" s="12">
        <f>42*F2222</f>
        <v>0.14976465530880004</v>
      </c>
      <c r="F2222" s="12">
        <f>Systems!P116</f>
        <v>3.5658251264000006E-3</v>
      </c>
      <c r="G2222" s="1" t="s">
        <v>33</v>
      </c>
      <c r="H2222" s="1" t="s">
        <v>466</v>
      </c>
    </row>
    <row r="2223" spans="1:8" ht="16.5">
      <c r="A2223" s="1" t="s">
        <v>2720</v>
      </c>
      <c r="B2223" s="1" t="s">
        <v>26</v>
      </c>
      <c r="C2223" s="1" t="s">
        <v>2935</v>
      </c>
      <c r="D2223" s="1" t="s">
        <v>32</v>
      </c>
      <c r="E2223" s="12">
        <f>252*F2223</f>
        <v>0.89858793185280017</v>
      </c>
      <c r="F2223" s="12">
        <f>Systems!P116</f>
        <v>3.5658251264000006E-3</v>
      </c>
      <c r="G2223" s="1" t="s">
        <v>33</v>
      </c>
      <c r="H2223" s="1" t="s">
        <v>466</v>
      </c>
    </row>
    <row r="2224" spans="1:8">
      <c r="A2224" s="1" t="s">
        <v>1692</v>
      </c>
      <c r="B2224" s="1" t="s">
        <v>26</v>
      </c>
      <c r="C2224" s="1" t="s">
        <v>17</v>
      </c>
      <c r="D2224" s="1" t="s">
        <v>20</v>
      </c>
      <c r="E2224" s="12">
        <f>F2224/8</f>
        <v>5.0000000000000002E-5</v>
      </c>
      <c r="F2224" s="12">
        <f>Systems!L117</f>
        <v>4.0000000000000002E-4</v>
      </c>
      <c r="G2224" s="1" t="s">
        <v>23</v>
      </c>
      <c r="H2224" s="1" t="s">
        <v>466</v>
      </c>
    </row>
    <row r="2225" spans="1:8">
      <c r="A2225" s="1" t="s">
        <v>1006</v>
      </c>
      <c r="B2225" s="1" t="s">
        <v>26</v>
      </c>
      <c r="C2225" s="1" t="s">
        <v>17</v>
      </c>
      <c r="D2225" s="1" t="s">
        <v>20</v>
      </c>
      <c r="E2225" s="12">
        <f>F2225</f>
        <v>4.0000000000000002E-4</v>
      </c>
      <c r="F2225" s="12">
        <f>Systems!L117</f>
        <v>4.0000000000000002E-4</v>
      </c>
      <c r="G2225" s="1" t="s">
        <v>23</v>
      </c>
      <c r="H2225" s="1" t="s">
        <v>466</v>
      </c>
    </row>
    <row r="2226" spans="1:8">
      <c r="A2226" s="1" t="s">
        <v>2273</v>
      </c>
      <c r="B2226" s="1" t="s">
        <v>26</v>
      </c>
      <c r="C2226" s="1" t="s">
        <v>17</v>
      </c>
      <c r="D2226" s="1" t="s">
        <v>20</v>
      </c>
      <c r="E2226" s="12">
        <f>F2226</f>
        <v>4.0000000000000002E-4</v>
      </c>
      <c r="F2226" s="12">
        <f>Systems!L117</f>
        <v>4.0000000000000002E-4</v>
      </c>
      <c r="G2226" s="1" t="s">
        <v>23</v>
      </c>
      <c r="H2226" s="1" t="s">
        <v>466</v>
      </c>
    </row>
    <row r="2227" spans="1:8">
      <c r="A2227" s="1" t="s">
        <v>2452</v>
      </c>
      <c r="B2227" s="1" t="s">
        <v>26</v>
      </c>
      <c r="C2227" s="1" t="s">
        <v>17</v>
      </c>
      <c r="D2227" s="1" t="s">
        <v>20</v>
      </c>
      <c r="E2227" s="12">
        <f>3*F2227</f>
        <v>1.2000000000000001E-3</v>
      </c>
      <c r="F2227" s="12">
        <f>Systems!L117</f>
        <v>4.0000000000000002E-4</v>
      </c>
      <c r="G2227" s="1" t="s">
        <v>23</v>
      </c>
      <c r="H2227" s="1" t="s">
        <v>466</v>
      </c>
    </row>
    <row r="2228" spans="1:8">
      <c r="A2228" s="1" t="s">
        <v>4980</v>
      </c>
      <c r="B2228" s="1" t="s">
        <v>26</v>
      </c>
      <c r="C2228" s="1" t="s">
        <v>17</v>
      </c>
      <c r="D2228" s="1" t="s">
        <v>20</v>
      </c>
      <c r="E2228" s="12">
        <f>F2228</f>
        <v>7.0873807812500004E-3</v>
      </c>
      <c r="F2228" s="12">
        <f>Systems!L6/64</f>
        <v>7.0873807812500004E-3</v>
      </c>
      <c r="G2228" s="1" t="s">
        <v>23</v>
      </c>
      <c r="H2228" s="1" t="s">
        <v>466</v>
      </c>
    </row>
    <row r="2229" spans="1:8">
      <c r="A2229" s="1" t="s">
        <v>2453</v>
      </c>
      <c r="B2229" s="1" t="s">
        <v>26</v>
      </c>
      <c r="C2229" s="1" t="s">
        <v>17</v>
      </c>
      <c r="D2229" s="1" t="s">
        <v>20</v>
      </c>
      <c r="E2229" s="12">
        <f>3*F2229</f>
        <v>1.2000000000000001E-3</v>
      </c>
      <c r="F2229" s="12">
        <f>Systems!L117</f>
        <v>4.0000000000000002E-4</v>
      </c>
      <c r="G2229" s="1" t="s">
        <v>23</v>
      </c>
      <c r="H2229" s="1" t="s">
        <v>466</v>
      </c>
    </row>
    <row r="2230" spans="1:8">
      <c r="A2230" s="1" t="s">
        <v>2454</v>
      </c>
      <c r="B2230" s="1" t="s">
        <v>26</v>
      </c>
      <c r="C2230" s="1" t="s">
        <v>17</v>
      </c>
      <c r="D2230" s="1" t="s">
        <v>20</v>
      </c>
      <c r="E2230" s="12">
        <f>3*F2230</f>
        <v>1.2000000000000001E-3</v>
      </c>
      <c r="F2230" s="12">
        <f>Systems!L117</f>
        <v>4.0000000000000002E-4</v>
      </c>
      <c r="G2230" s="1" t="s">
        <v>23</v>
      </c>
      <c r="H2230" s="1" t="s">
        <v>466</v>
      </c>
    </row>
    <row r="2231" spans="1:8">
      <c r="A2231" s="1" t="s">
        <v>2455</v>
      </c>
      <c r="B2231" s="1" t="s">
        <v>26</v>
      </c>
      <c r="C2231" s="1" t="s">
        <v>17</v>
      </c>
      <c r="D2231" s="1" t="s">
        <v>20</v>
      </c>
      <c r="E2231" s="12">
        <f>3*F2231</f>
        <v>1.2000000000000001E-3</v>
      </c>
      <c r="F2231" s="12">
        <f>Systems!L117</f>
        <v>4.0000000000000002E-4</v>
      </c>
      <c r="G2231" s="1" t="s">
        <v>23</v>
      </c>
      <c r="H2231" s="1" t="s">
        <v>466</v>
      </c>
    </row>
    <row r="2232" spans="1:8">
      <c r="A2232" s="1" t="s">
        <v>2456</v>
      </c>
      <c r="B2232" s="1" t="s">
        <v>26</v>
      </c>
      <c r="C2232" s="1" t="s">
        <v>17</v>
      </c>
      <c r="D2232" s="1" t="s">
        <v>20</v>
      </c>
      <c r="E2232" s="12">
        <f>3*F2232</f>
        <v>1.2000000000000001E-3</v>
      </c>
      <c r="F2232" s="12">
        <f>Systems!L117</f>
        <v>4.0000000000000002E-4</v>
      </c>
      <c r="G2232" s="1" t="s">
        <v>23</v>
      </c>
      <c r="H2232" s="1" t="s">
        <v>466</v>
      </c>
    </row>
    <row r="2233" spans="1:8">
      <c r="A2233" s="1" t="s">
        <v>2734</v>
      </c>
      <c r="B2233" s="1" t="s">
        <v>26</v>
      </c>
      <c r="C2233" s="1" t="s">
        <v>17</v>
      </c>
      <c r="D2233" s="1" t="s">
        <v>20</v>
      </c>
      <c r="E2233" s="12">
        <f>72*F2233</f>
        <v>2.8800000000000003E-2</v>
      </c>
      <c r="F2233" s="12">
        <f>Systems!L117</f>
        <v>4.0000000000000002E-4</v>
      </c>
      <c r="G2233" s="1" t="s">
        <v>23</v>
      </c>
      <c r="H2233" s="1" t="s">
        <v>466</v>
      </c>
    </row>
    <row r="2234" spans="1:8">
      <c r="A2234" s="1" t="s">
        <v>2741</v>
      </c>
      <c r="B2234" s="1" t="s">
        <v>26</v>
      </c>
      <c r="C2234" s="1" t="s">
        <v>17</v>
      </c>
      <c r="D2234" s="1" t="s">
        <v>20</v>
      </c>
      <c r="E2234" s="12">
        <f>72*F2234</f>
        <v>2.8800000000000003E-2</v>
      </c>
      <c r="F2234" s="12">
        <f>Systems!L117</f>
        <v>4.0000000000000002E-4</v>
      </c>
      <c r="G2234" s="1" t="s">
        <v>23</v>
      </c>
      <c r="H2234" s="1" t="s">
        <v>466</v>
      </c>
    </row>
    <row r="2235" spans="1:8">
      <c r="A2235" s="1" t="s">
        <v>4981</v>
      </c>
      <c r="B2235" s="1" t="s">
        <v>26</v>
      </c>
      <c r="C2235" s="1" t="s">
        <v>17</v>
      </c>
      <c r="D2235" s="1" t="s">
        <v>20</v>
      </c>
      <c r="E2235" s="12">
        <f>39*F2235</f>
        <v>1.5600000000000001E-2</v>
      </c>
      <c r="F2235" s="12">
        <f>Systems!L117</f>
        <v>4.0000000000000002E-4</v>
      </c>
      <c r="G2235" s="1" t="s">
        <v>23</v>
      </c>
      <c r="H2235" s="1" t="s">
        <v>466</v>
      </c>
    </row>
    <row r="2236" spans="1:8">
      <c r="A2236" s="1" t="s">
        <v>4982</v>
      </c>
      <c r="B2236" s="1" t="s">
        <v>26</v>
      </c>
      <c r="C2236" s="1" t="s">
        <v>17</v>
      </c>
      <c r="D2236" s="1" t="s">
        <v>20</v>
      </c>
      <c r="E2236" s="12">
        <f>311*F2236/4</f>
        <v>3.1100000000000003E-2</v>
      </c>
      <c r="F2236" s="12">
        <f>Systems!L117</f>
        <v>4.0000000000000002E-4</v>
      </c>
      <c r="G2236" s="1" t="s">
        <v>23</v>
      </c>
      <c r="H2236" s="1" t="s">
        <v>466</v>
      </c>
    </row>
    <row r="2237" spans="1:8">
      <c r="A2237" s="248"/>
      <c r="B2237" s="248"/>
      <c r="C2237" s="248"/>
      <c r="D2237" s="248"/>
      <c r="E2237" s="250"/>
      <c r="F2237" s="250"/>
      <c r="G2237" s="248"/>
      <c r="H2237" s="248"/>
    </row>
    <row r="2238" spans="1:8">
      <c r="A2238" s="1" t="s">
        <v>827</v>
      </c>
      <c r="B2238" s="1" t="s">
        <v>26</v>
      </c>
      <c r="C2238" s="1" t="s">
        <v>3033</v>
      </c>
      <c r="D2238" s="1" t="s">
        <v>19</v>
      </c>
      <c r="E2238" s="12">
        <f>4*F2238</f>
        <v>2.0550799999999998</v>
      </c>
      <c r="F2238" s="12">
        <f>Systems!D118</f>
        <v>0.51376999999999995</v>
      </c>
      <c r="G2238" s="1" t="s">
        <v>14</v>
      </c>
      <c r="H2238" s="1" t="s">
        <v>77</v>
      </c>
    </row>
    <row r="2239" spans="1:8">
      <c r="A2239" s="1" t="s">
        <v>1365</v>
      </c>
      <c r="B2239" s="1" t="s">
        <v>26</v>
      </c>
      <c r="C2239" s="1" t="s">
        <v>3033</v>
      </c>
      <c r="D2239" s="1" t="s">
        <v>19</v>
      </c>
      <c r="E2239" s="12">
        <f>6*F2239</f>
        <v>3.0826199999999995</v>
      </c>
      <c r="F2239" s="12">
        <f>Systems!D118</f>
        <v>0.51376999999999995</v>
      </c>
      <c r="G2239" s="1" t="s">
        <v>14</v>
      </c>
      <c r="H2239" s="1" t="s">
        <v>77</v>
      </c>
    </row>
    <row r="2240" spans="1:8">
      <c r="A2240" s="1" t="s">
        <v>200</v>
      </c>
      <c r="B2240" s="1" t="s">
        <v>6949</v>
      </c>
      <c r="C2240" s="1" t="s">
        <v>3033</v>
      </c>
      <c r="D2240" s="1" t="s">
        <v>19</v>
      </c>
      <c r="E2240" s="12">
        <f>F2240</f>
        <v>0.51376999999999995</v>
      </c>
      <c r="F2240" s="12">
        <f>Systems!D118</f>
        <v>0.51376999999999995</v>
      </c>
      <c r="G2240" s="1" t="s">
        <v>14</v>
      </c>
      <c r="H2240" s="1" t="s">
        <v>77</v>
      </c>
    </row>
    <row r="2241" spans="1:8">
      <c r="A2241" s="1" t="s">
        <v>2063</v>
      </c>
      <c r="B2241" s="1" t="s">
        <v>26</v>
      </c>
      <c r="C2241" s="1" t="s">
        <v>3033</v>
      </c>
      <c r="D2241" s="1" t="s">
        <v>19</v>
      </c>
      <c r="E2241" s="12">
        <f>13000*F2241/3</f>
        <v>2226.3366666666666</v>
      </c>
      <c r="F2241" s="12">
        <f>Systems!D118</f>
        <v>0.51376999999999995</v>
      </c>
      <c r="G2241" s="1" t="s">
        <v>14</v>
      </c>
      <c r="H2241" s="1" t="s">
        <v>77</v>
      </c>
    </row>
    <row r="2242" spans="1:8">
      <c r="A2242" s="1" t="s">
        <v>4983</v>
      </c>
      <c r="B2242" s="1" t="s">
        <v>26</v>
      </c>
      <c r="C2242" s="1" t="s">
        <v>3033</v>
      </c>
      <c r="D2242" s="1" t="s">
        <v>19</v>
      </c>
      <c r="E2242" s="12">
        <f>1784.808*F2242</f>
        <v>1784.808</v>
      </c>
      <c r="F2242" s="12">
        <f>SI!E3</f>
        <v>1</v>
      </c>
      <c r="G2242" s="1" t="s">
        <v>14</v>
      </c>
      <c r="H2242" s="1" t="s">
        <v>77</v>
      </c>
    </row>
    <row r="2243" spans="1:8">
      <c r="A2243" s="1" t="s">
        <v>4984</v>
      </c>
      <c r="B2243" s="1" t="s">
        <v>26</v>
      </c>
      <c r="C2243" s="1" t="s">
        <v>3033</v>
      </c>
      <c r="D2243" s="1" t="s">
        <v>19</v>
      </c>
      <c r="E2243" s="12">
        <f>1855.11*F2243</f>
        <v>1855.11</v>
      </c>
      <c r="F2243" s="12">
        <f>SI!E3</f>
        <v>1</v>
      </c>
      <c r="G2243" s="1" t="s">
        <v>14</v>
      </c>
      <c r="H2243" s="1" t="s">
        <v>77</v>
      </c>
    </row>
    <row r="2244" spans="1:8">
      <c r="A2244" s="1" t="s">
        <v>4985</v>
      </c>
      <c r="B2244" s="1" t="s">
        <v>26</v>
      </c>
      <c r="C2244" s="1" t="s">
        <v>3033</v>
      </c>
      <c r="D2244" s="1" t="s">
        <v>19</v>
      </c>
      <c r="E2244" s="12">
        <f>2466.0768*F2244</f>
        <v>2466.0767999999998</v>
      </c>
      <c r="F2244" s="12">
        <f>SI!E3</f>
        <v>1</v>
      </c>
      <c r="G2244" s="1" t="s">
        <v>14</v>
      </c>
      <c r="H2244" s="1" t="s">
        <v>77</v>
      </c>
    </row>
    <row r="2245" spans="1:8">
      <c r="A2245" s="1" t="s">
        <v>4986</v>
      </c>
      <c r="B2245" s="1" t="s">
        <v>26</v>
      </c>
      <c r="C2245" s="1" t="s">
        <v>3033</v>
      </c>
      <c r="D2245" s="1" t="s">
        <v>19</v>
      </c>
      <c r="E2245" s="12">
        <f>1487.934*F2245</f>
        <v>1487.934</v>
      </c>
      <c r="F2245" s="12">
        <f>SI!E3</f>
        <v>1</v>
      </c>
      <c r="G2245" s="1" t="s">
        <v>14</v>
      </c>
      <c r="H2245" s="1" t="s">
        <v>77</v>
      </c>
    </row>
    <row r="2246" spans="1:8">
      <c r="A2246" s="1" t="s">
        <v>4987</v>
      </c>
      <c r="B2246" s="1" t="s">
        <v>26</v>
      </c>
      <c r="C2246" s="1" t="s">
        <v>3033</v>
      </c>
      <c r="D2246" s="1" t="s">
        <v>19</v>
      </c>
      <c r="E2246" s="12">
        <f>1635.67*F2246</f>
        <v>1635.67</v>
      </c>
      <c r="F2246" s="12">
        <f>SI!E3</f>
        <v>1</v>
      </c>
      <c r="G2246" s="1" t="s">
        <v>14</v>
      </c>
      <c r="H2246" s="1" t="s">
        <v>77</v>
      </c>
    </row>
    <row r="2247" spans="1:8">
      <c r="A2247" s="1" t="s">
        <v>4988</v>
      </c>
      <c r="B2247" s="1" t="s">
        <v>26</v>
      </c>
      <c r="C2247" s="1" t="s">
        <v>3033</v>
      </c>
      <c r="D2247" s="1" t="s">
        <v>19</v>
      </c>
      <c r="E2247" s="12">
        <f>1738.675*F2247</f>
        <v>1738.675</v>
      </c>
      <c r="F2247" s="12">
        <f>SI!E3</f>
        <v>1</v>
      </c>
      <c r="G2247" s="1" t="s">
        <v>14</v>
      </c>
      <c r="H2247" s="1" t="s">
        <v>77</v>
      </c>
    </row>
    <row r="2248" spans="1:8">
      <c r="A2248" s="1" t="s">
        <v>2171</v>
      </c>
      <c r="B2248" s="1" t="s">
        <v>26</v>
      </c>
      <c r="C2248" s="1" t="s">
        <v>3033</v>
      </c>
      <c r="D2248" s="1" t="s">
        <v>19</v>
      </c>
      <c r="E2248" s="12">
        <f>F2248/12</f>
        <v>4.281416666666666E-2</v>
      </c>
      <c r="F2248" s="12">
        <f>Systems!D118</f>
        <v>0.51376999999999995</v>
      </c>
      <c r="G2248" s="1" t="s">
        <v>14</v>
      </c>
      <c r="H2248" s="1" t="s">
        <v>77</v>
      </c>
    </row>
    <row r="2249" spans="1:8">
      <c r="A2249" s="1" t="s">
        <v>4989</v>
      </c>
      <c r="B2249" s="1" t="s">
        <v>26</v>
      </c>
      <c r="C2249" s="1" t="s">
        <v>3033</v>
      </c>
      <c r="D2249" s="1" t="s">
        <v>19</v>
      </c>
      <c r="E2249" s="12">
        <f>F2249</f>
        <v>0.51376999999999995</v>
      </c>
      <c r="F2249" s="12">
        <f>Systems!D118</f>
        <v>0.51376999999999995</v>
      </c>
      <c r="G2249" s="1" t="s">
        <v>14</v>
      </c>
      <c r="H2249" s="1" t="s">
        <v>77</v>
      </c>
    </row>
    <row r="2250" spans="1:8">
      <c r="A2250" s="1" t="s">
        <v>2314</v>
      </c>
      <c r="B2250" s="1" t="s">
        <v>26</v>
      </c>
      <c r="C2250" s="1" t="s">
        <v>3033</v>
      </c>
      <c r="D2250" s="1" t="s">
        <v>19</v>
      </c>
      <c r="E2250" s="12">
        <f>F2250/144</f>
        <v>3.5678472222222218E-3</v>
      </c>
      <c r="F2250" s="12">
        <f>Systems!D118</f>
        <v>0.51376999999999995</v>
      </c>
      <c r="G2250" s="1" t="s">
        <v>14</v>
      </c>
      <c r="H2250" s="1" t="s">
        <v>77</v>
      </c>
    </row>
    <row r="2251" spans="1:8">
      <c r="A2251" s="1" t="s">
        <v>2695</v>
      </c>
      <c r="B2251" s="1" t="s">
        <v>26</v>
      </c>
      <c r="C2251" s="1" t="s">
        <v>3033</v>
      </c>
      <c r="D2251" s="1" t="s">
        <v>19</v>
      </c>
      <c r="E2251" s="12">
        <f>6*F2251</f>
        <v>3.0826199999999995</v>
      </c>
      <c r="F2251" s="12">
        <f>Systems!D118</f>
        <v>0.51376999999999995</v>
      </c>
      <c r="G2251" s="1" t="s">
        <v>14</v>
      </c>
      <c r="H2251" s="1" t="s">
        <v>77</v>
      </c>
    </row>
    <row r="2252" spans="1:8" ht="16.5">
      <c r="A2252" s="1" t="s">
        <v>960</v>
      </c>
      <c r="B2252" s="1" t="s">
        <v>26</v>
      </c>
      <c r="C2252" s="1" t="s">
        <v>3034</v>
      </c>
      <c r="D2252" s="1" t="s">
        <v>38</v>
      </c>
      <c r="E2252" s="12">
        <f>F2252</f>
        <v>3800</v>
      </c>
      <c r="F2252" s="12">
        <f>Systems!H118</f>
        <v>3800</v>
      </c>
      <c r="G2252" s="1" t="s">
        <v>39</v>
      </c>
      <c r="H2252" s="1" t="s">
        <v>77</v>
      </c>
    </row>
    <row r="2253" spans="1:8" ht="16.5">
      <c r="A2253" s="1" t="s">
        <v>2618</v>
      </c>
      <c r="B2253" s="1" t="s">
        <v>26</v>
      </c>
      <c r="C2253" s="1" t="s">
        <v>3034</v>
      </c>
      <c r="D2253" s="1" t="s">
        <v>38</v>
      </c>
      <c r="E2253" s="12">
        <f>F2253/100</f>
        <v>38</v>
      </c>
      <c r="F2253" s="12">
        <f>Systems!H118</f>
        <v>3800</v>
      </c>
      <c r="G2253" s="1" t="s">
        <v>39</v>
      </c>
      <c r="H2253" s="1" t="s">
        <v>77</v>
      </c>
    </row>
    <row r="2254" spans="1:8" ht="16.5">
      <c r="A2254" s="1" t="s">
        <v>4990</v>
      </c>
      <c r="B2254" s="1" t="s">
        <v>26</v>
      </c>
      <c r="C2254" s="1" t="s">
        <v>2936</v>
      </c>
      <c r="D2254" s="1" t="s">
        <v>32</v>
      </c>
      <c r="E2254" s="12">
        <f>F2254</f>
        <v>0.13561453031963297</v>
      </c>
      <c r="F2254" s="12">
        <f>Systems!T118</f>
        <v>0.13561453031963297</v>
      </c>
      <c r="G2254" s="1" t="s">
        <v>33</v>
      </c>
      <c r="H2254" s="1" t="s">
        <v>77</v>
      </c>
    </row>
    <row r="2255" spans="1:8" ht="16.5">
      <c r="A2255" s="1" t="s">
        <v>4991</v>
      </c>
      <c r="B2255" s="1" t="s">
        <v>26</v>
      </c>
      <c r="C2255" s="1" t="s">
        <v>2935</v>
      </c>
      <c r="D2255" s="1" t="s">
        <v>32</v>
      </c>
      <c r="E2255" s="12">
        <f>F2255</f>
        <v>3.3430000000000001E-2</v>
      </c>
      <c r="F2255" s="12">
        <f>Systems!P118</f>
        <v>3.3430000000000001E-2</v>
      </c>
      <c r="G2255" s="1" t="s">
        <v>33</v>
      </c>
      <c r="H2255" s="1" t="s">
        <v>77</v>
      </c>
    </row>
    <row r="2256" spans="1:8" ht="16.5">
      <c r="A2256" s="1" t="s">
        <v>4992</v>
      </c>
      <c r="B2256" s="1" t="s">
        <v>26</v>
      </c>
      <c r="C2256" s="1" t="s">
        <v>2935</v>
      </c>
      <c r="D2256" s="1" t="s">
        <v>32</v>
      </c>
      <c r="E2256" s="12">
        <f>F2256</f>
        <v>4.5600000000000002E-2</v>
      </c>
      <c r="F2256" s="12">
        <f>Systems!P119</f>
        <v>4.5600000000000002E-2</v>
      </c>
      <c r="G2256" s="1" t="s">
        <v>33</v>
      </c>
      <c r="H2256" s="1" t="s">
        <v>77</v>
      </c>
    </row>
    <row r="2257" spans="1:8">
      <c r="A2257" s="1" t="s">
        <v>1353</v>
      </c>
      <c r="B2257" s="1" t="s">
        <v>26</v>
      </c>
      <c r="C2257" s="1" t="s">
        <v>17</v>
      </c>
      <c r="D2257" s="1" t="s">
        <v>20</v>
      </c>
      <c r="E2257" s="12">
        <f>150*F2257</f>
        <v>46.05</v>
      </c>
      <c r="F2257" s="12">
        <f>Systems!L118</f>
        <v>0.307</v>
      </c>
      <c r="G2257" s="1" t="s">
        <v>23</v>
      </c>
      <c r="H2257" s="1" t="s">
        <v>77</v>
      </c>
    </row>
    <row r="2258" spans="1:8">
      <c r="A2258" s="1" t="s">
        <v>1502</v>
      </c>
      <c r="B2258" s="1" t="s">
        <v>26</v>
      </c>
      <c r="C2258" s="1" t="s">
        <v>17</v>
      </c>
      <c r="D2258" s="1" t="s">
        <v>20</v>
      </c>
      <c r="E2258" s="12">
        <f>F2258/288</f>
        <v>1.0659722222222223E-3</v>
      </c>
      <c r="F2258" s="12">
        <f>Systems!L118</f>
        <v>0.307</v>
      </c>
      <c r="G2258" s="1" t="s">
        <v>23</v>
      </c>
      <c r="H2258" s="1" t="s">
        <v>77</v>
      </c>
    </row>
    <row r="2259" spans="1:8">
      <c r="A2259" s="1" t="s">
        <v>1694</v>
      </c>
      <c r="B2259" s="1" t="s">
        <v>26</v>
      </c>
      <c r="C2259" s="1" t="s">
        <v>17</v>
      </c>
      <c r="D2259" s="1" t="s">
        <v>20</v>
      </c>
      <c r="E2259" s="12">
        <f>F2259/6912</f>
        <v>4.4415509259259262E-5</v>
      </c>
      <c r="F2259" s="12">
        <f>Systems!L118</f>
        <v>0.307</v>
      </c>
      <c r="G2259" s="1" t="s">
        <v>23</v>
      </c>
      <c r="H2259" s="1" t="s">
        <v>77</v>
      </c>
    </row>
    <row r="2260" spans="1:8">
      <c r="A2260" s="1" t="s">
        <v>820</v>
      </c>
      <c r="B2260" s="1" t="s">
        <v>26</v>
      </c>
      <c r="C2260" s="1" t="s">
        <v>17</v>
      </c>
      <c r="D2260" s="1" t="s">
        <v>20</v>
      </c>
      <c r="E2260" s="12">
        <f>F2260</f>
        <v>0.307</v>
      </c>
      <c r="F2260" s="12">
        <f>Systems!L118</f>
        <v>0.307</v>
      </c>
      <c r="G2260" s="1" t="s">
        <v>23</v>
      </c>
      <c r="H2260" s="1" t="s">
        <v>77</v>
      </c>
    </row>
    <row r="2261" spans="1:8">
      <c r="A2261" s="1" t="s">
        <v>2172</v>
      </c>
      <c r="B2261" s="1" t="s">
        <v>26</v>
      </c>
      <c r="C2261" s="1" t="s">
        <v>17</v>
      </c>
      <c r="D2261" s="1" t="s">
        <v>20</v>
      </c>
      <c r="E2261" s="12">
        <f>F2261/12</f>
        <v>2.5583333333333333E-2</v>
      </c>
      <c r="F2261" s="12">
        <f>Systems!L118</f>
        <v>0.307</v>
      </c>
      <c r="G2261" s="1" t="s">
        <v>23</v>
      </c>
      <c r="H2261" s="1" t="s">
        <v>77</v>
      </c>
    </row>
    <row r="2262" spans="1:8">
      <c r="A2262" s="1" t="s">
        <v>2185</v>
      </c>
      <c r="B2262" s="1" t="s">
        <v>26</v>
      </c>
      <c r="C2262" s="1" t="s">
        <v>17</v>
      </c>
      <c r="D2262" s="1" t="s">
        <v>20</v>
      </c>
      <c r="E2262" s="12">
        <f>F2262/96</f>
        <v>3.1979166666666666E-3</v>
      </c>
      <c r="F2262" s="12">
        <f>Systems!L118</f>
        <v>0.307</v>
      </c>
      <c r="G2262" s="1" t="s">
        <v>23</v>
      </c>
      <c r="H2262" s="1" t="s">
        <v>77</v>
      </c>
    </row>
    <row r="2263" spans="1:8">
      <c r="A2263" s="1" t="s">
        <v>2398</v>
      </c>
      <c r="B2263" s="1" t="s">
        <v>26</v>
      </c>
      <c r="C2263" s="1" t="s">
        <v>17</v>
      </c>
      <c r="D2263" s="1" t="s">
        <v>20</v>
      </c>
      <c r="E2263" s="12">
        <f>25*F2263</f>
        <v>7.6749999999999998</v>
      </c>
      <c r="F2263" s="12">
        <f>Systems!L118</f>
        <v>0.307</v>
      </c>
      <c r="G2263" s="1" t="s">
        <v>23</v>
      </c>
      <c r="H2263" s="1" t="s">
        <v>77</v>
      </c>
    </row>
    <row r="2264" spans="1:8">
      <c r="A2264" s="248"/>
      <c r="B2264" s="248"/>
      <c r="C2264" s="248"/>
      <c r="D2264" s="248"/>
      <c r="E2264" s="250"/>
      <c r="F2264" s="250"/>
      <c r="G2264" s="248"/>
      <c r="H2264" s="248"/>
    </row>
    <row r="2265" spans="1:8">
      <c r="A2265" s="1" t="s">
        <v>1316</v>
      </c>
      <c r="B2265" s="1" t="s">
        <v>26</v>
      </c>
      <c r="C2265" s="1" t="s">
        <v>3033</v>
      </c>
      <c r="D2265" s="1" t="s">
        <v>19</v>
      </c>
      <c r="E2265" s="12">
        <f>F2265/100</f>
        <v>3.0303030303030303E-3</v>
      </c>
      <c r="F2265" s="12">
        <f>Systems!D120</f>
        <v>0.30303030303030304</v>
      </c>
      <c r="G2265" s="1" t="s">
        <v>14</v>
      </c>
      <c r="H2265" s="1" t="s">
        <v>108</v>
      </c>
    </row>
    <row r="2266" spans="1:8">
      <c r="A2266" s="1" t="s">
        <v>1408</v>
      </c>
      <c r="B2266" s="1" t="s">
        <v>26</v>
      </c>
      <c r="C2266" s="1" t="s">
        <v>3033</v>
      </c>
      <c r="D2266" s="1" t="s">
        <v>19</v>
      </c>
      <c r="E2266" s="12">
        <f>360*F2266</f>
        <v>109.09090909090909</v>
      </c>
      <c r="F2266" s="12">
        <f>Systems!D120</f>
        <v>0.30303030303030304</v>
      </c>
      <c r="G2266" s="1" t="s">
        <v>14</v>
      </c>
      <c r="H2266" s="1" t="s">
        <v>108</v>
      </c>
    </row>
    <row r="2267" spans="1:8">
      <c r="A2267" s="1" t="s">
        <v>1746</v>
      </c>
      <c r="B2267" s="1" t="s">
        <v>26</v>
      </c>
      <c r="C2267" s="1" t="s">
        <v>3033</v>
      </c>
      <c r="D2267" s="1" t="s">
        <v>19</v>
      </c>
      <c r="E2267" s="12">
        <f>5*F2267</f>
        <v>1.5151515151515151</v>
      </c>
      <c r="F2267" s="12">
        <f>Systems!D120</f>
        <v>0.30303030303030304</v>
      </c>
      <c r="G2267" s="1" t="s">
        <v>14</v>
      </c>
      <c r="H2267" s="1" t="s">
        <v>108</v>
      </c>
    </row>
    <row r="2268" spans="1:8">
      <c r="A2268" s="1" t="s">
        <v>1776</v>
      </c>
      <c r="B2268" s="1" t="s">
        <v>26</v>
      </c>
      <c r="C2268" s="1" t="s">
        <v>3033</v>
      </c>
      <c r="D2268" s="1" t="s">
        <v>19</v>
      </c>
      <c r="E2268" s="12">
        <f>10*F2268</f>
        <v>3.0303030303030303</v>
      </c>
      <c r="F2268" s="12">
        <f>Systems!D120</f>
        <v>0.30303030303030304</v>
      </c>
      <c r="G2268" s="1" t="s">
        <v>14</v>
      </c>
      <c r="H2268" s="1" t="s">
        <v>108</v>
      </c>
    </row>
    <row r="2269" spans="1:8">
      <c r="A2269" s="1" t="s">
        <v>1825</v>
      </c>
      <c r="B2269" s="1" t="s">
        <v>26</v>
      </c>
      <c r="C2269" s="1" t="s">
        <v>3033</v>
      </c>
      <c r="D2269" s="1" t="s">
        <v>19</v>
      </c>
      <c r="E2269" s="12">
        <f>6*F2269</f>
        <v>1.8181818181818183</v>
      </c>
      <c r="F2269" s="12">
        <f>Systems!D120</f>
        <v>0.30303030303030304</v>
      </c>
      <c r="G2269" s="1" t="s">
        <v>14</v>
      </c>
      <c r="H2269" s="1" t="s">
        <v>108</v>
      </c>
    </row>
    <row r="2270" spans="1:8">
      <c r="A2270" s="1" t="s">
        <v>2093</v>
      </c>
      <c r="B2270" s="1" t="s">
        <v>26</v>
      </c>
      <c r="C2270" s="1" t="s">
        <v>3033</v>
      </c>
      <c r="D2270" s="1" t="s">
        <v>19</v>
      </c>
      <c r="E2270" s="12">
        <f>F2270/10000</f>
        <v>3.0303030303030302E-5</v>
      </c>
      <c r="F2270" s="12">
        <f>Systems!D120</f>
        <v>0.30303030303030304</v>
      </c>
      <c r="G2270" s="1" t="s">
        <v>14</v>
      </c>
      <c r="H2270" s="1" t="s">
        <v>108</v>
      </c>
    </row>
    <row r="2271" spans="1:8">
      <c r="A2271" s="1" t="s">
        <v>123</v>
      </c>
      <c r="B2271" s="1" t="s">
        <v>26</v>
      </c>
      <c r="C2271" s="1" t="s">
        <v>3033</v>
      </c>
      <c r="D2271" s="1" t="s">
        <v>19</v>
      </c>
      <c r="E2271" s="12">
        <f>0.00025*F2271</f>
        <v>2.5000000000000001E-4</v>
      </c>
      <c r="F2271" s="12">
        <f>SI!E3</f>
        <v>1</v>
      </c>
      <c r="G2271" s="1" t="s">
        <v>14</v>
      </c>
      <c r="H2271" s="1" t="s">
        <v>108</v>
      </c>
    </row>
    <row r="2272" spans="1:8">
      <c r="A2272" s="1" t="s">
        <v>1902</v>
      </c>
      <c r="B2272" s="1" t="s">
        <v>26</v>
      </c>
      <c r="C2272" s="1" t="s">
        <v>3033</v>
      </c>
      <c r="D2272" s="1" t="s">
        <v>19</v>
      </c>
      <c r="E2272" s="12">
        <f>0.00025*F2272</f>
        <v>2.5000000000000001E-4</v>
      </c>
      <c r="F2272" s="12">
        <f>SI!E3</f>
        <v>1</v>
      </c>
      <c r="G2272" s="1" t="s">
        <v>14</v>
      </c>
      <c r="H2272" s="1" t="s">
        <v>108</v>
      </c>
    </row>
    <row r="2273" spans="1:8">
      <c r="A2273" s="1" t="s">
        <v>2380</v>
      </c>
      <c r="B2273" s="1" t="s">
        <v>26</v>
      </c>
      <c r="C2273" s="1" t="s">
        <v>3033</v>
      </c>
      <c r="D2273" s="1" t="s">
        <v>19</v>
      </c>
      <c r="E2273" s="12">
        <f>12960*F2273</f>
        <v>3927.2727272727275</v>
      </c>
      <c r="F2273" s="12">
        <f>Systems!D120</f>
        <v>0.30303030303030304</v>
      </c>
      <c r="G2273" s="1" t="s">
        <v>14</v>
      </c>
      <c r="H2273" s="1" t="s">
        <v>108</v>
      </c>
    </row>
    <row r="2274" spans="1:8">
      <c r="A2274" s="1" t="s">
        <v>2383</v>
      </c>
      <c r="B2274" s="1" t="s">
        <v>26</v>
      </c>
      <c r="C2274" s="1" t="s">
        <v>3033</v>
      </c>
      <c r="D2274" s="1" t="s">
        <v>19</v>
      </c>
      <c r="E2274" s="12">
        <f>F2274/1000</f>
        <v>3.0303030303030303E-4</v>
      </c>
      <c r="F2274" s="12">
        <f>Systems!D120</f>
        <v>0.30303030303030304</v>
      </c>
      <c r="G2274" s="1" t="s">
        <v>14</v>
      </c>
      <c r="H2274" s="1" t="s">
        <v>108</v>
      </c>
    </row>
    <row r="2275" spans="1:8">
      <c r="A2275" s="1" t="s">
        <v>375</v>
      </c>
      <c r="B2275" s="1" t="s">
        <v>26</v>
      </c>
      <c r="C2275" s="1" t="s">
        <v>3033</v>
      </c>
      <c r="D2275" s="1" t="s">
        <v>19</v>
      </c>
      <c r="E2275" s="12">
        <f>F2275</f>
        <v>0.30303030303030304</v>
      </c>
      <c r="F2275" s="12">
        <f>Systems!D120</f>
        <v>0.30303030303030304</v>
      </c>
      <c r="G2275" s="1" t="s">
        <v>14</v>
      </c>
      <c r="H2275" s="1" t="s">
        <v>108</v>
      </c>
    </row>
    <row r="2276" spans="1:8">
      <c r="A2276" s="1" t="s">
        <v>2502</v>
      </c>
      <c r="B2276" s="1" t="s">
        <v>26</v>
      </c>
      <c r="C2276" s="1" t="s">
        <v>3033</v>
      </c>
      <c r="D2276" s="1" t="s">
        <v>19</v>
      </c>
      <c r="E2276" s="12">
        <f>F2276/100000</f>
        <v>3.0303030303030305E-6</v>
      </c>
      <c r="F2276" s="12">
        <f>Systems!D120</f>
        <v>0.30303030303030304</v>
      </c>
      <c r="G2276" s="1" t="s">
        <v>14</v>
      </c>
      <c r="H2276" s="1" t="s">
        <v>108</v>
      </c>
    </row>
    <row r="2277" spans="1:8">
      <c r="A2277" s="1" t="s">
        <v>2589</v>
      </c>
      <c r="B2277" s="1" t="s">
        <v>26</v>
      </c>
      <c r="C2277" s="1" t="s">
        <v>3033</v>
      </c>
      <c r="D2277" s="1" t="s">
        <v>19</v>
      </c>
      <c r="E2277" s="12">
        <f>F2277/10</f>
        <v>3.0303030303030304E-2</v>
      </c>
      <c r="F2277" s="12">
        <f>Systems!D120</f>
        <v>0.30303030303030304</v>
      </c>
      <c r="G2277" s="1" t="s">
        <v>14</v>
      </c>
      <c r="H2277" s="1" t="s">
        <v>108</v>
      </c>
    </row>
    <row r="2278" spans="1:8">
      <c r="A2278" s="1" t="s">
        <v>2802</v>
      </c>
      <c r="B2278" s="1" t="s">
        <v>26</v>
      </c>
      <c r="C2278" s="1" t="s">
        <v>3033</v>
      </c>
      <c r="D2278" s="1" t="s">
        <v>19</v>
      </c>
      <c r="E2278" s="12">
        <f>2.5*F2278</f>
        <v>0.75757575757575757</v>
      </c>
      <c r="F2278" s="12">
        <f>Systems!D120</f>
        <v>0.30303030303030304</v>
      </c>
      <c r="G2278" s="1" t="s">
        <v>14</v>
      </c>
      <c r="H2278" s="1" t="s">
        <v>108</v>
      </c>
    </row>
    <row r="2279" spans="1:8" ht="16.5">
      <c r="A2279" s="1" t="s">
        <v>1316</v>
      </c>
      <c r="B2279" s="1" t="s">
        <v>26</v>
      </c>
      <c r="C2279" s="1" t="s">
        <v>3034</v>
      </c>
      <c r="D2279" s="1" t="s">
        <v>38</v>
      </c>
      <c r="E2279" s="12">
        <f>F2279</f>
        <v>3.3057851239669422</v>
      </c>
      <c r="F2279" s="12">
        <f>Systems!H120</f>
        <v>3.3057851239669422</v>
      </c>
      <c r="G2279" s="1" t="s">
        <v>39</v>
      </c>
      <c r="H2279" s="1" t="s">
        <v>108</v>
      </c>
    </row>
    <row r="2280" spans="1:8" ht="16.5">
      <c r="A2280" s="1" t="s">
        <v>1408</v>
      </c>
      <c r="B2280" s="1" t="s">
        <v>26</v>
      </c>
      <c r="C2280" s="1" t="s">
        <v>3034</v>
      </c>
      <c r="D2280" s="1" t="s">
        <v>38</v>
      </c>
      <c r="E2280" s="12">
        <f>3000*F2280</f>
        <v>9917.3553719008269</v>
      </c>
      <c r="F2280" s="12">
        <f>Systems!H120</f>
        <v>3.3057851239669422</v>
      </c>
      <c r="G2280" s="1" t="s">
        <v>39</v>
      </c>
      <c r="H2280" s="1" t="s">
        <v>108</v>
      </c>
    </row>
    <row r="2281" spans="1:8" ht="16.5">
      <c r="A2281" s="1" t="s">
        <v>1409</v>
      </c>
      <c r="B2281" s="1" t="s">
        <v>26</v>
      </c>
      <c r="C2281" s="1" t="s">
        <v>3034</v>
      </c>
      <c r="D2281" s="1" t="s">
        <v>38</v>
      </c>
      <c r="E2281" s="12">
        <f>3000*F2281</f>
        <v>9917.3553719008269</v>
      </c>
      <c r="F2281" s="12">
        <f>Systems!H120</f>
        <v>3.3057851239669422</v>
      </c>
      <c r="G2281" s="1" t="s">
        <v>39</v>
      </c>
      <c r="H2281" s="1" t="s">
        <v>108</v>
      </c>
    </row>
    <row r="2282" spans="1:8" ht="16.5">
      <c r="A2282" s="1" t="s">
        <v>1684</v>
      </c>
      <c r="B2282" s="1" t="s">
        <v>26</v>
      </c>
      <c r="C2282" s="1" t="s">
        <v>3034</v>
      </c>
      <c r="D2282" s="1" t="s">
        <v>38</v>
      </c>
      <c r="E2282" s="12">
        <f>F2282/10</f>
        <v>0.33057851239669422</v>
      </c>
      <c r="F2282" s="12">
        <f>Systems!H120</f>
        <v>3.3057851239669422</v>
      </c>
      <c r="G2282" s="1" t="s">
        <v>39</v>
      </c>
      <c r="H2282" s="1" t="s">
        <v>108</v>
      </c>
    </row>
    <row r="2283" spans="1:8" ht="16.5">
      <c r="A2283" s="1" t="s">
        <v>1776</v>
      </c>
      <c r="B2283" s="1" t="s">
        <v>26</v>
      </c>
      <c r="C2283" s="1" t="s">
        <v>3034</v>
      </c>
      <c r="D2283" s="1" t="s">
        <v>38</v>
      </c>
      <c r="E2283" s="12">
        <f>F2283/2</f>
        <v>1.6528925619834711</v>
      </c>
      <c r="F2283" s="12">
        <f>Systems!H120</f>
        <v>3.3057851239669422</v>
      </c>
      <c r="G2283" s="1" t="s">
        <v>39</v>
      </c>
      <c r="H2283" s="1" t="s">
        <v>108</v>
      </c>
    </row>
    <row r="2284" spans="1:8" ht="16.5">
      <c r="A2284" s="1" t="s">
        <v>2459</v>
      </c>
      <c r="B2284" s="1" t="s">
        <v>26</v>
      </c>
      <c r="C2284" s="1" t="s">
        <v>3034</v>
      </c>
      <c r="D2284" s="1" t="s">
        <v>38</v>
      </c>
      <c r="E2284" s="12">
        <f>30*F2284</f>
        <v>99.173553719008268</v>
      </c>
      <c r="F2284" s="12">
        <f>Systems!H120</f>
        <v>3.3057851239669422</v>
      </c>
      <c r="G2284" s="1" t="s">
        <v>39</v>
      </c>
      <c r="H2284" s="1" t="s">
        <v>108</v>
      </c>
    </row>
    <row r="2285" spans="1:8" ht="16.5">
      <c r="A2285" s="1" t="s">
        <v>375</v>
      </c>
      <c r="B2285" s="1" t="s">
        <v>26</v>
      </c>
      <c r="C2285" s="1" t="s">
        <v>3034</v>
      </c>
      <c r="D2285" s="1" t="s">
        <v>38</v>
      </c>
      <c r="E2285" s="12">
        <f>F2285/100</f>
        <v>3.3057851239669422E-2</v>
      </c>
      <c r="F2285" s="12">
        <f>Systems!H120</f>
        <v>3.3057851239669422</v>
      </c>
      <c r="G2285" s="1" t="s">
        <v>39</v>
      </c>
      <c r="H2285" s="1" t="s">
        <v>108</v>
      </c>
    </row>
    <row r="2286" spans="1:8" ht="16.5">
      <c r="A2286" s="1" t="s">
        <v>4993</v>
      </c>
      <c r="B2286" s="1" t="s">
        <v>26</v>
      </c>
      <c r="C2286" s="1" t="s">
        <v>3034</v>
      </c>
      <c r="D2286" s="1" t="s">
        <v>38</v>
      </c>
      <c r="E2286" s="12">
        <f>4665600*F2286</f>
        <v>15423471.074380165</v>
      </c>
      <c r="F2286" s="12">
        <f>Systems!H120</f>
        <v>3.3057851239669422</v>
      </c>
      <c r="G2286" s="1" t="s">
        <v>39</v>
      </c>
      <c r="H2286" s="1" t="s">
        <v>108</v>
      </c>
    </row>
    <row r="2287" spans="1:8" ht="16.5">
      <c r="A2287" s="1" t="s">
        <v>2607</v>
      </c>
      <c r="B2287" s="1" t="s">
        <v>26</v>
      </c>
      <c r="C2287" s="1" t="s">
        <v>3034</v>
      </c>
      <c r="D2287" s="1" t="s">
        <v>38</v>
      </c>
      <c r="E2287" s="12">
        <f>300*F2287</f>
        <v>991.73553719008271</v>
      </c>
      <c r="F2287" s="12">
        <f>Systems!H120</f>
        <v>3.3057851239669422</v>
      </c>
      <c r="G2287" s="1" t="s">
        <v>39</v>
      </c>
      <c r="H2287" s="1" t="s">
        <v>108</v>
      </c>
    </row>
    <row r="2288" spans="1:8" ht="16.5">
      <c r="A2288" s="1" t="s">
        <v>926</v>
      </c>
      <c r="B2288" s="1" t="s">
        <v>26</v>
      </c>
      <c r="C2288" s="1" t="s">
        <v>3034</v>
      </c>
      <c r="D2288" s="1" t="s">
        <v>38</v>
      </c>
      <c r="E2288" s="12">
        <f>F2288</f>
        <v>3.3057851239669422</v>
      </c>
      <c r="F2288" s="12">
        <f>Systems!H120</f>
        <v>3.3057851239669422</v>
      </c>
      <c r="G2288" s="1" t="s">
        <v>39</v>
      </c>
      <c r="H2288" s="1" t="s">
        <v>108</v>
      </c>
    </row>
    <row r="2289" spans="1:8" ht="16.5">
      <c r="A2289" s="1" t="s">
        <v>4994</v>
      </c>
      <c r="B2289" s="1" t="s">
        <v>26</v>
      </c>
      <c r="C2289" s="1" t="s">
        <v>2936</v>
      </c>
      <c r="D2289" s="1" t="s">
        <v>32</v>
      </c>
      <c r="E2289" s="12">
        <f>F2289</f>
        <v>2.7826474107465846E-2</v>
      </c>
      <c r="F2289" s="12">
        <f>Systems!T120</f>
        <v>2.7826474107465846E-2</v>
      </c>
      <c r="G2289" s="1" t="s">
        <v>33</v>
      </c>
      <c r="H2289" s="1" t="s">
        <v>108</v>
      </c>
    </row>
    <row r="2290" spans="1:8" ht="16.5">
      <c r="A2290" s="1" t="s">
        <v>1684</v>
      </c>
      <c r="B2290" s="1" t="s">
        <v>26</v>
      </c>
      <c r="C2290" s="1" t="s">
        <v>2935</v>
      </c>
      <c r="D2290" s="1" t="s">
        <v>32</v>
      </c>
      <c r="E2290" s="12">
        <f>F2290/10</f>
        <v>1.8039068369646882E-4</v>
      </c>
      <c r="F2290" s="12">
        <f>Systems!P120</f>
        <v>1.8039068369646882E-3</v>
      </c>
      <c r="G2290" s="1" t="s">
        <v>33</v>
      </c>
      <c r="H2290" s="1" t="s">
        <v>108</v>
      </c>
    </row>
    <row r="2291" spans="1:8" ht="16.5">
      <c r="A2291" s="1" t="s">
        <v>266</v>
      </c>
      <c r="B2291" s="1" t="s">
        <v>26</v>
      </c>
      <c r="C2291" s="1" t="s">
        <v>2935</v>
      </c>
      <c r="D2291" s="1" t="s">
        <v>32</v>
      </c>
      <c r="E2291" s="12">
        <f>100*F2291</f>
        <v>0.18039068369646882</v>
      </c>
      <c r="F2291" s="12">
        <f>Systems!P120</f>
        <v>1.8039068369646882E-3</v>
      </c>
      <c r="G2291" s="1" t="s">
        <v>33</v>
      </c>
      <c r="H2291" s="1" t="s">
        <v>108</v>
      </c>
    </row>
    <row r="2292" spans="1:8" ht="16.5">
      <c r="A2292" s="1" t="s">
        <v>2421</v>
      </c>
      <c r="B2292" s="1" t="s">
        <v>26</v>
      </c>
      <c r="C2292" s="1" t="s">
        <v>2935</v>
      </c>
      <c r="D2292" s="1" t="s">
        <v>32</v>
      </c>
      <c r="E2292" s="12">
        <f>F2292/1000</f>
        <v>1.8039068369646882E-6</v>
      </c>
      <c r="F2292" s="12">
        <f>Systems!P120</f>
        <v>1.8039068369646882E-3</v>
      </c>
      <c r="G2292" s="1" t="s">
        <v>33</v>
      </c>
      <c r="H2292" s="1" t="s">
        <v>108</v>
      </c>
    </row>
    <row r="2293" spans="1:8" ht="16.5">
      <c r="A2293" s="1" t="s">
        <v>375</v>
      </c>
      <c r="B2293" s="1" t="s">
        <v>26</v>
      </c>
      <c r="C2293" s="1" t="s">
        <v>2935</v>
      </c>
      <c r="D2293" s="1" t="s">
        <v>32</v>
      </c>
      <c r="E2293" s="12">
        <f>F2293/100</f>
        <v>1.8039068369646883E-5</v>
      </c>
      <c r="F2293" s="12">
        <f>Systems!P120</f>
        <v>1.8039068369646882E-3</v>
      </c>
      <c r="G2293" s="1" t="s">
        <v>33</v>
      </c>
      <c r="H2293" s="1" t="s">
        <v>108</v>
      </c>
    </row>
    <row r="2294" spans="1:8" ht="16.5">
      <c r="A2294" s="1" t="s">
        <v>377</v>
      </c>
      <c r="B2294" s="1" t="s">
        <v>26</v>
      </c>
      <c r="C2294" s="1" t="s">
        <v>2935</v>
      </c>
      <c r="D2294" s="1" t="s">
        <v>32</v>
      </c>
      <c r="E2294" s="12">
        <f>F2294</f>
        <v>1.8039068369646882E-3</v>
      </c>
      <c r="F2294" s="12">
        <f>Systems!P120</f>
        <v>1.8039068369646882E-3</v>
      </c>
      <c r="G2294" s="1" t="s">
        <v>33</v>
      </c>
      <c r="H2294" s="1" t="s">
        <v>108</v>
      </c>
    </row>
    <row r="2295" spans="1:8" ht="16.5">
      <c r="A2295" s="1" t="s">
        <v>2667</v>
      </c>
      <c r="B2295" s="1" t="s">
        <v>26</v>
      </c>
      <c r="C2295" s="1" t="s">
        <v>2935</v>
      </c>
      <c r="D2295" s="1" t="s">
        <v>32</v>
      </c>
      <c r="E2295" s="12">
        <f>10*F2295</f>
        <v>1.8039068369646881E-2</v>
      </c>
      <c r="F2295" s="12">
        <f>Systems!P120</f>
        <v>1.8039068369646882E-3</v>
      </c>
      <c r="G2295" s="1" t="s">
        <v>33</v>
      </c>
      <c r="H2295" s="1" t="s">
        <v>108</v>
      </c>
    </row>
    <row r="2296" spans="1:8">
      <c r="A2296" s="1" t="s">
        <v>1348</v>
      </c>
      <c r="B2296" s="1" t="s">
        <v>26</v>
      </c>
      <c r="C2296" s="1" t="s">
        <v>17</v>
      </c>
      <c r="D2296" s="1" t="s">
        <v>20</v>
      </c>
      <c r="E2296" s="12">
        <f>F2296/10000</f>
        <v>3.7500000000000001E-4</v>
      </c>
      <c r="F2296" s="12">
        <f>Systems!L120</f>
        <v>3.75</v>
      </c>
      <c r="G2296" s="1" t="s">
        <v>23</v>
      </c>
      <c r="H2296" s="1" t="s">
        <v>108</v>
      </c>
    </row>
    <row r="2297" spans="1:8">
      <c r="A2297" s="1" t="s">
        <v>1349</v>
      </c>
      <c r="B2297" s="1" t="s">
        <v>26</v>
      </c>
      <c r="C2297" s="1" t="s">
        <v>17</v>
      </c>
      <c r="D2297" s="1" t="s">
        <v>20</v>
      </c>
      <c r="E2297" s="12">
        <f>F2297/10000</f>
        <v>3.7500000000000001E-4</v>
      </c>
      <c r="F2297" s="12">
        <f>Systems!L120</f>
        <v>3.75</v>
      </c>
      <c r="G2297" s="1" t="s">
        <v>23</v>
      </c>
      <c r="H2297" s="1" t="s">
        <v>108</v>
      </c>
    </row>
    <row r="2298" spans="1:8">
      <c r="A2298" s="1" t="s">
        <v>1763</v>
      </c>
      <c r="B2298" s="1" t="s">
        <v>26</v>
      </c>
      <c r="C2298" s="1" t="s">
        <v>17</v>
      </c>
      <c r="D2298" s="1" t="s">
        <v>20</v>
      </c>
      <c r="E2298" s="12">
        <f>F2298/10</f>
        <v>0.375</v>
      </c>
      <c r="F2298" s="12">
        <f>Systems!L120</f>
        <v>3.75</v>
      </c>
      <c r="G2298" s="1" t="s">
        <v>23</v>
      </c>
      <c r="H2298" s="1" t="s">
        <v>108</v>
      </c>
    </row>
    <row r="2299" spans="1:8">
      <c r="A2299" s="1" t="s">
        <v>922</v>
      </c>
      <c r="B2299" s="1" t="s">
        <v>26</v>
      </c>
      <c r="C2299" s="1" t="s">
        <v>17</v>
      </c>
      <c r="D2299" s="1" t="s">
        <v>20</v>
      </c>
      <c r="E2299" s="12">
        <f>F2299</f>
        <v>3.75</v>
      </c>
      <c r="F2299" s="12">
        <f>Systems!L120</f>
        <v>3.75</v>
      </c>
      <c r="G2299" s="1" t="s">
        <v>23</v>
      </c>
      <c r="H2299" s="1" t="s">
        <v>108</v>
      </c>
    </row>
    <row r="2300" spans="1:8">
      <c r="A2300" s="1" t="s">
        <v>1799</v>
      </c>
      <c r="B2300" s="1" t="s">
        <v>26</v>
      </c>
      <c r="C2300" s="1" t="s">
        <v>17</v>
      </c>
      <c r="D2300" s="1" t="s">
        <v>20</v>
      </c>
      <c r="E2300" s="12">
        <f>F2300</f>
        <v>3.75</v>
      </c>
      <c r="F2300" s="12">
        <f>Systems!L120</f>
        <v>3.75</v>
      </c>
      <c r="G2300" s="1" t="s">
        <v>23</v>
      </c>
      <c r="H2300" s="1" t="s">
        <v>108</v>
      </c>
    </row>
    <row r="2301" spans="1:8">
      <c r="A2301" s="1" t="s">
        <v>4995</v>
      </c>
      <c r="B2301" s="1" t="s">
        <v>26</v>
      </c>
      <c r="C2301" s="1" t="s">
        <v>17</v>
      </c>
      <c r="D2301" s="1" t="s">
        <v>20</v>
      </c>
      <c r="E2301" s="12">
        <f>18*F2301</f>
        <v>67.5</v>
      </c>
      <c r="F2301" s="12">
        <f>Systems!L120</f>
        <v>3.75</v>
      </c>
      <c r="G2301" s="1" t="s">
        <v>23</v>
      </c>
      <c r="H2301" s="1" t="s">
        <v>108</v>
      </c>
    </row>
    <row r="2302" spans="1:8">
      <c r="A2302" s="1" t="s">
        <v>1847</v>
      </c>
      <c r="B2302" s="1" t="s">
        <v>26</v>
      </c>
      <c r="C2302" s="1" t="s">
        <v>17</v>
      </c>
      <c r="D2302" s="1" t="s">
        <v>20</v>
      </c>
      <c r="E2302" s="12">
        <f>4*F2302/25</f>
        <v>0.6</v>
      </c>
      <c r="F2302" s="12">
        <f>Systems!L120</f>
        <v>3.75</v>
      </c>
      <c r="G2302" s="1" t="s">
        <v>23</v>
      </c>
      <c r="H2302" s="1" t="s">
        <v>108</v>
      </c>
    </row>
    <row r="2303" spans="1:8">
      <c r="A2303" s="1" t="s">
        <v>1857</v>
      </c>
      <c r="B2303" s="1" t="s">
        <v>26</v>
      </c>
      <c r="C2303" s="1" t="s">
        <v>17</v>
      </c>
      <c r="D2303" s="1" t="s">
        <v>20</v>
      </c>
      <c r="E2303" s="12">
        <f>16*F2303</f>
        <v>60</v>
      </c>
      <c r="F2303" s="12">
        <f>Systems!L120</f>
        <v>3.75</v>
      </c>
      <c r="G2303" s="1" t="s">
        <v>23</v>
      </c>
      <c r="H2303" s="1" t="s">
        <v>108</v>
      </c>
    </row>
    <row r="2304" spans="1:8">
      <c r="A2304" s="1" t="s">
        <v>1867</v>
      </c>
      <c r="B2304" s="1" t="s">
        <v>26</v>
      </c>
      <c r="C2304" s="1" t="s">
        <v>17</v>
      </c>
      <c r="D2304" s="1" t="s">
        <v>20</v>
      </c>
      <c r="E2304" s="12">
        <f>40*F2304</f>
        <v>150</v>
      </c>
      <c r="F2304" s="12">
        <f>Systems!L120</f>
        <v>3.75</v>
      </c>
      <c r="G2304" s="1" t="s">
        <v>23</v>
      </c>
      <c r="H2304" s="1" t="s">
        <v>108</v>
      </c>
    </row>
    <row r="2305" spans="1:8">
      <c r="A2305" s="1" t="s">
        <v>927</v>
      </c>
      <c r="B2305" s="1" t="s">
        <v>26</v>
      </c>
      <c r="C2305" s="1" t="s">
        <v>17</v>
      </c>
      <c r="D2305" s="1" t="s">
        <v>20</v>
      </c>
      <c r="E2305" s="12">
        <f>F2305</f>
        <v>3.75</v>
      </c>
      <c r="F2305" s="12">
        <f>Systems!L120</f>
        <v>3.75</v>
      </c>
      <c r="G2305" s="1" t="s">
        <v>23</v>
      </c>
      <c r="H2305" s="1" t="s">
        <v>108</v>
      </c>
    </row>
    <row r="2306" spans="1:8">
      <c r="A2306" s="1" t="s">
        <v>2026</v>
      </c>
      <c r="B2306" s="1" t="s">
        <v>26</v>
      </c>
      <c r="C2306" s="1" t="s">
        <v>17</v>
      </c>
      <c r="D2306" s="1" t="s">
        <v>20</v>
      </c>
      <c r="E2306" s="12">
        <f>8*F2306</f>
        <v>30</v>
      </c>
      <c r="F2306" s="12">
        <f>Systems!L120</f>
        <v>3.75</v>
      </c>
      <c r="G2306" s="1" t="s">
        <v>23</v>
      </c>
      <c r="H2306" s="1" t="s">
        <v>108</v>
      </c>
    </row>
    <row r="2307" spans="1:8">
      <c r="A2307" s="1" t="s">
        <v>2093</v>
      </c>
      <c r="B2307" s="1" t="s">
        <v>26</v>
      </c>
      <c r="C2307" s="1" t="s">
        <v>17</v>
      </c>
      <c r="D2307" s="1" t="s">
        <v>20</v>
      </c>
      <c r="E2307" s="12">
        <f>F2307/1000000</f>
        <v>3.7500000000000001E-6</v>
      </c>
      <c r="F2307" s="12">
        <f>Systems!L120</f>
        <v>3.75</v>
      </c>
      <c r="G2307" s="1" t="s">
        <v>23</v>
      </c>
      <c r="H2307" s="1" t="s">
        <v>108</v>
      </c>
    </row>
    <row r="2308" spans="1:8">
      <c r="A2308" s="1" t="s">
        <v>302</v>
      </c>
      <c r="B2308" s="1" t="s">
        <v>26</v>
      </c>
      <c r="C2308" s="1" t="s">
        <v>17</v>
      </c>
      <c r="D2308" s="1" t="s">
        <v>20</v>
      </c>
      <c r="E2308" s="12">
        <f>F2308/1000</f>
        <v>3.7499999999999999E-3</v>
      </c>
      <c r="F2308" s="12">
        <f>Systems!L120</f>
        <v>3.75</v>
      </c>
      <c r="G2308" s="1" t="s">
        <v>23</v>
      </c>
      <c r="H2308" s="1" t="s">
        <v>108</v>
      </c>
    </row>
    <row r="2309" spans="1:8">
      <c r="A2309" s="1" t="s">
        <v>1009</v>
      </c>
      <c r="B2309" s="1" t="s">
        <v>26</v>
      </c>
      <c r="C2309" s="1" t="s">
        <v>17</v>
      </c>
      <c r="D2309" s="1" t="s">
        <v>20</v>
      </c>
      <c r="E2309" s="12">
        <f>F2309/1000</f>
        <v>3.7499999999999999E-3</v>
      </c>
      <c r="F2309" s="12">
        <f>Systems!L120</f>
        <v>3.75</v>
      </c>
      <c r="G2309" s="1" t="s">
        <v>23</v>
      </c>
      <c r="H2309" s="1" t="s">
        <v>108</v>
      </c>
    </row>
    <row r="2310" spans="1:8">
      <c r="A2310" s="1" t="s">
        <v>2136</v>
      </c>
      <c r="B2310" s="1" t="s">
        <v>26</v>
      </c>
      <c r="C2310" s="1" t="s">
        <v>17</v>
      </c>
      <c r="D2310" s="1" t="s">
        <v>20</v>
      </c>
      <c r="E2310" s="12">
        <f>7*F2310</f>
        <v>26.25</v>
      </c>
      <c r="F2310" s="12">
        <f>Systems!L120</f>
        <v>3.75</v>
      </c>
      <c r="G2310" s="1" t="s">
        <v>23</v>
      </c>
      <c r="H2310" s="1" t="s">
        <v>108</v>
      </c>
    </row>
    <row r="2311" spans="1:8">
      <c r="A2311" s="1" t="s">
        <v>2138</v>
      </c>
      <c r="B2311" s="1" t="s">
        <v>26</v>
      </c>
      <c r="C2311" s="1" t="s">
        <v>17</v>
      </c>
      <c r="D2311" s="1" t="s">
        <v>20</v>
      </c>
      <c r="E2311" s="12">
        <f>F2311/250</f>
        <v>1.4999999999999999E-2</v>
      </c>
      <c r="F2311" s="12">
        <f>Systems!L120</f>
        <v>3.75</v>
      </c>
      <c r="G2311" s="1" t="s">
        <v>23</v>
      </c>
      <c r="H2311" s="1" t="s">
        <v>108</v>
      </c>
    </row>
    <row r="2312" spans="1:8">
      <c r="A2312" s="1" t="s">
        <v>2383</v>
      </c>
      <c r="B2312" s="1" t="s">
        <v>26</v>
      </c>
      <c r="C2312" s="1" t="s">
        <v>17</v>
      </c>
      <c r="D2312" s="1" t="s">
        <v>20</v>
      </c>
      <c r="E2312" s="12">
        <f>F2312/100000</f>
        <v>3.7499999999999997E-5</v>
      </c>
      <c r="F2312" s="12">
        <f>Systems!L120</f>
        <v>3.75</v>
      </c>
      <c r="G2312" s="1" t="s">
        <v>23</v>
      </c>
      <c r="H2312" s="1" t="s">
        <v>108</v>
      </c>
    </row>
    <row r="2313" spans="1:8">
      <c r="A2313" s="1" t="s">
        <v>2502</v>
      </c>
      <c r="B2313" s="1" t="s">
        <v>26</v>
      </c>
      <c r="C2313" s="1" t="s">
        <v>17</v>
      </c>
      <c r="D2313" s="1" t="s">
        <v>20</v>
      </c>
      <c r="E2313" s="12">
        <f>F2313/10000000</f>
        <v>3.7500000000000001E-7</v>
      </c>
      <c r="F2313" s="12">
        <f>Systems!L120</f>
        <v>3.75</v>
      </c>
      <c r="G2313" s="1" t="s">
        <v>23</v>
      </c>
      <c r="H2313" s="1" t="s">
        <v>108</v>
      </c>
    </row>
    <row r="2314" spans="1:8">
      <c r="A2314" s="1" t="s">
        <v>978</v>
      </c>
      <c r="B2314" s="1" t="s">
        <v>26</v>
      </c>
      <c r="C2314" s="1" t="s">
        <v>17</v>
      </c>
      <c r="D2314" s="1" t="s">
        <v>20</v>
      </c>
      <c r="E2314" s="12">
        <f>F2314</f>
        <v>3.7510000000000002E-2</v>
      </c>
      <c r="F2314" s="12">
        <f>Systems!L121</f>
        <v>3.7510000000000002E-2</v>
      </c>
      <c r="G2314" s="1" t="s">
        <v>23</v>
      </c>
      <c r="H2314" s="1" t="s">
        <v>108</v>
      </c>
    </row>
    <row r="2315" spans="1:8">
      <c r="A2315" s="1" t="s">
        <v>2607</v>
      </c>
      <c r="B2315" s="1" t="s">
        <v>26</v>
      </c>
      <c r="C2315" s="1" t="s">
        <v>17</v>
      </c>
      <c r="D2315" s="1" t="s">
        <v>20</v>
      </c>
      <c r="E2315" s="12">
        <f>16*F2315</f>
        <v>60</v>
      </c>
      <c r="F2315" s="12">
        <f>Systems!L120</f>
        <v>3.75</v>
      </c>
      <c r="G2315" s="1" t="s">
        <v>23</v>
      </c>
      <c r="H2315" s="1" t="s">
        <v>108</v>
      </c>
    </row>
    <row r="2316" spans="1:8">
      <c r="A2316" s="248"/>
      <c r="B2316" s="248"/>
      <c r="C2316" s="248"/>
      <c r="D2316" s="248"/>
      <c r="E2316" s="250"/>
      <c r="F2316" s="250"/>
      <c r="G2316" s="248"/>
      <c r="H2316" s="248"/>
    </row>
    <row r="2317" spans="1:8">
      <c r="A2317" s="336" t="s">
        <v>7142</v>
      </c>
      <c r="B2317" s="336" t="s">
        <v>26</v>
      </c>
      <c r="C2317" s="1" t="s">
        <v>3033</v>
      </c>
      <c r="D2317" s="1" t="s">
        <v>19</v>
      </c>
      <c r="E2317" s="337">
        <f>F2317/10000</f>
        <v>3.0303030303030302E-5</v>
      </c>
      <c r="F2317" s="337">
        <f>Systems!D199</f>
        <v>0.30303030303030304</v>
      </c>
      <c r="G2317" s="336" t="s">
        <v>14</v>
      </c>
      <c r="H2317" s="336" t="s">
        <v>7136</v>
      </c>
    </row>
    <row r="2318" spans="1:8">
      <c r="A2318" s="336" t="s">
        <v>2093</v>
      </c>
      <c r="B2318" s="336" t="s">
        <v>26</v>
      </c>
      <c r="C2318" s="1" t="s">
        <v>3033</v>
      </c>
      <c r="D2318" s="1" t="s">
        <v>19</v>
      </c>
      <c r="E2318" s="337">
        <f>F2318/10000</f>
        <v>3.0303030303030302E-5</v>
      </c>
      <c r="F2318" s="337">
        <f>Systems!D199</f>
        <v>0.30303030303030304</v>
      </c>
      <c r="G2318" s="336" t="s">
        <v>14</v>
      </c>
      <c r="H2318" s="336" t="s">
        <v>7136</v>
      </c>
    </row>
    <row r="2319" spans="1:8">
      <c r="A2319" s="336" t="s">
        <v>2380</v>
      </c>
      <c r="B2319" s="336" t="s">
        <v>26</v>
      </c>
      <c r="C2319" s="1" t="s">
        <v>3033</v>
      </c>
      <c r="D2319" s="1" t="s">
        <v>19</v>
      </c>
      <c r="E2319" s="337">
        <f>F2319/1000</f>
        <v>3.0303030303030303E-4</v>
      </c>
      <c r="F2319" s="337">
        <f>Systems!D199</f>
        <v>0.30303030303030304</v>
      </c>
      <c r="G2319" s="336" t="s">
        <v>14</v>
      </c>
      <c r="H2319" s="336" t="s">
        <v>7136</v>
      </c>
    </row>
    <row r="2320" spans="1:8">
      <c r="A2320" s="336" t="s">
        <v>7143</v>
      </c>
      <c r="B2320" s="336" t="s">
        <v>26</v>
      </c>
      <c r="C2320" s="1" t="s">
        <v>3033</v>
      </c>
      <c r="D2320" s="1" t="s">
        <v>19</v>
      </c>
      <c r="E2320" s="337">
        <f>F2320/100</f>
        <v>3.0303030303030303E-3</v>
      </c>
      <c r="F2320" s="337">
        <f>Systems!D199</f>
        <v>0.30303030303030304</v>
      </c>
      <c r="G2320" s="336" t="s">
        <v>14</v>
      </c>
      <c r="H2320" s="336" t="s">
        <v>7136</v>
      </c>
    </row>
    <row r="2321" spans="1:8">
      <c r="A2321" s="336" t="s">
        <v>7144</v>
      </c>
      <c r="B2321" s="336" t="s">
        <v>26</v>
      </c>
      <c r="C2321" s="1" t="s">
        <v>3033</v>
      </c>
      <c r="D2321" s="1" t="s">
        <v>19</v>
      </c>
      <c r="E2321" s="337">
        <f>F2321/100</f>
        <v>3.0303030303030303E-3</v>
      </c>
      <c r="F2321" s="337">
        <f>Systems!D199</f>
        <v>0.30303030303030304</v>
      </c>
      <c r="G2321" s="336" t="s">
        <v>14</v>
      </c>
      <c r="H2321" s="336" t="s">
        <v>7136</v>
      </c>
    </row>
    <row r="2322" spans="1:8">
      <c r="A2322" s="336" t="s">
        <v>1401</v>
      </c>
      <c r="B2322" s="336" t="s">
        <v>26</v>
      </c>
      <c r="C2322" s="1" t="s">
        <v>3033</v>
      </c>
      <c r="D2322" s="1" t="s">
        <v>19</v>
      </c>
      <c r="E2322" s="337">
        <f>F2322/10</f>
        <v>3.0303030303030304E-2</v>
      </c>
      <c r="F2322" s="337">
        <f>Systems!D199</f>
        <v>0.30303030303030304</v>
      </c>
      <c r="G2322" s="336" t="s">
        <v>14</v>
      </c>
      <c r="H2322" s="336" t="s">
        <v>7136</v>
      </c>
    </row>
    <row r="2323" spans="1:8">
      <c r="A2323" s="336" t="s">
        <v>7145</v>
      </c>
      <c r="B2323" s="336" t="s">
        <v>26</v>
      </c>
      <c r="C2323" s="1" t="s">
        <v>3033</v>
      </c>
      <c r="D2323" s="1" t="s">
        <v>19</v>
      </c>
      <c r="E2323" s="337">
        <f>F2323/10</f>
        <v>3.0303030303030304E-2</v>
      </c>
      <c r="F2323" s="337">
        <f>Systems!D199</f>
        <v>0.30303030303030304</v>
      </c>
      <c r="G2323" s="336" t="s">
        <v>14</v>
      </c>
      <c r="H2323" s="336" t="s">
        <v>7136</v>
      </c>
    </row>
    <row r="2324" spans="1:8">
      <c r="A2324" s="336" t="s">
        <v>7146</v>
      </c>
      <c r="B2324" s="336" t="s">
        <v>26</v>
      </c>
      <c r="C2324" s="1" t="s">
        <v>3033</v>
      </c>
      <c r="D2324" s="1" t="s">
        <v>19</v>
      </c>
      <c r="E2324" s="337">
        <f>F2324</f>
        <v>0.30303030303030304</v>
      </c>
      <c r="F2324" s="337">
        <f>Systems!D199</f>
        <v>0.30303030303030304</v>
      </c>
      <c r="G2324" s="336" t="s">
        <v>14</v>
      </c>
      <c r="H2324" s="336" t="s">
        <v>7136</v>
      </c>
    </row>
    <row r="2325" spans="1:8">
      <c r="A2325" s="336" t="s">
        <v>7137</v>
      </c>
      <c r="B2325" s="336" t="s">
        <v>26</v>
      </c>
      <c r="C2325" s="1" t="s">
        <v>3033</v>
      </c>
      <c r="D2325" s="1" t="s">
        <v>19</v>
      </c>
      <c r="E2325" s="337">
        <f>F2325</f>
        <v>0.30303030303030304</v>
      </c>
      <c r="F2325" s="337">
        <f>Systems!D199</f>
        <v>0.30303030303030304</v>
      </c>
      <c r="G2325" s="336" t="s">
        <v>14</v>
      </c>
      <c r="H2325" s="336" t="s">
        <v>7136</v>
      </c>
    </row>
    <row r="2326" spans="1:8">
      <c r="A2326" s="336" t="s">
        <v>1648</v>
      </c>
      <c r="B2326" s="336" t="s">
        <v>26</v>
      </c>
      <c r="C2326" s="1" t="s">
        <v>3033</v>
      </c>
      <c r="D2326" s="1" t="s">
        <v>19</v>
      </c>
      <c r="E2326" s="337">
        <f>6*F2326</f>
        <v>1.8181818181818183</v>
      </c>
      <c r="F2326" s="337">
        <f>Systems!D199</f>
        <v>0.30303030303030304</v>
      </c>
      <c r="G2326" s="336" t="s">
        <v>14</v>
      </c>
      <c r="H2326" s="336" t="s">
        <v>7136</v>
      </c>
    </row>
    <row r="2327" spans="1:8">
      <c r="A2327" s="336" t="s">
        <v>7147</v>
      </c>
      <c r="B2327" s="336" t="s">
        <v>26</v>
      </c>
      <c r="C2327" s="1" t="s">
        <v>3033</v>
      </c>
      <c r="D2327" s="1" t="s">
        <v>19</v>
      </c>
      <c r="E2327" s="337">
        <f>6*F2327</f>
        <v>1.8181818181818183</v>
      </c>
      <c r="F2327" s="337">
        <f>Systems!D199</f>
        <v>0.30303030303030304</v>
      </c>
      <c r="G2327" s="336" t="s">
        <v>14</v>
      </c>
      <c r="H2327" s="336" t="s">
        <v>7136</v>
      </c>
    </row>
    <row r="2328" spans="1:8">
      <c r="A2328" s="336" t="s">
        <v>7148</v>
      </c>
      <c r="B2328" s="336" t="s">
        <v>26</v>
      </c>
      <c r="C2328" s="1" t="s">
        <v>3033</v>
      </c>
      <c r="D2328" s="1" t="s">
        <v>19</v>
      </c>
      <c r="E2328" s="337">
        <f>10*F2328</f>
        <v>3.0303030303030303</v>
      </c>
      <c r="F2328" s="337">
        <f>Systems!D199</f>
        <v>0.30303030303030304</v>
      </c>
      <c r="G2328" s="336" t="s">
        <v>14</v>
      </c>
      <c r="H2328" s="336" t="s">
        <v>7136</v>
      </c>
    </row>
    <row r="2329" spans="1:8">
      <c r="A2329" s="336" t="s">
        <v>7149</v>
      </c>
      <c r="B2329" s="336" t="s">
        <v>26</v>
      </c>
      <c r="C2329" s="1" t="s">
        <v>3033</v>
      </c>
      <c r="D2329" s="1" t="s">
        <v>19</v>
      </c>
      <c r="E2329" s="337">
        <f>360*F2329</f>
        <v>109.09090909090909</v>
      </c>
      <c r="F2329" s="337">
        <f>Systems!D199</f>
        <v>0.30303030303030304</v>
      </c>
      <c r="G2329" s="336" t="s">
        <v>14</v>
      </c>
      <c r="H2329" s="336" t="s">
        <v>7136</v>
      </c>
    </row>
    <row r="2330" spans="1:8">
      <c r="A2330" s="336" t="s">
        <v>1954</v>
      </c>
      <c r="B2330" s="336" t="s">
        <v>26</v>
      </c>
      <c r="C2330" s="1" t="s">
        <v>3033</v>
      </c>
      <c r="D2330" s="1" t="s">
        <v>19</v>
      </c>
      <c r="E2330" s="337">
        <f>1296*F2330</f>
        <v>392.72727272727275</v>
      </c>
      <c r="F2330" s="337">
        <f>Systems!D199</f>
        <v>0.30303030303030304</v>
      </c>
      <c r="G2330" s="336" t="s">
        <v>14</v>
      </c>
      <c r="H2330" s="336" t="s">
        <v>7136</v>
      </c>
    </row>
    <row r="2331" spans="1:8" ht="16.5">
      <c r="A2331" s="336" t="s">
        <v>7150</v>
      </c>
      <c r="B2331" s="336" t="s">
        <v>26</v>
      </c>
      <c r="C2331" s="336" t="s">
        <v>3034</v>
      </c>
      <c r="D2331" s="1" t="s">
        <v>38</v>
      </c>
      <c r="E2331" s="337">
        <f>F2331/100</f>
        <v>3.3057851239669422E-2</v>
      </c>
      <c r="F2331" s="337">
        <f>Systems!H199</f>
        <v>3.3057851239669422</v>
      </c>
      <c r="G2331" s="1" t="s">
        <v>39</v>
      </c>
      <c r="H2331" s="336" t="s">
        <v>7136</v>
      </c>
    </row>
    <row r="2332" spans="1:8" ht="16.5">
      <c r="A2332" s="336" t="s">
        <v>7151</v>
      </c>
      <c r="B2332" s="336" t="s">
        <v>26</v>
      </c>
      <c r="C2332" s="336" t="s">
        <v>3034</v>
      </c>
      <c r="D2332" s="1" t="s">
        <v>38</v>
      </c>
      <c r="E2332" s="337">
        <f>F2332/10</f>
        <v>0.33057851239669422</v>
      </c>
      <c r="F2332" s="337">
        <f>Systems!H199</f>
        <v>3.3057851239669422</v>
      </c>
      <c r="G2332" s="1" t="s">
        <v>39</v>
      </c>
      <c r="H2332" s="336" t="s">
        <v>7136</v>
      </c>
    </row>
    <row r="2333" spans="1:8" ht="16.5">
      <c r="A2333" s="336" t="s">
        <v>7138</v>
      </c>
      <c r="B2333" s="336" t="s">
        <v>26</v>
      </c>
      <c r="C2333" s="336" t="s">
        <v>3034</v>
      </c>
      <c r="D2333" s="1" t="s">
        <v>38</v>
      </c>
      <c r="E2333" s="337">
        <f>F2333</f>
        <v>3.3057851239669422</v>
      </c>
      <c r="F2333" s="337">
        <f>Systems!H199</f>
        <v>3.3057851239669422</v>
      </c>
      <c r="G2333" s="1" t="s">
        <v>39</v>
      </c>
      <c r="H2333" s="336" t="s">
        <v>7136</v>
      </c>
    </row>
    <row r="2334" spans="1:8" ht="16.5">
      <c r="A2334" s="336" t="s">
        <v>1648</v>
      </c>
      <c r="B2334" s="336" t="s">
        <v>26</v>
      </c>
      <c r="C2334" s="336" t="s">
        <v>3034</v>
      </c>
      <c r="D2334" s="1" t="s">
        <v>38</v>
      </c>
      <c r="E2334" s="337">
        <f>F2334</f>
        <v>3.3057851239669422</v>
      </c>
      <c r="F2334" s="337">
        <f>Systems!H199</f>
        <v>3.3057851239669422</v>
      </c>
      <c r="G2334" s="1" t="s">
        <v>39</v>
      </c>
      <c r="H2334" s="336" t="s">
        <v>7136</v>
      </c>
    </row>
    <row r="2335" spans="1:8" ht="16.5">
      <c r="A2335" s="336" t="s">
        <v>7147</v>
      </c>
      <c r="B2335" s="336" t="s">
        <v>26</v>
      </c>
      <c r="C2335" s="336" t="s">
        <v>3034</v>
      </c>
      <c r="D2335" s="1" t="s">
        <v>38</v>
      </c>
      <c r="E2335" s="337">
        <f>F2335</f>
        <v>3.3057851239669422</v>
      </c>
      <c r="F2335" s="337">
        <f>Systems!H199</f>
        <v>3.3057851239669422</v>
      </c>
      <c r="G2335" s="1" t="s">
        <v>39</v>
      </c>
      <c r="H2335" s="336" t="s">
        <v>7136</v>
      </c>
    </row>
    <row r="2336" spans="1:8" ht="16.5">
      <c r="A2336" s="336" t="s">
        <v>7152</v>
      </c>
      <c r="B2336" s="336" t="s">
        <v>26</v>
      </c>
      <c r="C2336" s="336" t="s">
        <v>3034</v>
      </c>
      <c r="D2336" s="1" t="s">
        <v>38</v>
      </c>
      <c r="E2336" s="337">
        <f>30*F2336</f>
        <v>99.173553719008268</v>
      </c>
      <c r="F2336" s="337">
        <f>Systems!H199</f>
        <v>3.3057851239669422</v>
      </c>
      <c r="G2336" s="1" t="s">
        <v>39</v>
      </c>
      <c r="H2336" s="336" t="s">
        <v>7136</v>
      </c>
    </row>
    <row r="2337" spans="1:8" ht="16.5">
      <c r="A2337" s="336" t="s">
        <v>1478</v>
      </c>
      <c r="B2337" s="336" t="s">
        <v>26</v>
      </c>
      <c r="C2337" s="336" t="s">
        <v>3034</v>
      </c>
      <c r="D2337" s="1" t="s">
        <v>38</v>
      </c>
      <c r="E2337" s="337">
        <f>300*F2337</f>
        <v>991.73553719008271</v>
      </c>
      <c r="F2337" s="337">
        <f>Systems!H199</f>
        <v>3.3057851239669422</v>
      </c>
      <c r="G2337" s="1" t="s">
        <v>39</v>
      </c>
      <c r="H2337" s="336" t="s">
        <v>7136</v>
      </c>
    </row>
    <row r="2338" spans="1:8" ht="16.5">
      <c r="A2338" s="336" t="s">
        <v>7153</v>
      </c>
      <c r="B2338" s="336" t="s">
        <v>26</v>
      </c>
      <c r="C2338" s="336" t="s">
        <v>3034</v>
      </c>
      <c r="D2338" s="1" t="s">
        <v>38</v>
      </c>
      <c r="E2338" s="337">
        <f>300*F2338</f>
        <v>991.73553719008271</v>
      </c>
      <c r="F2338" s="337">
        <f>Systems!H199</f>
        <v>3.3057851239669422</v>
      </c>
      <c r="G2338" s="1" t="s">
        <v>39</v>
      </c>
      <c r="H2338" s="336" t="s">
        <v>7136</v>
      </c>
    </row>
    <row r="2339" spans="1:8" ht="16.5">
      <c r="A2339" s="336" t="s">
        <v>7149</v>
      </c>
      <c r="B2339" s="336" t="s">
        <v>26</v>
      </c>
      <c r="C2339" s="336" t="s">
        <v>3034</v>
      </c>
      <c r="D2339" s="1" t="s">
        <v>38</v>
      </c>
      <c r="E2339" s="337">
        <f>3000*F2339</f>
        <v>9917.3553719008269</v>
      </c>
      <c r="F2339" s="337">
        <f>Systems!H199</f>
        <v>3.3057851239669422</v>
      </c>
      <c r="G2339" s="1" t="s">
        <v>39</v>
      </c>
      <c r="H2339" s="336" t="s">
        <v>7136</v>
      </c>
    </row>
    <row r="2340" spans="1:8" ht="16.5">
      <c r="A2340" s="336" t="s">
        <v>7154</v>
      </c>
      <c r="B2340" s="336" t="s">
        <v>26</v>
      </c>
      <c r="C2340" s="336" t="s">
        <v>3034</v>
      </c>
      <c r="D2340" s="1" t="s">
        <v>38</v>
      </c>
      <c r="E2340" s="337">
        <f>3000*F2340</f>
        <v>9917.3553719008269</v>
      </c>
      <c r="F2340" s="337">
        <f>Systems!H199</f>
        <v>3.3057851239669422</v>
      </c>
      <c r="G2340" s="1" t="s">
        <v>39</v>
      </c>
      <c r="H2340" s="336" t="s">
        <v>7136</v>
      </c>
    </row>
    <row r="2341" spans="1:8" ht="16.5">
      <c r="A2341" s="336" t="s">
        <v>7155</v>
      </c>
      <c r="B2341" s="336" t="s">
        <v>26</v>
      </c>
      <c r="C2341" s="336" t="s">
        <v>3034</v>
      </c>
      <c r="D2341" s="1" t="s">
        <v>38</v>
      </c>
      <c r="E2341" s="337">
        <f>3000*F2341</f>
        <v>9917.3553719008269</v>
      </c>
      <c r="F2341" s="337">
        <f>Systems!H199</f>
        <v>3.3057851239669422</v>
      </c>
      <c r="G2341" s="1" t="s">
        <v>39</v>
      </c>
      <c r="H2341" s="336" t="s">
        <v>7136</v>
      </c>
    </row>
    <row r="2342" spans="1:8" ht="16.5">
      <c r="A2342" s="336" t="s">
        <v>7156</v>
      </c>
      <c r="B2342" s="336" t="s">
        <v>26</v>
      </c>
      <c r="C2342" s="336" t="s">
        <v>3034</v>
      </c>
      <c r="D2342" s="1" t="s">
        <v>38</v>
      </c>
      <c r="E2342" s="337">
        <f>10*F2342</f>
        <v>33.057851239669425</v>
      </c>
      <c r="F2342" s="337">
        <f>Systems!H199</f>
        <v>3.3057851239669422</v>
      </c>
      <c r="G2342" s="1" t="s">
        <v>39</v>
      </c>
      <c r="H2342" s="336" t="s">
        <v>7136</v>
      </c>
    </row>
    <row r="2343" spans="1:8" ht="16.5">
      <c r="A2343" s="336" t="s">
        <v>7157</v>
      </c>
      <c r="B2343" s="336" t="s">
        <v>26</v>
      </c>
      <c r="C2343" s="336" t="s">
        <v>3034</v>
      </c>
      <c r="D2343" s="1" t="s">
        <v>38</v>
      </c>
      <c r="E2343" s="337">
        <f>225*F2343</f>
        <v>743.80165289256206</v>
      </c>
      <c r="F2343" s="337">
        <f>Systems!H199</f>
        <v>3.3057851239669422</v>
      </c>
      <c r="G2343" s="1" t="s">
        <v>39</v>
      </c>
      <c r="H2343" s="336" t="s">
        <v>7136</v>
      </c>
    </row>
    <row r="2344" spans="1:8" ht="16.5">
      <c r="A2344" s="336" t="s">
        <v>7158</v>
      </c>
      <c r="B2344" s="336" t="s">
        <v>26</v>
      </c>
      <c r="C2344" s="336" t="s">
        <v>3034</v>
      </c>
      <c r="D2344" s="1" t="s">
        <v>38</v>
      </c>
      <c r="E2344" s="337">
        <f>100*F2344</f>
        <v>330.57851239669424</v>
      </c>
      <c r="F2344" s="337">
        <f>Systems!H199</f>
        <v>3.3057851239669422</v>
      </c>
      <c r="G2344" s="1" t="s">
        <v>39</v>
      </c>
      <c r="H2344" s="336" t="s">
        <v>7136</v>
      </c>
    </row>
    <row r="2345" spans="1:8" ht="16.5">
      <c r="A2345" s="336" t="s">
        <v>7159</v>
      </c>
      <c r="B2345" s="336" t="s">
        <v>26</v>
      </c>
      <c r="C2345" s="336" t="s">
        <v>3034</v>
      </c>
      <c r="D2345" s="1" t="s">
        <v>38</v>
      </c>
      <c r="E2345" s="337">
        <f>1000*F2345</f>
        <v>3305.7851239669421</v>
      </c>
      <c r="F2345" s="337">
        <f>Systems!H199</f>
        <v>3.3057851239669422</v>
      </c>
      <c r="G2345" s="1" t="s">
        <v>39</v>
      </c>
      <c r="H2345" s="336" t="s">
        <v>7136</v>
      </c>
    </row>
    <row r="2346" spans="1:8" ht="16.5">
      <c r="A2346" s="336" t="s">
        <v>7141</v>
      </c>
      <c r="B2346" s="336" t="s">
        <v>26</v>
      </c>
      <c r="C2346" s="1" t="s">
        <v>2936</v>
      </c>
      <c r="D2346" s="1" t="s">
        <v>32</v>
      </c>
      <c r="E2346" s="337">
        <f>F2346</f>
        <v>2.7826474107465846E-2</v>
      </c>
      <c r="F2346" s="337">
        <f>Systems!T199</f>
        <v>2.7826474107465846E-2</v>
      </c>
      <c r="G2346" s="1" t="s">
        <v>33</v>
      </c>
      <c r="H2346" s="336" t="s">
        <v>7136</v>
      </c>
    </row>
    <row r="2347" spans="1:8" ht="16.5">
      <c r="A2347" s="336" t="s">
        <v>7150</v>
      </c>
      <c r="B2347" s="336" t="s">
        <v>26</v>
      </c>
      <c r="C2347" s="1" t="s">
        <v>2935</v>
      </c>
      <c r="D2347" s="1" t="s">
        <v>32</v>
      </c>
      <c r="E2347" s="337">
        <f>F2347/100</f>
        <v>1.8039068369646883E-5</v>
      </c>
      <c r="F2347" s="337">
        <f>Systems!P199</f>
        <v>1.8039068369646882E-3</v>
      </c>
      <c r="G2347" s="1" t="s">
        <v>33</v>
      </c>
      <c r="H2347" s="336" t="s">
        <v>7136</v>
      </c>
    </row>
    <row r="2348" spans="1:8" ht="16.5">
      <c r="A2348" s="336" t="s">
        <v>7151</v>
      </c>
      <c r="B2348" s="336" t="s">
        <v>26</v>
      </c>
      <c r="C2348" s="1" t="s">
        <v>2935</v>
      </c>
      <c r="D2348" s="1" t="s">
        <v>32</v>
      </c>
      <c r="E2348" s="337">
        <f>F2348/10</f>
        <v>1.8039068369646882E-4</v>
      </c>
      <c r="F2348" s="337">
        <f>Systems!P199</f>
        <v>1.8039068369646882E-3</v>
      </c>
      <c r="G2348" s="1" t="s">
        <v>33</v>
      </c>
      <c r="H2348" s="336" t="s">
        <v>7136</v>
      </c>
    </row>
    <row r="2349" spans="1:8" ht="16.5">
      <c r="A2349" s="336" t="s">
        <v>7140</v>
      </c>
      <c r="B2349" s="336" t="s">
        <v>26</v>
      </c>
      <c r="C2349" s="1" t="s">
        <v>2935</v>
      </c>
      <c r="D2349" s="1" t="s">
        <v>32</v>
      </c>
      <c r="E2349" s="337">
        <f>F2349</f>
        <v>1.8039068369646882E-3</v>
      </c>
      <c r="F2349" s="337">
        <f>Systems!P199</f>
        <v>1.8039068369646882E-3</v>
      </c>
      <c r="G2349" s="1" t="s">
        <v>33</v>
      </c>
      <c r="H2349" s="336" t="s">
        <v>7136</v>
      </c>
    </row>
    <row r="2350" spans="1:8" ht="16.5">
      <c r="A2350" s="336" t="s">
        <v>7160</v>
      </c>
      <c r="B2350" s="336" t="s">
        <v>26</v>
      </c>
      <c r="C2350" s="1" t="s">
        <v>2935</v>
      </c>
      <c r="D2350" s="1" t="s">
        <v>32</v>
      </c>
      <c r="E2350" s="337">
        <f>F2350</f>
        <v>1.8039068369646882E-3</v>
      </c>
      <c r="F2350" s="337">
        <f>Systems!P199</f>
        <v>1.8039068369646882E-3</v>
      </c>
      <c r="G2350" s="1" t="s">
        <v>33</v>
      </c>
      <c r="H2350" s="336" t="s">
        <v>7136</v>
      </c>
    </row>
    <row r="2351" spans="1:8" ht="16.5">
      <c r="A2351" s="336" t="s">
        <v>7161</v>
      </c>
      <c r="B2351" s="336" t="s">
        <v>26</v>
      </c>
      <c r="C2351" s="1" t="s">
        <v>2935</v>
      </c>
      <c r="D2351" s="1" t="s">
        <v>32</v>
      </c>
      <c r="E2351" s="337">
        <f>10*F2351</f>
        <v>1.8039068369646881E-2</v>
      </c>
      <c r="F2351" s="337">
        <f>Systems!P199</f>
        <v>1.8039068369646882E-3</v>
      </c>
      <c r="G2351" s="1" t="s">
        <v>33</v>
      </c>
      <c r="H2351" s="336" t="s">
        <v>7136</v>
      </c>
    </row>
    <row r="2352" spans="1:8" ht="16.5">
      <c r="A2352" s="336" t="s">
        <v>7162</v>
      </c>
      <c r="B2352" s="336" t="s">
        <v>26</v>
      </c>
      <c r="C2352" s="1" t="s">
        <v>2935</v>
      </c>
      <c r="D2352" s="1" t="s">
        <v>32</v>
      </c>
      <c r="E2352" s="337">
        <f>10*F2352</f>
        <v>1.8039068369646881E-2</v>
      </c>
      <c r="F2352" s="337">
        <f>Systems!P199</f>
        <v>1.8039068369646882E-3</v>
      </c>
      <c r="G2352" s="1" t="s">
        <v>33</v>
      </c>
      <c r="H2352" s="336" t="s">
        <v>7136</v>
      </c>
    </row>
    <row r="2353" spans="1:8" ht="16.5">
      <c r="A2353" s="336" t="s">
        <v>7163</v>
      </c>
      <c r="B2353" s="336" t="s">
        <v>26</v>
      </c>
      <c r="C2353" s="1" t="s">
        <v>2935</v>
      </c>
      <c r="D2353" s="1" t="s">
        <v>32</v>
      </c>
      <c r="E2353" s="337">
        <f>100*F2353</f>
        <v>0.18039068369646882</v>
      </c>
      <c r="F2353" s="337">
        <f>Systems!P199</f>
        <v>1.8039068369646882E-3</v>
      </c>
      <c r="G2353" s="1" t="s">
        <v>33</v>
      </c>
      <c r="H2353" s="336" t="s">
        <v>7136</v>
      </c>
    </row>
    <row r="2354" spans="1:8" ht="16.5">
      <c r="A2354" s="336" t="s">
        <v>7164</v>
      </c>
      <c r="B2354" s="336" t="s">
        <v>26</v>
      </c>
      <c r="C2354" s="1" t="s">
        <v>2935</v>
      </c>
      <c r="D2354" s="1" t="s">
        <v>32</v>
      </c>
      <c r="E2354" s="337">
        <f>100*F2354</f>
        <v>0.18039068369646882</v>
      </c>
      <c r="F2354" s="337">
        <f>Systems!P199</f>
        <v>1.8039068369646882E-3</v>
      </c>
      <c r="G2354" s="1" t="s">
        <v>33</v>
      </c>
      <c r="H2354" s="336" t="s">
        <v>7136</v>
      </c>
    </row>
    <row r="2355" spans="1:8" ht="16.5">
      <c r="A2355" s="336" t="s">
        <v>7165</v>
      </c>
      <c r="B2355" s="336" t="s">
        <v>26</v>
      </c>
      <c r="C2355" s="1" t="s">
        <v>2935</v>
      </c>
      <c r="D2355" s="1" t="s">
        <v>32</v>
      </c>
      <c r="E2355" s="337">
        <f>100*F2355</f>
        <v>0.18039068369646882</v>
      </c>
      <c r="F2355" s="337">
        <f>Systems!P199</f>
        <v>1.8039068369646882E-3</v>
      </c>
      <c r="G2355" s="1" t="s">
        <v>33</v>
      </c>
      <c r="H2355" s="336" t="s">
        <v>7136</v>
      </c>
    </row>
    <row r="2356" spans="1:8" ht="16.5">
      <c r="A2356" s="336" t="s">
        <v>7166</v>
      </c>
      <c r="B2356" s="336" t="s">
        <v>26</v>
      </c>
      <c r="C2356" s="1" t="s">
        <v>2935</v>
      </c>
      <c r="D2356" s="1" t="s">
        <v>32</v>
      </c>
      <c r="E2356" s="337">
        <f>150*F2356</f>
        <v>0.27058602554470323</v>
      </c>
      <c r="F2356" s="337">
        <f>Systems!P199</f>
        <v>1.8039068369646882E-3</v>
      </c>
      <c r="G2356" s="1" t="s">
        <v>33</v>
      </c>
      <c r="H2356" s="336" t="s">
        <v>7136</v>
      </c>
    </row>
    <row r="2357" spans="1:8" ht="16.5">
      <c r="A2357" s="336" t="s">
        <v>7167</v>
      </c>
      <c r="B2357" s="336" t="s">
        <v>26</v>
      </c>
      <c r="C2357" s="1" t="s">
        <v>2935</v>
      </c>
      <c r="D2357" s="1" t="s">
        <v>32</v>
      </c>
      <c r="E2357" s="337">
        <f>150*F2357</f>
        <v>0.27058602554470323</v>
      </c>
      <c r="F2357" s="337">
        <f>Systems!P199</f>
        <v>1.8039068369646882E-3</v>
      </c>
      <c r="G2357" s="1" t="s">
        <v>33</v>
      </c>
      <c r="H2357" s="336" t="s">
        <v>7136</v>
      </c>
    </row>
    <row r="2358" spans="1:8" ht="16.5">
      <c r="A2358" s="336" t="s">
        <v>7168</v>
      </c>
      <c r="B2358" s="336" t="s">
        <v>26</v>
      </c>
      <c r="C2358" s="1" t="s">
        <v>2935</v>
      </c>
      <c r="D2358" s="1" t="s">
        <v>32</v>
      </c>
      <c r="E2358" s="337">
        <f>200*F2358</f>
        <v>0.36078136739293765</v>
      </c>
      <c r="F2358" s="337">
        <f>Systems!P199</f>
        <v>1.8039068369646882E-3</v>
      </c>
      <c r="G2358" s="1" t="s">
        <v>33</v>
      </c>
      <c r="H2358" s="336" t="s">
        <v>7136</v>
      </c>
    </row>
    <row r="2359" spans="1:8" ht="16.5">
      <c r="A2359" s="336" t="s">
        <v>7169</v>
      </c>
      <c r="B2359" s="336" t="s">
        <v>26</v>
      </c>
      <c r="C2359" s="1" t="s">
        <v>2935</v>
      </c>
      <c r="D2359" s="1" t="s">
        <v>32</v>
      </c>
      <c r="E2359" s="337">
        <f>200*F2359</f>
        <v>0.36078136739293765</v>
      </c>
      <c r="F2359" s="337">
        <f>Systems!P199</f>
        <v>1.8039068369646882E-3</v>
      </c>
      <c r="G2359" s="1" t="s">
        <v>33</v>
      </c>
      <c r="H2359" s="336" t="s">
        <v>7136</v>
      </c>
    </row>
    <row r="2360" spans="1:8">
      <c r="A2360" s="336" t="s">
        <v>7142</v>
      </c>
      <c r="B2360" s="336" t="s">
        <v>26</v>
      </c>
      <c r="C2360" s="1" t="s">
        <v>17</v>
      </c>
      <c r="D2360" s="1" t="s">
        <v>20</v>
      </c>
      <c r="E2360" s="337">
        <f>F2360/1000000</f>
        <v>3.7500000000000001E-6</v>
      </c>
      <c r="F2360" s="337">
        <f>Systems!L199</f>
        <v>3.75</v>
      </c>
      <c r="G2360" s="1" t="s">
        <v>23</v>
      </c>
      <c r="H2360" s="336" t="s">
        <v>7136</v>
      </c>
    </row>
    <row r="2361" spans="1:8">
      <c r="A2361" s="336" t="s">
        <v>2093</v>
      </c>
      <c r="B2361" s="336" t="s">
        <v>26</v>
      </c>
      <c r="C2361" s="1" t="s">
        <v>17</v>
      </c>
      <c r="D2361" s="1" t="s">
        <v>20</v>
      </c>
      <c r="E2361" s="337">
        <f>F2361/1000000</f>
        <v>3.7500000000000001E-6</v>
      </c>
      <c r="F2361" s="337">
        <f>Systems!L199</f>
        <v>3.75</v>
      </c>
      <c r="G2361" s="1" t="s">
        <v>23</v>
      </c>
      <c r="H2361" s="336" t="s">
        <v>7136</v>
      </c>
    </row>
    <row r="2362" spans="1:8">
      <c r="A2362" s="336" t="s">
        <v>2380</v>
      </c>
      <c r="B2362" s="336" t="s">
        <v>26</v>
      </c>
      <c r="C2362" s="1" t="s">
        <v>17</v>
      </c>
      <c r="D2362" s="1" t="s">
        <v>20</v>
      </c>
      <c r="E2362" s="337">
        <f>F2362/100000</f>
        <v>3.7499999999999997E-5</v>
      </c>
      <c r="F2362" s="337">
        <f>Systems!L199</f>
        <v>3.75</v>
      </c>
      <c r="G2362" s="1" t="s">
        <v>23</v>
      </c>
      <c r="H2362" s="336" t="s">
        <v>7136</v>
      </c>
    </row>
    <row r="2363" spans="1:8">
      <c r="A2363" s="336" t="s">
        <v>7143</v>
      </c>
      <c r="B2363" s="336" t="s">
        <v>26</v>
      </c>
      <c r="C2363" s="1" t="s">
        <v>17</v>
      </c>
      <c r="D2363" s="1" t="s">
        <v>20</v>
      </c>
      <c r="E2363" s="337">
        <f>F2363/10000</f>
        <v>3.7500000000000001E-4</v>
      </c>
      <c r="F2363" s="337">
        <f>Systems!L199</f>
        <v>3.75</v>
      </c>
      <c r="G2363" s="1" t="s">
        <v>23</v>
      </c>
      <c r="H2363" s="336" t="s">
        <v>7136</v>
      </c>
    </row>
    <row r="2364" spans="1:8">
      <c r="A2364" s="336" t="s">
        <v>7144</v>
      </c>
      <c r="B2364" s="336" t="s">
        <v>26</v>
      </c>
      <c r="C2364" s="1" t="s">
        <v>17</v>
      </c>
      <c r="D2364" s="1" t="s">
        <v>20</v>
      </c>
      <c r="E2364" s="337">
        <f>F2364/10000</f>
        <v>3.7500000000000001E-4</v>
      </c>
      <c r="F2364" s="337">
        <f>Systems!L199</f>
        <v>3.75</v>
      </c>
      <c r="G2364" s="1" t="s">
        <v>23</v>
      </c>
      <c r="H2364" s="336" t="s">
        <v>7136</v>
      </c>
    </row>
    <row r="2365" spans="1:8">
      <c r="A2365" s="336" t="s">
        <v>7170</v>
      </c>
      <c r="B2365" s="336" t="s">
        <v>26</v>
      </c>
      <c r="C2365" s="1" t="s">
        <v>17</v>
      </c>
      <c r="D2365" s="1" t="s">
        <v>20</v>
      </c>
      <c r="E2365" s="337">
        <f>F2365/1000</f>
        <v>3.7499999999999999E-3</v>
      </c>
      <c r="F2365" s="337">
        <f>Systems!L199</f>
        <v>3.75</v>
      </c>
      <c r="G2365" s="1" t="s">
        <v>23</v>
      </c>
      <c r="H2365" s="336" t="s">
        <v>7136</v>
      </c>
    </row>
    <row r="2366" spans="1:8">
      <c r="A2366" s="336" t="s">
        <v>7171</v>
      </c>
      <c r="B2366" s="336" t="s">
        <v>26</v>
      </c>
      <c r="C2366" s="1" t="s">
        <v>17</v>
      </c>
      <c r="D2366" s="1" t="s">
        <v>20</v>
      </c>
      <c r="E2366" s="337">
        <f>F2366/100</f>
        <v>3.7499999999999999E-2</v>
      </c>
      <c r="F2366" s="337">
        <f>Systems!L199</f>
        <v>3.75</v>
      </c>
      <c r="G2366" s="1" t="s">
        <v>23</v>
      </c>
      <c r="H2366" s="336" t="s">
        <v>7136</v>
      </c>
    </row>
    <row r="2367" spans="1:8">
      <c r="A2367" s="336" t="s">
        <v>7172</v>
      </c>
      <c r="B2367" s="336" t="s">
        <v>26</v>
      </c>
      <c r="C2367" s="1" t="s">
        <v>17</v>
      </c>
      <c r="D2367" s="1" t="s">
        <v>20</v>
      </c>
      <c r="E2367" s="337">
        <f>F2367/10</f>
        <v>0.375</v>
      </c>
      <c r="F2367" s="337">
        <f>Systems!L199</f>
        <v>3.75</v>
      </c>
      <c r="G2367" s="1" t="s">
        <v>23</v>
      </c>
      <c r="H2367" s="336" t="s">
        <v>7136</v>
      </c>
    </row>
    <row r="2368" spans="1:8">
      <c r="A2368" s="336" t="s">
        <v>7173</v>
      </c>
      <c r="B2368" s="336" t="s">
        <v>26</v>
      </c>
      <c r="C2368" s="1" t="s">
        <v>17</v>
      </c>
      <c r="D2368" s="1" t="s">
        <v>20</v>
      </c>
      <c r="E2368" s="337">
        <f>4*F2368/25</f>
        <v>0.6</v>
      </c>
      <c r="F2368" s="337">
        <f>Systems!L199</f>
        <v>3.75</v>
      </c>
      <c r="G2368" s="1" t="s">
        <v>23</v>
      </c>
      <c r="H2368" s="336" t="s">
        <v>7136</v>
      </c>
    </row>
    <row r="2369" spans="1:8">
      <c r="A2369" s="336" t="s">
        <v>7139</v>
      </c>
      <c r="B2369" s="336" t="s">
        <v>26</v>
      </c>
      <c r="C2369" s="1" t="s">
        <v>17</v>
      </c>
      <c r="D2369" s="1" t="s">
        <v>20</v>
      </c>
      <c r="E2369" s="337">
        <f>F2369</f>
        <v>3.75</v>
      </c>
      <c r="F2369" s="337">
        <f>Systems!L199</f>
        <v>3.75</v>
      </c>
      <c r="G2369" s="1" t="s">
        <v>23</v>
      </c>
      <c r="H2369" s="336" t="s">
        <v>7136</v>
      </c>
    </row>
    <row r="2370" spans="1:8">
      <c r="A2370" s="248"/>
      <c r="B2370" s="248"/>
      <c r="C2370" s="248"/>
      <c r="D2370" s="248"/>
      <c r="E2370" s="250"/>
      <c r="F2370" s="250"/>
      <c r="G2370" s="248"/>
      <c r="H2370" s="248"/>
    </row>
    <row r="2371" spans="1:8">
      <c r="A2371" s="1" t="s">
        <v>875</v>
      </c>
      <c r="B2371" s="1" t="s">
        <v>26</v>
      </c>
      <c r="C2371" s="1" t="s">
        <v>3033</v>
      </c>
      <c r="D2371" s="1" t="s">
        <v>19</v>
      </c>
      <c r="E2371" s="12">
        <f>F2371</f>
        <v>0.53700000000000003</v>
      </c>
      <c r="F2371" s="12">
        <f>Systems!D122</f>
        <v>0.53700000000000003</v>
      </c>
      <c r="G2371" s="1" t="s">
        <v>14</v>
      </c>
      <c r="H2371" s="1" t="s">
        <v>448</v>
      </c>
    </row>
    <row r="2372" spans="1:8">
      <c r="A2372" s="1" t="s">
        <v>2044</v>
      </c>
      <c r="B2372" s="1" t="s">
        <v>26</v>
      </c>
      <c r="C2372" s="1" t="s">
        <v>3033</v>
      </c>
      <c r="D2372" s="1" t="s">
        <v>19</v>
      </c>
      <c r="E2372" s="12">
        <f>7467600*F2372/537</f>
        <v>7467.6</v>
      </c>
      <c r="F2372" s="12">
        <f>Systems!D122</f>
        <v>0.53700000000000003</v>
      </c>
      <c r="G2372" s="1" t="s">
        <v>14</v>
      </c>
      <c r="H2372" s="1" t="s">
        <v>448</v>
      </c>
    </row>
    <row r="2373" spans="1:8">
      <c r="A2373" s="1" t="s">
        <v>2343</v>
      </c>
      <c r="B2373" s="1" t="s">
        <v>26</v>
      </c>
      <c r="C2373" s="1" t="s">
        <v>3033</v>
      </c>
      <c r="D2373" s="1" t="s">
        <v>19</v>
      </c>
      <c r="E2373" s="12">
        <f>F2373/4</f>
        <v>0.13425000000000001</v>
      </c>
      <c r="F2373" s="12">
        <f>Systems!D122</f>
        <v>0.53700000000000003</v>
      </c>
      <c r="G2373" s="1" t="s">
        <v>14</v>
      </c>
      <c r="H2373" s="1" t="s">
        <v>448</v>
      </c>
    </row>
    <row r="2374" spans="1:8">
      <c r="A2374" s="1" t="s">
        <v>2767</v>
      </c>
      <c r="B2374" s="1" t="s">
        <v>26</v>
      </c>
      <c r="C2374" s="1" t="s">
        <v>3033</v>
      </c>
      <c r="D2374" s="1" t="s">
        <v>19</v>
      </c>
      <c r="E2374" s="12">
        <f>10668*F2374/5370</f>
        <v>1.0668</v>
      </c>
      <c r="F2374" s="12">
        <f>Systems!D122</f>
        <v>0.53700000000000003</v>
      </c>
      <c r="G2374" s="1" t="s">
        <v>14</v>
      </c>
      <c r="H2374" s="1" t="s">
        <v>448</v>
      </c>
    </row>
    <row r="2375" spans="1:8" ht="16.5">
      <c r="A2375" s="1" t="s">
        <v>876</v>
      </c>
      <c r="B2375" s="1" t="s">
        <v>26</v>
      </c>
      <c r="C2375" s="1" t="s">
        <v>3034</v>
      </c>
      <c r="D2375" s="1" t="s">
        <v>38</v>
      </c>
      <c r="E2375" s="12">
        <f>F2375</f>
        <v>148.63999999999999</v>
      </c>
      <c r="F2375" s="12">
        <f>Systems!H122</f>
        <v>148.63999999999999</v>
      </c>
      <c r="G2375" s="1" t="s">
        <v>39</v>
      </c>
      <c r="H2375" s="1" t="s">
        <v>448</v>
      </c>
    </row>
    <row r="2376" spans="1:8" ht="16.5">
      <c r="A2376" s="1" t="s">
        <v>1985</v>
      </c>
      <c r="B2376" s="1" t="s">
        <v>26</v>
      </c>
      <c r="C2376" s="1" t="s">
        <v>3034</v>
      </c>
      <c r="D2376" s="1" t="s">
        <v>38</v>
      </c>
      <c r="E2376" s="12">
        <f>25*F2376</f>
        <v>3715.9999999999995</v>
      </c>
      <c r="F2376" s="12">
        <f>Systems!H122</f>
        <v>148.63999999999999</v>
      </c>
      <c r="G2376" s="1" t="s">
        <v>39</v>
      </c>
      <c r="H2376" s="1" t="s">
        <v>448</v>
      </c>
    </row>
    <row r="2377" spans="1:8" ht="16.5">
      <c r="A2377" s="1" t="s">
        <v>2302</v>
      </c>
      <c r="B2377" s="1" t="s">
        <v>26</v>
      </c>
      <c r="C2377" s="1" t="s">
        <v>3034</v>
      </c>
      <c r="D2377" s="1" t="s">
        <v>38</v>
      </c>
      <c r="E2377" s="12">
        <f>25*F2377</f>
        <v>3715.9999999999995</v>
      </c>
      <c r="F2377" s="12">
        <f>Systems!H122</f>
        <v>148.63999999999999</v>
      </c>
      <c r="G2377" s="1" t="s">
        <v>39</v>
      </c>
      <c r="H2377" s="1" t="s">
        <v>448</v>
      </c>
    </row>
    <row r="2378" spans="1:8" ht="16.5">
      <c r="A2378" s="1" t="s">
        <v>2689</v>
      </c>
      <c r="B2378" s="1" t="s">
        <v>26</v>
      </c>
      <c r="C2378" s="1" t="s">
        <v>3034</v>
      </c>
      <c r="D2378" s="1" t="s">
        <v>38</v>
      </c>
      <c r="E2378" s="12">
        <f>35*F2378</f>
        <v>5202.3999999999996</v>
      </c>
      <c r="F2378" s="12">
        <f>Systems!H122</f>
        <v>148.63999999999999</v>
      </c>
      <c r="G2378" s="1" t="s">
        <v>39</v>
      </c>
      <c r="H2378" s="1" t="s">
        <v>448</v>
      </c>
    </row>
    <row r="2379" spans="1:8" ht="16.5">
      <c r="A2379" s="1" t="s">
        <v>964</v>
      </c>
      <c r="B2379" s="1" t="s">
        <v>26</v>
      </c>
      <c r="C2379" s="1" t="s">
        <v>2936</v>
      </c>
      <c r="D2379" s="1" t="s">
        <v>32</v>
      </c>
      <c r="E2379" s="12">
        <f>F2379</f>
        <v>1.09106208E-2</v>
      </c>
      <c r="F2379" s="12">
        <f>Systems!T122</f>
        <v>1.09106208E-2</v>
      </c>
      <c r="G2379" s="1" t="s">
        <v>33</v>
      </c>
      <c r="H2379" s="1" t="s">
        <v>448</v>
      </c>
    </row>
    <row r="2380" spans="1:8" ht="16.5">
      <c r="A2380" s="1" t="s">
        <v>2557</v>
      </c>
      <c r="B2380" s="1" t="s">
        <v>603</v>
      </c>
      <c r="C2380" s="1" t="s">
        <v>2936</v>
      </c>
      <c r="D2380" s="1" t="s">
        <v>32</v>
      </c>
      <c r="E2380" s="12">
        <f>165*F2380</f>
        <v>4.6722796876800006</v>
      </c>
      <c r="F2380" s="12">
        <f>POWER(Systems!D6,3)</f>
        <v>2.8316846592000004E-2</v>
      </c>
      <c r="G2380" s="1" t="s">
        <v>33</v>
      </c>
      <c r="H2380" s="1" t="s">
        <v>448</v>
      </c>
    </row>
    <row r="2381" spans="1:8" ht="16.5">
      <c r="A2381" s="1" t="s">
        <v>1215</v>
      </c>
      <c r="B2381" s="1" t="s">
        <v>26</v>
      </c>
      <c r="C2381" s="1" t="s">
        <v>2935</v>
      </c>
      <c r="D2381" s="1" t="s">
        <v>32</v>
      </c>
      <c r="E2381" s="12">
        <f>30*F2381</f>
        <v>3.8255999999999998E-2</v>
      </c>
      <c r="F2381" s="12">
        <f>Systems!P122</f>
        <v>1.2752E-3</v>
      </c>
      <c r="G2381" s="1" t="s">
        <v>33</v>
      </c>
      <c r="H2381" s="1" t="s">
        <v>448</v>
      </c>
    </row>
    <row r="2382" spans="1:8" ht="16.5">
      <c r="A2382" s="1" t="s">
        <v>878</v>
      </c>
      <c r="B2382" s="1" t="s">
        <v>26</v>
      </c>
      <c r="C2382" s="1" t="s">
        <v>2935</v>
      </c>
      <c r="D2382" s="1" t="s">
        <v>32</v>
      </c>
      <c r="E2382" s="12">
        <f>F2382</f>
        <v>4.077</v>
      </c>
      <c r="F2382" s="12">
        <f>Systems!P123</f>
        <v>4.077</v>
      </c>
      <c r="G2382" s="1" t="s">
        <v>33</v>
      </c>
      <c r="H2382" s="1" t="s">
        <v>448</v>
      </c>
    </row>
    <row r="2383" spans="1:8" ht="16.5">
      <c r="A2383" s="1" t="s">
        <v>254</v>
      </c>
      <c r="B2383" s="1" t="s">
        <v>26</v>
      </c>
      <c r="C2383" s="1" t="s">
        <v>2935</v>
      </c>
      <c r="D2383" s="1" t="s">
        <v>32</v>
      </c>
      <c r="E2383" s="12">
        <f>2*F2383</f>
        <v>2.5504E-3</v>
      </c>
      <c r="F2383" s="12">
        <f>Systems!P122</f>
        <v>1.2752E-3</v>
      </c>
      <c r="G2383" s="1" t="s">
        <v>33</v>
      </c>
      <c r="H2383" s="1" t="s">
        <v>448</v>
      </c>
    </row>
    <row r="2384" spans="1:8" ht="16.5">
      <c r="A2384" s="1" t="s">
        <v>964</v>
      </c>
      <c r="B2384" s="1" t="s">
        <v>26</v>
      </c>
      <c r="C2384" s="1" t="s">
        <v>2935</v>
      </c>
      <c r="D2384" s="1" t="s">
        <v>32</v>
      </c>
      <c r="E2384" s="12">
        <f>9*F2384</f>
        <v>1.1476800000000001E-2</v>
      </c>
      <c r="F2384" s="12">
        <f>Systems!P122</f>
        <v>1.2752E-3</v>
      </c>
      <c r="G2384" s="1" t="s">
        <v>33</v>
      </c>
      <c r="H2384" s="1" t="s">
        <v>448</v>
      </c>
    </row>
    <row r="2385" spans="1:8" ht="16.5">
      <c r="A2385" s="1" t="s">
        <v>1984</v>
      </c>
      <c r="B2385" s="1" t="s">
        <v>26</v>
      </c>
      <c r="C2385" s="1" t="s">
        <v>2935</v>
      </c>
      <c r="D2385" s="1" t="s">
        <v>32</v>
      </c>
      <c r="E2385" s="12">
        <f>54*F2385</f>
        <v>6.88608E-2</v>
      </c>
      <c r="F2385" s="12">
        <f>Systems!P122</f>
        <v>1.2752E-3</v>
      </c>
      <c r="G2385" s="1" t="s">
        <v>33</v>
      </c>
      <c r="H2385" s="1" t="s">
        <v>448</v>
      </c>
    </row>
    <row r="2386" spans="1:8" ht="16.5">
      <c r="A2386" s="1" t="s">
        <v>2301</v>
      </c>
      <c r="B2386" s="1" t="s">
        <v>26</v>
      </c>
      <c r="C2386" s="1" t="s">
        <v>2935</v>
      </c>
      <c r="D2386" s="1" t="s">
        <v>32</v>
      </c>
      <c r="E2386" s="12">
        <f>54*F2386</f>
        <v>6.88608E-2</v>
      </c>
      <c r="F2386" s="12">
        <f>Systems!P122</f>
        <v>1.2752E-3</v>
      </c>
      <c r="G2386" s="1" t="s">
        <v>33</v>
      </c>
      <c r="H2386" s="1" t="s">
        <v>448</v>
      </c>
    </row>
    <row r="2387" spans="1:8" ht="16.5">
      <c r="A2387" s="1" t="s">
        <v>877</v>
      </c>
      <c r="B2387" s="1" t="s">
        <v>26</v>
      </c>
      <c r="C2387" s="1" t="s">
        <v>2935</v>
      </c>
      <c r="D2387" s="1" t="s">
        <v>32</v>
      </c>
      <c r="E2387" s="12">
        <f>F2387</f>
        <v>1.2752E-3</v>
      </c>
      <c r="F2387" s="12">
        <f>Systems!P122</f>
        <v>1.2752E-3</v>
      </c>
      <c r="G2387" s="1" t="s">
        <v>33</v>
      </c>
      <c r="H2387" s="1" t="s">
        <v>448</v>
      </c>
    </row>
    <row r="2388" spans="1:8" ht="16.5">
      <c r="A2388" s="1" t="s">
        <v>940</v>
      </c>
      <c r="B2388" s="1" t="s">
        <v>26</v>
      </c>
      <c r="C2388" s="1" t="s">
        <v>2935</v>
      </c>
      <c r="D2388" s="1" t="s">
        <v>32</v>
      </c>
      <c r="E2388" s="12">
        <f>108*F2388</f>
        <v>0.1377216</v>
      </c>
      <c r="F2388" s="12">
        <f>Systems!P122</f>
        <v>1.2752E-3</v>
      </c>
      <c r="G2388" s="1" t="s">
        <v>33</v>
      </c>
      <c r="H2388" s="1" t="s">
        <v>448</v>
      </c>
    </row>
    <row r="2389" spans="1:8">
      <c r="A2389" s="1" t="s">
        <v>1376</v>
      </c>
      <c r="B2389" s="1" t="s">
        <v>26</v>
      </c>
      <c r="C2389" s="1" t="s">
        <v>17</v>
      </c>
      <c r="D2389" s="1" t="s">
        <v>20</v>
      </c>
      <c r="E2389" s="12">
        <f>120*F2389</f>
        <v>50.28</v>
      </c>
      <c r="F2389" s="12">
        <f>Systems!L122</f>
        <v>0.41899999999999998</v>
      </c>
      <c r="G2389" s="1" t="s">
        <v>23</v>
      </c>
      <c r="H2389" s="1" t="s">
        <v>448</v>
      </c>
    </row>
    <row r="2390" spans="1:8">
      <c r="A2390" s="1" t="s">
        <v>1957</v>
      </c>
      <c r="B2390" s="1" t="s">
        <v>26</v>
      </c>
      <c r="C2390" s="1" t="s">
        <v>17</v>
      </c>
      <c r="D2390" s="1" t="s">
        <v>20</v>
      </c>
      <c r="E2390" s="12">
        <f>20*F2390</f>
        <v>8.379999999999999</v>
      </c>
      <c r="F2390" s="12">
        <f>Systems!L122</f>
        <v>0.41899999999999998</v>
      </c>
      <c r="G2390" s="1" t="s">
        <v>23</v>
      </c>
      <c r="H2390" s="1" t="s">
        <v>448</v>
      </c>
    </row>
    <row r="2391" spans="1:8">
      <c r="A2391" s="1" t="s">
        <v>1988</v>
      </c>
      <c r="B2391" s="1" t="s">
        <v>26</v>
      </c>
      <c r="C2391" s="1" t="s">
        <v>17</v>
      </c>
      <c r="D2391" s="1" t="s">
        <v>20</v>
      </c>
      <c r="E2391" s="12">
        <f>F2391/32</f>
        <v>1.3093749999999999E-2</v>
      </c>
      <c r="F2391" s="12">
        <f>Systems!L122</f>
        <v>0.41899999999999998</v>
      </c>
      <c r="G2391" s="1" t="s">
        <v>23</v>
      </c>
      <c r="H2391" s="1" t="s">
        <v>448</v>
      </c>
    </row>
    <row r="2392" spans="1:8">
      <c r="A2392" s="1" t="s">
        <v>840</v>
      </c>
      <c r="B2392" s="1" t="s">
        <v>26</v>
      </c>
      <c r="C2392" s="1" t="s">
        <v>17</v>
      </c>
      <c r="D2392" s="1" t="s">
        <v>20</v>
      </c>
      <c r="E2392" s="12">
        <f>F2392</f>
        <v>0.41899999999999998</v>
      </c>
      <c r="F2392" s="12">
        <f>Systems!L122</f>
        <v>0.41899999999999998</v>
      </c>
      <c r="G2392" s="1" t="s">
        <v>23</v>
      </c>
      <c r="H2392" s="1" t="s">
        <v>448</v>
      </c>
    </row>
    <row r="2393" spans="1:8">
      <c r="A2393" s="1" t="s">
        <v>2351</v>
      </c>
      <c r="B2393" s="1" t="s">
        <v>26</v>
      </c>
      <c r="C2393" s="1" t="s">
        <v>17</v>
      </c>
      <c r="D2393" s="1" t="s">
        <v>20</v>
      </c>
      <c r="E2393" s="12">
        <f>F2393/128</f>
        <v>3.2734374999999999E-3</v>
      </c>
      <c r="F2393" s="12">
        <f>Systems!L122</f>
        <v>0.41899999999999998</v>
      </c>
      <c r="G2393" s="1" t="s">
        <v>23</v>
      </c>
      <c r="H2393" s="1" t="s">
        <v>448</v>
      </c>
    </row>
    <row r="2394" spans="1:8">
      <c r="A2394" s="1" t="s">
        <v>2446</v>
      </c>
      <c r="B2394" s="1" t="s">
        <v>26</v>
      </c>
      <c r="C2394" s="1" t="s">
        <v>17</v>
      </c>
      <c r="D2394" s="1" t="s">
        <v>20</v>
      </c>
      <c r="E2394" s="12">
        <f>400*F2394</f>
        <v>167.6</v>
      </c>
      <c r="F2394" s="12">
        <f>Systems!L122</f>
        <v>0.41899999999999998</v>
      </c>
      <c r="G2394" s="1" t="s">
        <v>23</v>
      </c>
      <c r="H2394" s="1" t="s">
        <v>448</v>
      </c>
    </row>
    <row r="2395" spans="1:8">
      <c r="A2395" s="1" t="s">
        <v>2677</v>
      </c>
      <c r="B2395" s="1" t="s">
        <v>26</v>
      </c>
      <c r="C2395" s="1" t="s">
        <v>17</v>
      </c>
      <c r="D2395" s="1" t="s">
        <v>20</v>
      </c>
      <c r="E2395" s="12">
        <f>240*F2395</f>
        <v>100.56</v>
      </c>
      <c r="F2395" s="12">
        <f>Systems!L122</f>
        <v>0.41899999999999998</v>
      </c>
      <c r="G2395" s="1" t="s">
        <v>23</v>
      </c>
      <c r="H2395" s="1" t="s">
        <v>448</v>
      </c>
    </row>
    <row r="2396" spans="1:8">
      <c r="A2396" s="248"/>
      <c r="B2396" s="248"/>
      <c r="C2396" s="248"/>
      <c r="D2396" s="248"/>
      <c r="E2396" s="250"/>
      <c r="F2396" s="250"/>
      <c r="G2396" s="248"/>
      <c r="H2396" s="248"/>
    </row>
    <row r="2397" spans="1:8">
      <c r="A2397" s="14" t="s">
        <v>1547</v>
      </c>
      <c r="B2397" s="1" t="s">
        <v>26</v>
      </c>
      <c r="C2397" s="1" t="s">
        <v>3033</v>
      </c>
      <c r="D2397" s="1" t="s">
        <v>19</v>
      </c>
      <c r="E2397" s="12">
        <f>2*F2397/3</f>
        <v>0.45333333333333337</v>
      </c>
      <c r="F2397" s="12">
        <f>Systems!D124</f>
        <v>0.68</v>
      </c>
      <c r="G2397" s="1" t="s">
        <v>14</v>
      </c>
      <c r="H2397" s="1" t="s">
        <v>464</v>
      </c>
    </row>
    <row r="2398" spans="1:8">
      <c r="A2398" s="1" t="s">
        <v>1717</v>
      </c>
      <c r="B2398" s="1" t="s">
        <v>26</v>
      </c>
      <c r="C2398" s="1" t="s">
        <v>3033</v>
      </c>
      <c r="D2398" s="1" t="s">
        <v>19</v>
      </c>
      <c r="E2398" s="12">
        <f>F2398</f>
        <v>0.68</v>
      </c>
      <c r="F2398" s="12">
        <f>Systems!D124</f>
        <v>0.68</v>
      </c>
      <c r="G2398" s="1" t="s">
        <v>14</v>
      </c>
      <c r="H2398" s="1" t="s">
        <v>464</v>
      </c>
    </row>
    <row r="2399" spans="1:8">
      <c r="A2399" s="1" t="s">
        <v>2215</v>
      </c>
      <c r="B2399" s="1" t="s">
        <v>26</v>
      </c>
      <c r="C2399" s="1" t="s">
        <v>3033</v>
      </c>
      <c r="D2399" s="1" t="s">
        <v>19</v>
      </c>
      <c r="E2399" s="12">
        <f>F2399/3</f>
        <v>0.22666666666666668</v>
      </c>
      <c r="F2399" s="12">
        <f>Systems!D124</f>
        <v>0.68</v>
      </c>
      <c r="G2399" s="1" t="s">
        <v>14</v>
      </c>
      <c r="H2399" s="1" t="s">
        <v>464</v>
      </c>
    </row>
    <row r="2400" spans="1:8">
      <c r="A2400" s="1" t="s">
        <v>835</v>
      </c>
      <c r="B2400" s="1" t="s">
        <v>26</v>
      </c>
      <c r="C2400" s="1" t="s">
        <v>3033</v>
      </c>
      <c r="D2400" s="1" t="s">
        <v>19</v>
      </c>
      <c r="E2400" s="12">
        <f>F2400</f>
        <v>0.68</v>
      </c>
      <c r="F2400" s="12">
        <f>Systems!D124</f>
        <v>0.68</v>
      </c>
      <c r="G2400" s="1" t="s">
        <v>14</v>
      </c>
      <c r="H2400" s="1" t="s">
        <v>464</v>
      </c>
    </row>
    <row r="2401" spans="1:8">
      <c r="A2401" s="1" t="s">
        <v>578</v>
      </c>
      <c r="B2401" s="1" t="s">
        <v>26</v>
      </c>
      <c r="C2401" s="1" t="s">
        <v>3033</v>
      </c>
      <c r="D2401" s="1" t="s">
        <v>19</v>
      </c>
      <c r="E2401" s="12">
        <f>F2401</f>
        <v>0.68</v>
      </c>
      <c r="F2401" s="12">
        <f>Systems!D124</f>
        <v>0.68</v>
      </c>
      <c r="G2401" s="1" t="s">
        <v>14</v>
      </c>
      <c r="H2401" s="1" t="s">
        <v>464</v>
      </c>
    </row>
    <row r="2402" spans="1:8" ht="16.5">
      <c r="A2402" s="1" t="s">
        <v>1507</v>
      </c>
      <c r="B2402" s="1" t="s">
        <v>26</v>
      </c>
      <c r="C2402" s="1" t="s">
        <v>3034</v>
      </c>
      <c r="D2402" s="1" t="s">
        <v>38</v>
      </c>
      <c r="E2402" s="12">
        <f>1600*F2402</f>
        <v>739.84000000000015</v>
      </c>
      <c r="F2402" s="12">
        <f>POWER(Systems!D124,2)</f>
        <v>0.46240000000000009</v>
      </c>
      <c r="G2402" s="1" t="s">
        <v>39</v>
      </c>
      <c r="H2402" s="1" t="s">
        <v>464</v>
      </c>
    </row>
    <row r="2403" spans="1:8" ht="16.5">
      <c r="A2403" s="1" t="s">
        <v>1768</v>
      </c>
      <c r="B2403" s="1" t="s">
        <v>26</v>
      </c>
      <c r="C2403" s="1" t="s">
        <v>3034</v>
      </c>
      <c r="D2403" s="1" t="s">
        <v>38</v>
      </c>
      <c r="E2403" s="12">
        <f>1800*F2403</f>
        <v>832.32000000000016</v>
      </c>
      <c r="F2403" s="12">
        <f>POWER(Systems!D124,2)</f>
        <v>0.46240000000000009</v>
      </c>
      <c r="G2403" s="1" t="s">
        <v>39</v>
      </c>
      <c r="H2403" s="1" t="s">
        <v>464</v>
      </c>
    </row>
    <row r="2404" spans="1:8" ht="16.5">
      <c r="A2404" s="1" t="s">
        <v>4345</v>
      </c>
      <c r="B2404" s="1" t="s">
        <v>26</v>
      </c>
      <c r="C2404" s="1" t="s">
        <v>3034</v>
      </c>
      <c r="D2404" s="1" t="s">
        <v>38</v>
      </c>
      <c r="E2404" s="12">
        <f>F2404</f>
        <v>0.46240000000000009</v>
      </c>
      <c r="F2404" s="12">
        <f>Systems!H124</f>
        <v>0.46240000000000009</v>
      </c>
      <c r="G2404" s="1" t="s">
        <v>39</v>
      </c>
      <c r="H2404" s="1" t="s">
        <v>464</v>
      </c>
    </row>
    <row r="2405" spans="1:8" ht="16.5">
      <c r="A2405" s="1" t="s">
        <v>1823</v>
      </c>
      <c r="B2405" s="1" t="s">
        <v>26</v>
      </c>
      <c r="C2405" s="1" t="s">
        <v>2936</v>
      </c>
      <c r="D2405" s="1" t="s">
        <v>32</v>
      </c>
      <c r="E2405" s="12">
        <f>3*F2405</f>
        <v>2.3075999999999999E-2</v>
      </c>
      <c r="F2405" s="12">
        <f>Systems!T124</f>
        <v>7.6920000000000001E-3</v>
      </c>
      <c r="G2405" s="1" t="s">
        <v>33</v>
      </c>
      <c r="H2405" s="1" t="s">
        <v>464</v>
      </c>
    </row>
    <row r="2406" spans="1:8" ht="16.5">
      <c r="A2406" s="1" t="s">
        <v>2025</v>
      </c>
      <c r="B2406" s="1" t="s">
        <v>26</v>
      </c>
      <c r="C2406" s="1" t="s">
        <v>2936</v>
      </c>
      <c r="D2406" s="1" t="s">
        <v>32</v>
      </c>
      <c r="E2406" s="12">
        <f>2*F2406</f>
        <v>1.5384E-2</v>
      </c>
      <c r="F2406" s="12">
        <f>Systems!T124</f>
        <v>7.6920000000000001E-3</v>
      </c>
      <c r="G2406" s="1" t="s">
        <v>33</v>
      </c>
      <c r="H2406" s="1" t="s">
        <v>464</v>
      </c>
    </row>
    <row r="2407" spans="1:8" ht="16.5">
      <c r="A2407" s="1" t="s">
        <v>2145</v>
      </c>
      <c r="B2407" s="1" t="s">
        <v>26</v>
      </c>
      <c r="C2407" s="1" t="s">
        <v>2936</v>
      </c>
      <c r="D2407" s="1" t="s">
        <v>32</v>
      </c>
      <c r="E2407" s="12">
        <f>F2407/2</f>
        <v>3.846E-3</v>
      </c>
      <c r="F2407" s="12">
        <f>Systems!T124</f>
        <v>7.6920000000000001E-3</v>
      </c>
      <c r="G2407" s="1" t="s">
        <v>33</v>
      </c>
      <c r="H2407" s="1" t="s">
        <v>464</v>
      </c>
    </row>
    <row r="2408" spans="1:8" ht="16.5">
      <c r="A2408" s="1" t="s">
        <v>891</v>
      </c>
      <c r="B2408" s="1" t="s">
        <v>26</v>
      </c>
      <c r="C2408" s="1" t="s">
        <v>2936</v>
      </c>
      <c r="D2408" s="1" t="s">
        <v>32</v>
      </c>
      <c r="E2408" s="12">
        <f>F2408</f>
        <v>7.6920000000000001E-3</v>
      </c>
      <c r="F2408" s="12">
        <f>Systems!T124</f>
        <v>7.6920000000000001E-3</v>
      </c>
      <c r="G2408" s="1" t="s">
        <v>33</v>
      </c>
      <c r="H2408" s="1" t="s">
        <v>464</v>
      </c>
    </row>
    <row r="2409" spans="1:8" ht="16.5">
      <c r="A2409" s="1" t="s">
        <v>2630</v>
      </c>
      <c r="B2409" s="1" t="s">
        <v>26</v>
      </c>
      <c r="C2409" s="1" t="s">
        <v>2936</v>
      </c>
      <c r="D2409" s="1" t="s">
        <v>32</v>
      </c>
      <c r="E2409" s="12">
        <f>4*F2409</f>
        <v>3.0768E-2</v>
      </c>
      <c r="F2409" s="12">
        <f>Systems!T124</f>
        <v>7.6920000000000001E-3</v>
      </c>
      <c r="G2409" s="1" t="s">
        <v>33</v>
      </c>
      <c r="H2409" s="1" t="s">
        <v>464</v>
      </c>
    </row>
    <row r="2410" spans="1:8" ht="16.5">
      <c r="A2410" s="1" t="s">
        <v>2732</v>
      </c>
      <c r="B2410" s="1" t="s">
        <v>26</v>
      </c>
      <c r="C2410" s="1" t="s">
        <v>2936</v>
      </c>
      <c r="D2410" s="1" t="s">
        <v>32</v>
      </c>
      <c r="E2410" s="12">
        <f>16*F2410</f>
        <v>0.123072</v>
      </c>
      <c r="F2410" s="12">
        <f>Systems!T124</f>
        <v>7.6920000000000001E-3</v>
      </c>
      <c r="G2410" s="1" t="s">
        <v>33</v>
      </c>
      <c r="H2410" s="1" t="s">
        <v>464</v>
      </c>
    </row>
    <row r="2411" spans="1:8" ht="16.5">
      <c r="A2411" s="24" t="s">
        <v>890</v>
      </c>
      <c r="B2411" s="19" t="s">
        <v>26</v>
      </c>
      <c r="C2411" s="1" t="s">
        <v>2935</v>
      </c>
      <c r="D2411" s="1" t="s">
        <v>32</v>
      </c>
      <c r="E2411" s="21">
        <f>F2411</f>
        <v>6.2497499999999997E-2</v>
      </c>
      <c r="F2411" s="21">
        <f>Systems!P124</f>
        <v>6.2497499999999997E-2</v>
      </c>
      <c r="G2411" s="1" t="s">
        <v>33</v>
      </c>
      <c r="H2411" s="19" t="s">
        <v>464</v>
      </c>
    </row>
    <row r="2412" spans="1:8" ht="16.5">
      <c r="A2412" s="1" t="s">
        <v>1310</v>
      </c>
      <c r="B2412" s="1" t="s">
        <v>26</v>
      </c>
      <c r="C2412" s="1" t="s">
        <v>2935</v>
      </c>
      <c r="D2412" s="1" t="s">
        <v>32</v>
      </c>
      <c r="E2412" s="12">
        <f>F2412/24</f>
        <v>2.6040625E-3</v>
      </c>
      <c r="F2412" s="12">
        <f>Systems!P124</f>
        <v>6.2497499999999997E-2</v>
      </c>
      <c r="G2412" s="1" t="s">
        <v>33</v>
      </c>
      <c r="H2412" s="1" t="s">
        <v>464</v>
      </c>
    </row>
    <row r="2413" spans="1:8" ht="16.5">
      <c r="A2413" s="1" t="s">
        <v>1678</v>
      </c>
      <c r="B2413" s="1" t="s">
        <v>26</v>
      </c>
      <c r="C2413" s="1" t="s">
        <v>2935</v>
      </c>
      <c r="D2413" s="1" t="s">
        <v>32</v>
      </c>
      <c r="E2413" s="12">
        <f>50*F2413/71</f>
        <v>4.4012323943661967E-2</v>
      </c>
      <c r="F2413" s="12">
        <f>Systems!P124</f>
        <v>6.2497499999999997E-2</v>
      </c>
      <c r="G2413" s="1" t="s">
        <v>33</v>
      </c>
      <c r="H2413" s="1" t="s">
        <v>464</v>
      </c>
    </row>
    <row r="2414" spans="1:8" ht="16.5">
      <c r="A2414" s="1" t="s">
        <v>1689</v>
      </c>
      <c r="B2414" s="1" t="s">
        <v>26</v>
      </c>
      <c r="C2414" s="1" t="s">
        <v>2935</v>
      </c>
      <c r="D2414" s="1" t="s">
        <v>32</v>
      </c>
      <c r="E2414" s="12">
        <f>F2414/5</f>
        <v>1.24995E-2</v>
      </c>
      <c r="F2414" s="12">
        <f>Systems!P124</f>
        <v>6.2497499999999997E-2</v>
      </c>
      <c r="G2414" s="1" t="s">
        <v>33</v>
      </c>
      <c r="H2414" s="1" t="s">
        <v>464</v>
      </c>
    </row>
    <row r="2415" spans="1:8">
      <c r="A2415" s="1" t="s">
        <v>851</v>
      </c>
      <c r="B2415" s="1" t="s">
        <v>26</v>
      </c>
      <c r="C2415" s="1" t="s">
        <v>17</v>
      </c>
      <c r="D2415" s="1" t="s">
        <v>20</v>
      </c>
      <c r="E2415" s="12">
        <f>100*F2415</f>
        <v>51.28</v>
      </c>
      <c r="F2415" s="12">
        <f>Systems!L124</f>
        <v>0.51280000000000003</v>
      </c>
      <c r="G2415" s="1" t="s">
        <v>23</v>
      </c>
      <c r="H2415" s="1" t="s">
        <v>464</v>
      </c>
    </row>
    <row r="2416" spans="1:8">
      <c r="A2416" s="1" t="s">
        <v>1551</v>
      </c>
      <c r="B2416" s="1" t="s">
        <v>26</v>
      </c>
      <c r="C2416" s="1" t="s">
        <v>17</v>
      </c>
      <c r="D2416" s="1" t="s">
        <v>20</v>
      </c>
      <c r="E2416" s="12">
        <f>F2416/160</f>
        <v>3.2050000000000004E-3</v>
      </c>
      <c r="F2416" s="12">
        <f>Systems!L124</f>
        <v>0.51280000000000003</v>
      </c>
      <c r="G2416" s="1" t="s">
        <v>23</v>
      </c>
      <c r="H2416" s="1" t="s">
        <v>464</v>
      </c>
    </row>
    <row r="2417" spans="1:8">
      <c r="A2417" s="1" t="s">
        <v>1833</v>
      </c>
      <c r="B2417" s="1" t="s">
        <v>26</v>
      </c>
      <c r="C2417" s="1" t="s">
        <v>17</v>
      </c>
      <c r="D2417" s="1" t="s">
        <v>20</v>
      </c>
      <c r="E2417" s="12">
        <f>F2417/2560</f>
        <v>2.0031250000000002E-4</v>
      </c>
      <c r="F2417" s="12">
        <f>Systems!L124</f>
        <v>0.51280000000000003</v>
      </c>
      <c r="G2417" s="1" t="s">
        <v>23</v>
      </c>
      <c r="H2417" s="1" t="s">
        <v>464</v>
      </c>
    </row>
    <row r="2418" spans="1:8">
      <c r="A2418" s="1" t="s">
        <v>2033</v>
      </c>
      <c r="B2418" s="1" t="s">
        <v>26</v>
      </c>
      <c r="C2418" s="1" t="s">
        <v>17</v>
      </c>
      <c r="D2418" s="1" t="s">
        <v>20</v>
      </c>
      <c r="E2418" s="12">
        <f>42*F2418</f>
        <v>21.537600000000001</v>
      </c>
      <c r="F2418" s="12">
        <f>Systems!L124</f>
        <v>0.51280000000000003</v>
      </c>
      <c r="G2418" s="1" t="s">
        <v>23</v>
      </c>
      <c r="H2418" s="1" t="s">
        <v>464</v>
      </c>
    </row>
    <row r="2419" spans="1:8">
      <c r="A2419" s="1" t="s">
        <v>2056</v>
      </c>
      <c r="B2419" s="1" t="s">
        <v>26</v>
      </c>
      <c r="C2419" s="1" t="s">
        <v>17</v>
      </c>
      <c r="D2419" s="1" t="s">
        <v>20</v>
      </c>
      <c r="E2419" s="12">
        <f>10*F2419/1077</f>
        <v>4.7613741875580312E-3</v>
      </c>
      <c r="F2419" s="12">
        <f>Systems!L124</f>
        <v>0.51280000000000003</v>
      </c>
      <c r="G2419" s="1" t="s">
        <v>23</v>
      </c>
      <c r="H2419" s="1" t="s">
        <v>464</v>
      </c>
    </row>
    <row r="2420" spans="1:8">
      <c r="A2420" s="1" t="s">
        <v>834</v>
      </c>
      <c r="B2420" s="8" t="s">
        <v>26</v>
      </c>
      <c r="C2420" s="1" t="s">
        <v>17</v>
      </c>
      <c r="D2420" s="1" t="s">
        <v>20</v>
      </c>
      <c r="E2420" s="12">
        <f>5*F2420/2</f>
        <v>1.282</v>
      </c>
      <c r="F2420" s="12">
        <f>Systems!L124</f>
        <v>0.51280000000000003</v>
      </c>
      <c r="G2420" s="1" t="s">
        <v>23</v>
      </c>
      <c r="H2420" s="1" t="s">
        <v>464</v>
      </c>
    </row>
    <row r="2421" spans="1:8">
      <c r="A2421" s="1" t="s">
        <v>828</v>
      </c>
      <c r="B2421" s="1" t="s">
        <v>26</v>
      </c>
      <c r="C2421" s="1" t="s">
        <v>17</v>
      </c>
      <c r="D2421" s="1" t="s">
        <v>20</v>
      </c>
      <c r="E2421" s="12">
        <f>F2421</f>
        <v>0.51280000000000003</v>
      </c>
      <c r="F2421" s="12">
        <f>Systems!L124</f>
        <v>0.51280000000000003</v>
      </c>
      <c r="G2421" s="1" t="s">
        <v>23</v>
      </c>
      <c r="H2421" s="1" t="s">
        <v>464</v>
      </c>
    </row>
    <row r="2422" spans="1:8">
      <c r="A2422" s="1" t="s">
        <v>2638</v>
      </c>
      <c r="B2422" s="1" t="s">
        <v>26</v>
      </c>
      <c r="C2422" s="1" t="s">
        <v>17</v>
      </c>
      <c r="D2422" s="1" t="s">
        <v>20</v>
      </c>
      <c r="E2422" s="12">
        <f>F2422/128</f>
        <v>4.0062500000000003E-3</v>
      </c>
      <c r="F2422" s="12">
        <f>Systems!L124</f>
        <v>0.51280000000000003</v>
      </c>
      <c r="G2422" s="1" t="s">
        <v>23</v>
      </c>
      <c r="H2422" s="1" t="s">
        <v>464</v>
      </c>
    </row>
    <row r="2423" spans="1:8">
      <c r="A2423" s="1" t="s">
        <v>2731</v>
      </c>
      <c r="B2423" s="1" t="s">
        <v>26</v>
      </c>
      <c r="C2423" s="1" t="s">
        <v>17</v>
      </c>
      <c r="D2423" s="1" t="s">
        <v>20</v>
      </c>
      <c r="E2423" s="12">
        <f>F2423/16</f>
        <v>3.2050000000000002E-2</v>
      </c>
      <c r="F2423" s="12">
        <f>Systems!L124</f>
        <v>0.51280000000000003</v>
      </c>
      <c r="G2423" s="1" t="s">
        <v>23</v>
      </c>
      <c r="H2423" s="1" t="s">
        <v>464</v>
      </c>
    </row>
    <row r="2424" spans="1:8">
      <c r="A2424" s="248"/>
      <c r="B2424" s="248"/>
      <c r="C2424" s="248"/>
      <c r="D2424" s="248"/>
      <c r="E2424" s="250"/>
      <c r="F2424" s="250"/>
      <c r="G2424" s="248"/>
      <c r="H2424" s="248"/>
    </row>
    <row r="2425" spans="1:8" ht="16.5">
      <c r="A2425" s="1" t="s">
        <v>2005</v>
      </c>
      <c r="B2425" s="1" t="s">
        <v>26</v>
      </c>
      <c r="C2425" s="1" t="s">
        <v>2935</v>
      </c>
      <c r="D2425" s="1" t="s">
        <v>32</v>
      </c>
      <c r="E2425" s="12">
        <f>191*F2425</f>
        <v>0.19100000000000006</v>
      </c>
      <c r="F2425" s="12">
        <f>POWER('Physical Definitions'!E25,3)</f>
        <v>1.0000000000000002E-3</v>
      </c>
      <c r="G2425" s="1" t="s">
        <v>33</v>
      </c>
      <c r="H2425" s="1" t="s">
        <v>551</v>
      </c>
    </row>
    <row r="2426" spans="1:8">
      <c r="A2426" s="248"/>
      <c r="B2426" s="248"/>
      <c r="C2426" s="248"/>
      <c r="D2426" s="248"/>
      <c r="E2426" s="250"/>
      <c r="F2426" s="250"/>
      <c r="G2426" s="248"/>
      <c r="H2426" s="248"/>
    </row>
    <row r="2427" spans="1:8">
      <c r="A2427" s="336" t="s">
        <v>7099</v>
      </c>
      <c r="B2427" s="336" t="s">
        <v>26</v>
      </c>
      <c r="C2427" s="1" t="s">
        <v>3033</v>
      </c>
      <c r="D2427" s="336" t="s">
        <v>19</v>
      </c>
      <c r="E2427" s="337">
        <f>F2427</f>
        <v>6.479891E-4</v>
      </c>
      <c r="F2427" s="337">
        <f>Systems!L193</f>
        <v>6.479891E-4</v>
      </c>
      <c r="G2427" s="336" t="s">
        <v>14</v>
      </c>
      <c r="H2427" t="s">
        <v>7098</v>
      </c>
    </row>
    <row r="2428" spans="1:8" ht="16.5">
      <c r="A2428" s="336" t="s">
        <v>7101</v>
      </c>
      <c r="B2428" s="336" t="s">
        <v>26</v>
      </c>
      <c r="C2428" s="1" t="s">
        <v>3034</v>
      </c>
      <c r="D2428" s="1" t="s">
        <v>38</v>
      </c>
      <c r="E2428" s="337">
        <f>F2428</f>
        <v>1.3925982470560003</v>
      </c>
      <c r="F2428" s="337">
        <f>Systems!H193</f>
        <v>1.3925982470560003</v>
      </c>
      <c r="G2428" s="1" t="s">
        <v>39</v>
      </c>
      <c r="H2428" t="s">
        <v>7098</v>
      </c>
    </row>
    <row r="2429" spans="1:8" ht="16.5">
      <c r="A2429" s="336" t="s">
        <v>7103</v>
      </c>
      <c r="B2429" s="336" t="s">
        <v>26</v>
      </c>
      <c r="C2429" s="1" t="s">
        <v>2936</v>
      </c>
      <c r="D2429" s="1" t="s">
        <v>32</v>
      </c>
      <c r="E2429" s="337">
        <f>F2429</f>
        <v>2.0015791854787841E-3</v>
      </c>
      <c r="F2429" s="337">
        <f>Systems!T193</f>
        <v>2.0015791854787841E-3</v>
      </c>
      <c r="G2429" s="1" t="s">
        <v>33</v>
      </c>
      <c r="H2429" t="s">
        <v>7098</v>
      </c>
    </row>
    <row r="2430" spans="1:8" ht="16.5">
      <c r="A2430" s="336" t="s">
        <v>7102</v>
      </c>
      <c r="B2430" s="336" t="s">
        <v>26</v>
      </c>
      <c r="C2430" s="1" t="s">
        <v>2935</v>
      </c>
      <c r="D2430" s="1" t="s">
        <v>32</v>
      </c>
      <c r="E2430" s="337">
        <f>F2430</f>
        <v>1.6433829097788333</v>
      </c>
      <c r="F2430" s="337">
        <f>Systems!P193</f>
        <v>1.6433829097788333</v>
      </c>
      <c r="G2430" s="1" t="s">
        <v>33</v>
      </c>
      <c r="H2430" t="s">
        <v>7098</v>
      </c>
    </row>
    <row r="2431" spans="1:8">
      <c r="A2431" s="336" t="s">
        <v>7100</v>
      </c>
      <c r="B2431" s="336" t="s">
        <v>26</v>
      </c>
      <c r="C2431" s="336" t="s">
        <v>17</v>
      </c>
      <c r="D2431" s="336" t="s">
        <v>20</v>
      </c>
      <c r="E2431" s="337">
        <f>F2431</f>
        <v>6.479891E-4</v>
      </c>
      <c r="F2431" s="337">
        <f>Systems!L193</f>
        <v>6.479891E-4</v>
      </c>
      <c r="G2431" s="336" t="s">
        <v>23</v>
      </c>
      <c r="H2431" t="s">
        <v>7098</v>
      </c>
    </row>
    <row r="2432" spans="1:8">
      <c r="A2432" s="336" t="s">
        <v>7104</v>
      </c>
      <c r="B2432" s="336" t="s">
        <v>26</v>
      </c>
      <c r="C2432" s="336" t="s">
        <v>17</v>
      </c>
      <c r="D2432" s="336" t="s">
        <v>20</v>
      </c>
      <c r="E2432" s="337">
        <f>3*F2432</f>
        <v>1.9439673000000001E-3</v>
      </c>
      <c r="F2432" s="337">
        <f>Systems!L193</f>
        <v>6.479891E-4</v>
      </c>
      <c r="G2432" s="336" t="s">
        <v>23</v>
      </c>
      <c r="H2432" t="s">
        <v>7098</v>
      </c>
    </row>
    <row r="2433" spans="1:8">
      <c r="A2433" s="336" t="s">
        <v>7105</v>
      </c>
      <c r="B2433" s="336" t="s">
        <v>26</v>
      </c>
      <c r="C2433" s="336" t="s">
        <v>17</v>
      </c>
      <c r="D2433" s="336" t="s">
        <v>20</v>
      </c>
      <c r="E2433" s="337">
        <f>6*F2433</f>
        <v>3.8879346000000002E-3</v>
      </c>
      <c r="F2433" s="337">
        <f>Systems!L193</f>
        <v>6.479891E-4</v>
      </c>
      <c r="G2433" s="336" t="s">
        <v>23</v>
      </c>
      <c r="H2433" t="s">
        <v>7098</v>
      </c>
    </row>
    <row r="2434" spans="1:8">
      <c r="A2434" s="248"/>
      <c r="B2434" s="248"/>
      <c r="C2434" s="248"/>
      <c r="D2434" s="248"/>
      <c r="E2434" s="250"/>
      <c r="F2434" s="250"/>
      <c r="G2434" s="248"/>
      <c r="H2434" s="248"/>
    </row>
    <row r="2435" spans="1:8">
      <c r="A2435" s="1" t="s">
        <v>2308</v>
      </c>
      <c r="B2435" s="1" t="s">
        <v>26</v>
      </c>
      <c r="C2435" s="1" t="s">
        <v>3033</v>
      </c>
      <c r="D2435" s="1" t="s">
        <v>19</v>
      </c>
      <c r="E2435" s="12">
        <f>F2435/96</f>
        <v>2.1750000000000002E-2</v>
      </c>
      <c r="F2435" s="12">
        <f>Systems!D125</f>
        <v>2.0880000000000001</v>
      </c>
      <c r="G2435" s="1" t="s">
        <v>14</v>
      </c>
      <c r="H2435" s="1" t="s">
        <v>463</v>
      </c>
    </row>
    <row r="2436" spans="1:8">
      <c r="A2436" s="1" t="s">
        <v>827</v>
      </c>
      <c r="B2436" s="1" t="s">
        <v>26</v>
      </c>
      <c r="C2436" s="1" t="s">
        <v>3033</v>
      </c>
      <c r="D2436" s="1" t="s">
        <v>19</v>
      </c>
      <c r="E2436" s="12">
        <f>F2436</f>
        <v>2.0880000000000001</v>
      </c>
      <c r="F2436" s="12">
        <f>Systems!D125</f>
        <v>2.0880000000000001</v>
      </c>
      <c r="G2436" s="1" t="s">
        <v>14</v>
      </c>
      <c r="H2436" s="1" t="s">
        <v>463</v>
      </c>
    </row>
    <row r="2437" spans="1:8">
      <c r="A2437" s="1" t="s">
        <v>1619</v>
      </c>
      <c r="B2437" s="1" t="s">
        <v>26</v>
      </c>
      <c r="C2437" s="1" t="s">
        <v>3033</v>
      </c>
      <c r="D2437" s="1" t="s">
        <v>19</v>
      </c>
      <c r="E2437" s="12">
        <f>F2437/16</f>
        <v>0.1305</v>
      </c>
      <c r="F2437" s="12">
        <f>Systems!D125</f>
        <v>2.0880000000000001</v>
      </c>
      <c r="G2437" s="1" t="s">
        <v>14</v>
      </c>
      <c r="H2437" s="1" t="s">
        <v>463</v>
      </c>
    </row>
    <row r="2438" spans="1:8">
      <c r="A2438" s="1" t="s">
        <v>2215</v>
      </c>
      <c r="B2438" s="1" t="s">
        <v>26</v>
      </c>
      <c r="C2438" s="1" t="s">
        <v>3033</v>
      </c>
      <c r="D2438" s="1" t="s">
        <v>19</v>
      </c>
      <c r="E2438" s="12">
        <f>F2438/8</f>
        <v>0.26100000000000001</v>
      </c>
      <c r="F2438" s="12">
        <f>Systems!D125</f>
        <v>2.0880000000000001</v>
      </c>
      <c r="G2438" s="1" t="s">
        <v>14</v>
      </c>
      <c r="H2438" s="1" t="s">
        <v>463</v>
      </c>
    </row>
    <row r="2439" spans="1:8">
      <c r="A2439" s="1" t="s">
        <v>2326</v>
      </c>
      <c r="B2439" s="1" t="s">
        <v>26</v>
      </c>
      <c r="C2439" s="1" t="s">
        <v>3033</v>
      </c>
      <c r="D2439" s="1" t="s">
        <v>19</v>
      </c>
      <c r="E2439" s="12">
        <f>F2439</f>
        <v>2.0880000000000001</v>
      </c>
      <c r="F2439" s="12">
        <f>Systems!D125</f>
        <v>2.0880000000000001</v>
      </c>
      <c r="G2439" s="1" t="s">
        <v>14</v>
      </c>
      <c r="H2439" s="1" t="s">
        <v>463</v>
      </c>
    </row>
    <row r="2440" spans="1:8">
      <c r="A2440" s="1" t="s">
        <v>2798</v>
      </c>
      <c r="B2440" s="1" t="s">
        <v>26</v>
      </c>
      <c r="C2440" s="1" t="s">
        <v>3033</v>
      </c>
      <c r="D2440" s="1" t="s">
        <v>19</v>
      </c>
      <c r="E2440" s="12">
        <f>F2440/8</f>
        <v>0.26100000000000001</v>
      </c>
      <c r="F2440" s="12">
        <f>Systems!D125</f>
        <v>2.0880000000000001</v>
      </c>
      <c r="G2440" s="1" t="s">
        <v>14</v>
      </c>
      <c r="H2440" s="1" t="s">
        <v>463</v>
      </c>
    </row>
    <row r="2441" spans="1:8" ht="16.5">
      <c r="A2441" s="1" t="s">
        <v>4996</v>
      </c>
      <c r="B2441" s="1" t="s">
        <v>26</v>
      </c>
      <c r="C2441" s="1" t="s">
        <v>3034</v>
      </c>
      <c r="D2441" s="1" t="s">
        <v>38</v>
      </c>
      <c r="E2441" s="12">
        <f>F2441/256</f>
        <v>1.703025E-2</v>
      </c>
      <c r="F2441" s="12">
        <f>Systems!H125</f>
        <v>4.3597440000000001</v>
      </c>
      <c r="G2441" s="1" t="s">
        <v>39</v>
      </c>
      <c r="H2441" s="1" t="s">
        <v>463</v>
      </c>
    </row>
    <row r="2442" spans="1:8" ht="16.5">
      <c r="A2442" s="1" t="s">
        <v>1822</v>
      </c>
      <c r="B2442" s="1" t="s">
        <v>26</v>
      </c>
      <c r="C2442" s="1" t="s">
        <v>3034</v>
      </c>
      <c r="D2442" s="1" t="s">
        <v>38</v>
      </c>
      <c r="E2442" s="12">
        <f>256*F2442/60</f>
        <v>18.601574400000001</v>
      </c>
      <c r="F2442" s="12">
        <f>Systems!H125</f>
        <v>4.3597440000000001</v>
      </c>
      <c r="G2442" s="1" t="s">
        <v>39</v>
      </c>
      <c r="H2442" s="1" t="s">
        <v>463</v>
      </c>
    </row>
    <row r="2443" spans="1:8" ht="16.5">
      <c r="A2443" s="1" t="s">
        <v>2095</v>
      </c>
      <c r="B2443" s="1" t="s">
        <v>26</v>
      </c>
      <c r="C2443" s="1" t="s">
        <v>3034</v>
      </c>
      <c r="D2443" s="1" t="s">
        <v>38</v>
      </c>
      <c r="E2443" s="12">
        <f>4096*F2443</f>
        <v>17857.511424</v>
      </c>
      <c r="F2443" s="12">
        <f>Systems!H125</f>
        <v>4.3597440000000001</v>
      </c>
      <c r="G2443" s="1" t="s">
        <v>39</v>
      </c>
      <c r="H2443" s="1" t="s">
        <v>463</v>
      </c>
    </row>
    <row r="2444" spans="1:8" ht="16.5">
      <c r="A2444" s="1" t="s">
        <v>4997</v>
      </c>
      <c r="B2444" s="1" t="s">
        <v>26</v>
      </c>
      <c r="C2444" s="1" t="s">
        <v>3034</v>
      </c>
      <c r="D2444" s="1" t="s">
        <v>38</v>
      </c>
      <c r="E2444" s="12">
        <f>F2444/9216</f>
        <v>4.7306250000000001E-4</v>
      </c>
      <c r="F2444" s="12">
        <f>Systems!H125</f>
        <v>4.3597440000000001</v>
      </c>
      <c r="G2444" s="1" t="s">
        <v>39</v>
      </c>
      <c r="H2444" s="1" t="s">
        <v>463</v>
      </c>
    </row>
    <row r="2445" spans="1:8" ht="16.5">
      <c r="A2445" s="1" t="s">
        <v>4998</v>
      </c>
      <c r="B2445" s="1" t="s">
        <v>26</v>
      </c>
      <c r="C2445" s="1" t="s">
        <v>3034</v>
      </c>
      <c r="D2445" s="1" t="s">
        <v>38</v>
      </c>
      <c r="E2445" s="12">
        <f>F2445</f>
        <v>4.3597440000000001</v>
      </c>
      <c r="F2445" s="12">
        <f>Systems!H125</f>
        <v>4.3597440000000001</v>
      </c>
      <c r="G2445" s="1" t="s">
        <v>39</v>
      </c>
      <c r="H2445" s="1" t="s">
        <v>463</v>
      </c>
    </row>
    <row r="2446" spans="1:8" ht="16.5">
      <c r="A2446" s="1" t="s">
        <v>2515</v>
      </c>
      <c r="B2446" s="1" t="s">
        <v>26</v>
      </c>
      <c r="C2446" s="1" t="s">
        <v>3034</v>
      </c>
      <c r="D2446" s="1" t="s">
        <v>38</v>
      </c>
      <c r="E2446" s="12">
        <f>256*F2446/6</f>
        <v>186.01574400000001</v>
      </c>
      <c r="F2446" s="12">
        <f>Systems!H125</f>
        <v>4.3597440000000001</v>
      </c>
      <c r="G2446" s="1" t="s">
        <v>39</v>
      </c>
      <c r="H2446" s="1" t="s">
        <v>463</v>
      </c>
    </row>
    <row r="2447" spans="1:8" ht="16.5">
      <c r="A2447" s="1" t="s">
        <v>1010</v>
      </c>
      <c r="B2447" s="1" t="s">
        <v>26</v>
      </c>
      <c r="C2447" s="1" t="s">
        <v>3034</v>
      </c>
      <c r="D2447" s="1" t="s">
        <v>38</v>
      </c>
      <c r="E2447" s="12">
        <f>256*F2447</f>
        <v>1116.094464</v>
      </c>
      <c r="F2447" s="12">
        <f>Systems!H125</f>
        <v>4.3597440000000001</v>
      </c>
      <c r="G2447" s="1" t="s">
        <v>39</v>
      </c>
      <c r="H2447" s="1" t="s">
        <v>463</v>
      </c>
    </row>
    <row r="2448" spans="1:8" ht="16.5">
      <c r="A2448" s="1" t="s">
        <v>2791</v>
      </c>
      <c r="B2448" s="1" t="s">
        <v>26</v>
      </c>
      <c r="C2448" s="1" t="s">
        <v>3034</v>
      </c>
      <c r="D2448" s="1" t="s">
        <v>38</v>
      </c>
      <c r="E2448" s="12">
        <f>1024*F2448</f>
        <v>4464.3778560000001</v>
      </c>
      <c r="F2448" s="12">
        <f>Systems!H125</f>
        <v>4.3597440000000001</v>
      </c>
      <c r="G2448" s="1" t="s">
        <v>39</v>
      </c>
      <c r="H2448" s="1" t="s">
        <v>463</v>
      </c>
    </row>
    <row r="2449" spans="1:8" ht="16.5">
      <c r="A2449" s="1" t="s">
        <v>4999</v>
      </c>
      <c r="B2449" s="1" t="s">
        <v>26</v>
      </c>
      <c r="C2449" s="1" t="s">
        <v>3034</v>
      </c>
      <c r="D2449" s="1" t="s">
        <v>38</v>
      </c>
      <c r="E2449" s="12">
        <f>F2449/64</f>
        <v>6.8121000000000001E-2</v>
      </c>
      <c r="F2449" s="12">
        <f>Systems!H125</f>
        <v>4.3597440000000001</v>
      </c>
      <c r="G2449" s="1" t="s">
        <v>39</v>
      </c>
      <c r="H2449" s="1" t="s">
        <v>463</v>
      </c>
    </row>
    <row r="2450" spans="1:8" ht="16.5">
      <c r="A2450" s="1" t="s">
        <v>5000</v>
      </c>
      <c r="B2450" s="1" t="s">
        <v>26</v>
      </c>
      <c r="C2450" s="1" t="s">
        <v>2936</v>
      </c>
      <c r="D2450" s="1" t="s">
        <v>32</v>
      </c>
      <c r="E2450" s="12">
        <f>F2450/4096</f>
        <v>2.2224476250000003E-3</v>
      </c>
      <c r="F2450" s="12">
        <f>POWER(Systems!D125,3)</f>
        <v>9.1031454720000013</v>
      </c>
      <c r="G2450" s="1" t="s">
        <v>33</v>
      </c>
      <c r="H2450" s="1" t="s">
        <v>463</v>
      </c>
    </row>
    <row r="2451" spans="1:8" ht="16.5">
      <c r="A2451" s="1" t="s">
        <v>1671</v>
      </c>
      <c r="B2451" s="1" t="s">
        <v>26</v>
      </c>
      <c r="C2451" s="1" t="s">
        <v>2936</v>
      </c>
      <c r="D2451" s="1" t="s">
        <v>32</v>
      </c>
      <c r="E2451" s="12">
        <f>F2451/6</f>
        <v>3.0307279999999999E-3</v>
      </c>
      <c r="F2451" s="12">
        <f>Systems!T125</f>
        <v>1.8184367999999999E-2</v>
      </c>
      <c r="G2451" s="1" t="s">
        <v>33</v>
      </c>
      <c r="H2451" s="1" t="s">
        <v>463</v>
      </c>
    </row>
    <row r="2452" spans="1:8" ht="16.5">
      <c r="A2452" s="1" t="s">
        <v>1822</v>
      </c>
      <c r="B2452" s="1" t="s">
        <v>26</v>
      </c>
      <c r="C2452" s="1" t="s">
        <v>2936</v>
      </c>
      <c r="D2452" s="1" t="s">
        <v>32</v>
      </c>
      <c r="E2452" s="12">
        <f>F2452/60</f>
        <v>3.0307279999999999E-4</v>
      </c>
      <c r="F2452" s="12">
        <f>Systems!T125</f>
        <v>1.8184367999999999E-2</v>
      </c>
      <c r="G2452" s="1" t="s">
        <v>33</v>
      </c>
      <c r="H2452" s="1" t="s">
        <v>463</v>
      </c>
    </row>
    <row r="2453" spans="1:8" ht="16.5">
      <c r="A2453" s="1" t="s">
        <v>1991</v>
      </c>
      <c r="B2453" s="1" t="s">
        <v>26</v>
      </c>
      <c r="C2453" s="1" t="s">
        <v>2936</v>
      </c>
      <c r="D2453" s="1" t="s">
        <v>32</v>
      </c>
      <c r="E2453" s="12">
        <f>F2453/600</f>
        <v>3.0307279999999999E-5</v>
      </c>
      <c r="F2453" s="12">
        <f>Systems!T125</f>
        <v>1.8184367999999999E-2</v>
      </c>
      <c r="G2453" s="1" t="s">
        <v>33</v>
      </c>
      <c r="H2453" s="1" t="s">
        <v>463</v>
      </c>
    </row>
    <row r="2454" spans="1:8" ht="16.5">
      <c r="A2454" s="1" t="s">
        <v>2095</v>
      </c>
      <c r="B2454" s="1" t="s">
        <v>26</v>
      </c>
      <c r="C2454" s="1" t="s">
        <v>2936</v>
      </c>
      <c r="D2454" s="1" t="s">
        <v>32</v>
      </c>
      <c r="E2454" s="12">
        <f>16*F2454</f>
        <v>0.29094988799999999</v>
      </c>
      <c r="F2454" s="12">
        <f>Systems!T125</f>
        <v>1.8184367999999999E-2</v>
      </c>
      <c r="G2454" s="1" t="s">
        <v>33</v>
      </c>
      <c r="H2454" s="1" t="s">
        <v>463</v>
      </c>
    </row>
    <row r="2455" spans="1:8" ht="16.5">
      <c r="A2455" s="1" t="s">
        <v>5001</v>
      </c>
      <c r="B2455" s="1" t="s">
        <v>26</v>
      </c>
      <c r="C2455" s="1" t="s">
        <v>2936</v>
      </c>
      <c r="D2455" s="1" t="s">
        <v>32</v>
      </c>
      <c r="E2455" s="12">
        <f>F2455/884736</f>
        <v>1.0289109375000001E-5</v>
      </c>
      <c r="F2455" s="12">
        <f>POWER(Systems!D125,3)</f>
        <v>9.1031454720000013</v>
      </c>
      <c r="G2455" s="1" t="s">
        <v>33</v>
      </c>
      <c r="H2455" s="1" t="s">
        <v>463</v>
      </c>
    </row>
    <row r="2456" spans="1:8" ht="16.5">
      <c r="A2456" s="1" t="s">
        <v>5002</v>
      </c>
      <c r="B2456" s="1" t="s">
        <v>26</v>
      </c>
      <c r="C2456" s="1" t="s">
        <v>2936</v>
      </c>
      <c r="D2456" s="1" t="s">
        <v>32</v>
      </c>
      <c r="E2456" s="12">
        <f>F2456</f>
        <v>9.1031454720000013</v>
      </c>
      <c r="F2456" s="12">
        <f>POWER(Systems!D125,3)</f>
        <v>9.1031454720000013</v>
      </c>
      <c r="G2456" s="1" t="s">
        <v>33</v>
      </c>
      <c r="H2456" s="1" t="s">
        <v>463</v>
      </c>
    </row>
    <row r="2457" spans="1:8" ht="16.5">
      <c r="A2457" s="1" t="s">
        <v>2515</v>
      </c>
      <c r="B2457" s="1" t="s">
        <v>26</v>
      </c>
      <c r="C2457" s="1" t="s">
        <v>2936</v>
      </c>
      <c r="D2457" s="1" t="s">
        <v>32</v>
      </c>
      <c r="E2457" s="12">
        <f>F2457/10</f>
        <v>1.8184367999999999E-3</v>
      </c>
      <c r="F2457" s="12">
        <f>Systems!T125</f>
        <v>1.8184367999999999E-2</v>
      </c>
      <c r="G2457" s="1" t="s">
        <v>33</v>
      </c>
      <c r="H2457" s="1" t="s">
        <v>463</v>
      </c>
    </row>
    <row r="2458" spans="1:8" ht="16.5">
      <c r="A2458" s="1" t="s">
        <v>1010</v>
      </c>
      <c r="B2458" s="1" t="s">
        <v>26</v>
      </c>
      <c r="C2458" s="1" t="s">
        <v>2936</v>
      </c>
      <c r="D2458" s="1" t="s">
        <v>32</v>
      </c>
      <c r="E2458" s="12">
        <f>F2458</f>
        <v>1.8184367999999999E-2</v>
      </c>
      <c r="F2458" s="12">
        <f>Systems!T125</f>
        <v>1.8184367999999999E-2</v>
      </c>
      <c r="G2458" s="1" t="s">
        <v>33</v>
      </c>
      <c r="H2458" s="1" t="s">
        <v>463</v>
      </c>
    </row>
    <row r="2459" spans="1:8" ht="16.5">
      <c r="A2459" s="1" t="s">
        <v>5003</v>
      </c>
      <c r="B2459" s="1" t="s">
        <v>26</v>
      </c>
      <c r="C2459" s="1" t="s">
        <v>2936</v>
      </c>
      <c r="D2459" s="1" t="s">
        <v>32</v>
      </c>
      <c r="E2459" s="12">
        <f>F2459/512</f>
        <v>1.7779581000000003E-2</v>
      </c>
      <c r="F2459" s="12">
        <f>POWER(Systems!D125,3)</f>
        <v>9.1031454720000013</v>
      </c>
      <c r="G2459" s="1" t="s">
        <v>33</v>
      </c>
      <c r="H2459" s="1" t="s">
        <v>463</v>
      </c>
    </row>
    <row r="2460" spans="1:8" ht="16.5">
      <c r="A2460" s="22" t="s">
        <v>830</v>
      </c>
      <c r="B2460" s="19" t="s">
        <v>26</v>
      </c>
      <c r="C2460" s="1" t="s">
        <v>2935</v>
      </c>
      <c r="D2460" s="1" t="s">
        <v>32</v>
      </c>
      <c r="E2460" s="21">
        <f>F2460</f>
        <v>43.161999999999999</v>
      </c>
      <c r="F2460" s="21">
        <f>Systems!P126</f>
        <v>43.161999999999999</v>
      </c>
      <c r="G2460" s="1" t="s">
        <v>33</v>
      </c>
      <c r="H2460" s="1" t="s">
        <v>463</v>
      </c>
    </row>
    <row r="2461" spans="1:8" ht="16.5">
      <c r="A2461" s="1" t="s">
        <v>1261</v>
      </c>
      <c r="B2461" s="1" t="s">
        <v>26</v>
      </c>
      <c r="C2461" s="1" t="s">
        <v>2935</v>
      </c>
      <c r="D2461" s="1" t="s">
        <v>32</v>
      </c>
      <c r="E2461" s="12">
        <f>F2461/1000</f>
        <v>4.3161999999999999E-2</v>
      </c>
      <c r="F2461" s="12">
        <f>Systems!P126</f>
        <v>43.161999999999999</v>
      </c>
      <c r="G2461" s="1" t="s">
        <v>33</v>
      </c>
      <c r="H2461" s="1" t="s">
        <v>463</v>
      </c>
    </row>
    <row r="2462" spans="1:8" ht="16.5">
      <c r="A2462" s="1" t="s">
        <v>831</v>
      </c>
      <c r="B2462" s="1" t="s">
        <v>26</v>
      </c>
      <c r="C2462" s="1" t="s">
        <v>2935</v>
      </c>
      <c r="D2462" s="1" t="s">
        <v>32</v>
      </c>
      <c r="E2462" s="12">
        <f>F2462</f>
        <v>20.457000000000001</v>
      </c>
      <c r="F2462" s="12">
        <f>Systems!P127</f>
        <v>20.457000000000001</v>
      </c>
      <c r="G2462" s="1" t="s">
        <v>33</v>
      </c>
      <c r="H2462" s="1" t="s">
        <v>463</v>
      </c>
    </row>
    <row r="2463" spans="1:8" ht="16.5">
      <c r="A2463" s="1" t="s">
        <v>1657</v>
      </c>
      <c r="B2463" s="1" t="s">
        <v>26</v>
      </c>
      <c r="C2463" s="1" t="s">
        <v>2935</v>
      </c>
      <c r="D2463" s="1" t="s">
        <v>32</v>
      </c>
      <c r="E2463" s="12">
        <f>19*F2463/76000</f>
        <v>1.07905E-2</v>
      </c>
      <c r="F2463" s="12">
        <f>Systems!P126</f>
        <v>43.161999999999999</v>
      </c>
      <c r="G2463" s="1" t="s">
        <v>33</v>
      </c>
      <c r="H2463" s="1" t="s">
        <v>463</v>
      </c>
    </row>
    <row r="2464" spans="1:8" ht="16.5">
      <c r="A2464" s="1" t="s">
        <v>1812</v>
      </c>
      <c r="B2464" s="1" t="s">
        <v>26</v>
      </c>
      <c r="C2464" s="1" t="s">
        <v>2935</v>
      </c>
      <c r="D2464" s="1" t="s">
        <v>32</v>
      </c>
      <c r="E2464" s="12">
        <f>F2464/16000</f>
        <v>1.2785625E-3</v>
      </c>
      <c r="F2464" s="12">
        <f>Systems!P127</f>
        <v>20.457000000000001</v>
      </c>
      <c r="G2464" s="1" t="s">
        <v>33</v>
      </c>
      <c r="H2464" s="1" t="s">
        <v>463</v>
      </c>
    </row>
    <row r="2465" spans="1:8" ht="16.5">
      <c r="A2465" s="1" t="s">
        <v>5004</v>
      </c>
      <c r="B2465" s="1" t="s">
        <v>26</v>
      </c>
      <c r="C2465" s="1" t="s">
        <v>2935</v>
      </c>
      <c r="D2465" s="1" t="s">
        <v>32</v>
      </c>
      <c r="E2465" s="12">
        <f>F2465/38000</f>
        <v>1.135842105263158E-3</v>
      </c>
      <c r="F2465" s="12">
        <f>Systems!P126</f>
        <v>43.161999999999999</v>
      </c>
      <c r="G2465" s="1" t="s">
        <v>33</v>
      </c>
      <c r="H2465" s="1" t="s">
        <v>463</v>
      </c>
    </row>
    <row r="2466" spans="1:8" ht="16.5">
      <c r="A2466" s="1" t="s">
        <v>1822</v>
      </c>
      <c r="B2466" s="1" t="s">
        <v>26</v>
      </c>
      <c r="C2466" s="1" t="s">
        <v>2935</v>
      </c>
      <c r="D2466" s="1" t="s">
        <v>32</v>
      </c>
      <c r="E2466" s="12">
        <f>F2466/160000</f>
        <v>1.2785625000000001E-4</v>
      </c>
      <c r="F2466" s="12">
        <f>Systems!P127</f>
        <v>20.457000000000001</v>
      </c>
      <c r="G2466" s="1" t="s">
        <v>33</v>
      </c>
      <c r="H2466" s="1" t="s">
        <v>463</v>
      </c>
    </row>
    <row r="2467" spans="1:8" ht="16.5">
      <c r="A2467" s="1" t="s">
        <v>860</v>
      </c>
      <c r="B2467" s="1" t="s">
        <v>26</v>
      </c>
      <c r="C2467" s="1" t="s">
        <v>2935</v>
      </c>
      <c r="D2467" s="1" t="s">
        <v>32</v>
      </c>
      <c r="E2467" s="12">
        <f>F2467/4000</f>
        <v>5.1142499999999999E-3</v>
      </c>
      <c r="F2467" s="12">
        <f>Systems!P127</f>
        <v>20.457000000000001</v>
      </c>
      <c r="G2467" s="1" t="s">
        <v>33</v>
      </c>
      <c r="H2467" s="1" t="s">
        <v>463</v>
      </c>
    </row>
    <row r="2468" spans="1:8" ht="16.5">
      <c r="A2468" s="1" t="s">
        <v>5005</v>
      </c>
      <c r="B2468" s="1" t="s">
        <v>26</v>
      </c>
      <c r="C2468" s="1" t="s">
        <v>2935</v>
      </c>
      <c r="D2468" s="1" t="s">
        <v>32</v>
      </c>
      <c r="E2468" s="12">
        <f>19*F2468/152000</f>
        <v>5.3952499999999999E-3</v>
      </c>
      <c r="F2468" s="12">
        <f>Systems!P126</f>
        <v>43.161999999999999</v>
      </c>
      <c r="G2468" s="1" t="s">
        <v>33</v>
      </c>
      <c r="H2468" s="1" t="s">
        <v>463</v>
      </c>
    </row>
    <row r="2469" spans="1:8" ht="16.5">
      <c r="A2469" s="1" t="s">
        <v>1909</v>
      </c>
      <c r="B2469" s="1" t="s">
        <v>26</v>
      </c>
      <c r="C2469" s="1" t="s">
        <v>2935</v>
      </c>
      <c r="D2469" s="1" t="s">
        <v>32</v>
      </c>
      <c r="E2469" s="12">
        <f>F2469/640000</f>
        <v>3.1964062500000002E-5</v>
      </c>
      <c r="F2469" s="12">
        <f>Systems!P127</f>
        <v>20.457000000000001</v>
      </c>
      <c r="G2469" s="1" t="s">
        <v>33</v>
      </c>
      <c r="H2469" s="1" t="s">
        <v>463</v>
      </c>
    </row>
    <row r="2470" spans="1:8" ht="16.5">
      <c r="A2470" s="1" t="s">
        <v>5006</v>
      </c>
      <c r="B2470" s="1" t="s">
        <v>26</v>
      </c>
      <c r="C2470" s="1" t="s">
        <v>2935</v>
      </c>
      <c r="D2470" s="1" t="s">
        <v>32</v>
      </c>
      <c r="E2470" s="12">
        <f>F2470/76000</f>
        <v>5.6792105263157899E-4</v>
      </c>
      <c r="F2470" s="12">
        <f>Systems!P126</f>
        <v>43.161999999999999</v>
      </c>
      <c r="G2470" s="1" t="s">
        <v>33</v>
      </c>
      <c r="H2470" s="1" t="s">
        <v>463</v>
      </c>
    </row>
    <row r="2471" spans="1:8" ht="16.5">
      <c r="A2471" s="1" t="s">
        <v>2139</v>
      </c>
      <c r="B2471" s="1" t="s">
        <v>26</v>
      </c>
      <c r="C2471" s="1" t="s">
        <v>2935</v>
      </c>
      <c r="D2471" s="1" t="s">
        <v>32</v>
      </c>
      <c r="E2471" s="12">
        <f>F2471/32000</f>
        <v>6.3928124999999998E-4</v>
      </c>
      <c r="F2471" s="12">
        <f>Systems!P127</f>
        <v>20.457000000000001</v>
      </c>
      <c r="G2471" s="1" t="s">
        <v>33</v>
      </c>
      <c r="H2471" s="1" t="s">
        <v>463</v>
      </c>
    </row>
    <row r="2472" spans="1:8" ht="16.5">
      <c r="A2472" s="1" t="s">
        <v>814</v>
      </c>
      <c r="B2472" s="1" t="s">
        <v>26</v>
      </c>
      <c r="C2472" s="1" t="s">
        <v>2935</v>
      </c>
      <c r="D2472" s="1" t="s">
        <v>32</v>
      </c>
      <c r="E2472" s="12">
        <f>F2472/304000</f>
        <v>1.4198026315789475E-4</v>
      </c>
      <c r="F2472" s="12">
        <f>Systems!P126</f>
        <v>43.161999999999999</v>
      </c>
      <c r="G2472" s="1" t="s">
        <v>33</v>
      </c>
      <c r="H2472" s="1" t="s">
        <v>463</v>
      </c>
    </row>
    <row r="2473" spans="1:8" ht="16.5">
      <c r="A2473" s="1" t="s">
        <v>2320</v>
      </c>
      <c r="B2473" s="1" t="s">
        <v>26</v>
      </c>
      <c r="C2473" s="1" t="s">
        <v>2935</v>
      </c>
      <c r="D2473" s="1" t="s">
        <v>32</v>
      </c>
      <c r="E2473" s="12">
        <f>F2473/1000</f>
        <v>2.0456999999999999E-2</v>
      </c>
      <c r="F2473" s="12">
        <f>Systems!P127</f>
        <v>20.457000000000001</v>
      </c>
      <c r="G2473" s="1" t="s">
        <v>33</v>
      </c>
      <c r="H2473" s="1" t="s">
        <v>463</v>
      </c>
    </row>
    <row r="2474" spans="1:8" ht="16.5">
      <c r="A2474" s="1" t="s">
        <v>829</v>
      </c>
      <c r="B2474" s="1" t="s">
        <v>26</v>
      </c>
      <c r="C2474" s="1" t="s">
        <v>2935</v>
      </c>
      <c r="D2474" s="1" t="s">
        <v>32</v>
      </c>
      <c r="E2474" s="12">
        <f>F2474</f>
        <v>290.94400000000002</v>
      </c>
      <c r="F2474" s="12">
        <f>Systems!P125</f>
        <v>290.94400000000002</v>
      </c>
      <c r="G2474" s="1" t="s">
        <v>33</v>
      </c>
      <c r="H2474" s="1" t="s">
        <v>463</v>
      </c>
    </row>
    <row r="2475" spans="1:8" ht="16.5">
      <c r="A2475" s="1" t="s">
        <v>2640</v>
      </c>
      <c r="B2475" s="1" t="s">
        <v>26</v>
      </c>
      <c r="C2475" s="1" t="s">
        <v>2935</v>
      </c>
      <c r="D2475" s="1" t="s">
        <v>32</v>
      </c>
      <c r="E2475" s="12">
        <f>F2475/64000</f>
        <v>3.1964062499999999E-4</v>
      </c>
      <c r="F2475" s="12">
        <f>Systems!P127</f>
        <v>20.457000000000001</v>
      </c>
      <c r="G2475" s="1" t="s">
        <v>33</v>
      </c>
      <c r="H2475" s="1" t="s">
        <v>463</v>
      </c>
    </row>
    <row r="2476" spans="1:8" ht="16.5">
      <c r="A2476" s="1" t="s">
        <v>5007</v>
      </c>
      <c r="B2476" s="1" t="s">
        <v>26</v>
      </c>
      <c r="C2476" s="1" t="s">
        <v>2935</v>
      </c>
      <c r="D2476" s="1" t="s">
        <v>32</v>
      </c>
      <c r="E2476" s="12">
        <f>F2476/152000</f>
        <v>2.8396052631578949E-4</v>
      </c>
      <c r="F2476" s="12">
        <f>Systems!P126</f>
        <v>43.161999999999999</v>
      </c>
      <c r="G2476" s="1" t="s">
        <v>33</v>
      </c>
      <c r="H2476" s="1" t="s">
        <v>463</v>
      </c>
    </row>
    <row r="2477" spans="1:8">
      <c r="A2477" s="1" t="s">
        <v>1353</v>
      </c>
      <c r="B2477" s="1" t="s">
        <v>26</v>
      </c>
      <c r="C2477" s="1" t="s">
        <v>17</v>
      </c>
      <c r="D2477" s="1" t="s">
        <v>20</v>
      </c>
      <c r="E2477" s="12">
        <f>100*F2477</f>
        <v>79.379000000000005</v>
      </c>
      <c r="F2477" s="12">
        <f>Systems!L125</f>
        <v>0.79379</v>
      </c>
      <c r="G2477" s="1" t="s">
        <v>23</v>
      </c>
      <c r="H2477" s="1" t="s">
        <v>463</v>
      </c>
    </row>
    <row r="2478" spans="1:8">
      <c r="A2478" s="1" t="s">
        <v>1907</v>
      </c>
      <c r="B2478" s="1" t="s">
        <v>26</v>
      </c>
      <c r="C2478" s="1" t="s">
        <v>17</v>
      </c>
      <c r="D2478" s="1" t="s">
        <v>20</v>
      </c>
      <c r="E2478" s="12">
        <f>F2478/4</f>
        <v>0.1984475</v>
      </c>
      <c r="F2478" s="12">
        <f>Systems!L125</f>
        <v>0.79379</v>
      </c>
      <c r="G2478" s="1" t="s">
        <v>23</v>
      </c>
      <c r="H2478" s="1" t="s">
        <v>463</v>
      </c>
    </row>
    <row r="2479" spans="1:8">
      <c r="A2479" s="1" t="s">
        <v>5008</v>
      </c>
      <c r="B2479" s="1" t="s">
        <v>26</v>
      </c>
      <c r="C2479" s="1" t="s">
        <v>17</v>
      </c>
      <c r="D2479" s="1" t="s">
        <v>20</v>
      </c>
      <c r="E2479" s="12">
        <f>F2479/120</f>
        <v>6.6149166666666665E-3</v>
      </c>
      <c r="F2479" s="12">
        <f>Systems!L125</f>
        <v>0.79379</v>
      </c>
      <c r="G2479" s="1" t="s">
        <v>23</v>
      </c>
      <c r="H2479" s="1" t="s">
        <v>463</v>
      </c>
    </row>
    <row r="2480" spans="1:8">
      <c r="A2480" s="1" t="s">
        <v>822</v>
      </c>
      <c r="B2480" s="1" t="s">
        <v>26</v>
      </c>
      <c r="C2480" s="1" t="s">
        <v>17</v>
      </c>
      <c r="D2480" s="1" t="s">
        <v>20</v>
      </c>
      <c r="E2480" s="12">
        <f>4*F2480/7</f>
        <v>0.45359428571428573</v>
      </c>
      <c r="F2480" s="12">
        <f>Systems!L125</f>
        <v>0.79379</v>
      </c>
      <c r="G2480" s="1" t="s">
        <v>23</v>
      </c>
      <c r="H2480" s="1" t="s">
        <v>463</v>
      </c>
    </row>
    <row r="2481" spans="1:8">
      <c r="A2481" s="1" t="s">
        <v>2184</v>
      </c>
      <c r="B2481" s="1" t="s">
        <v>26</v>
      </c>
      <c r="C2481" s="1" t="s">
        <v>17</v>
      </c>
      <c r="D2481" s="1" t="s">
        <v>20</v>
      </c>
      <c r="E2481" s="12">
        <f>F2481/240</f>
        <v>3.3074583333333333E-3</v>
      </c>
      <c r="F2481" s="12">
        <f>Systems!L125</f>
        <v>0.79379</v>
      </c>
      <c r="G2481" s="1" t="s">
        <v>23</v>
      </c>
      <c r="H2481" s="1" t="s">
        <v>463</v>
      </c>
    </row>
    <row r="2482" spans="1:8">
      <c r="A2482" s="1" t="s">
        <v>957</v>
      </c>
      <c r="B2482" s="1" t="s">
        <v>26</v>
      </c>
      <c r="C2482" s="1" t="s">
        <v>17</v>
      </c>
      <c r="D2482" s="1" t="s">
        <v>20</v>
      </c>
      <c r="E2482" s="12">
        <f>F2482/28</f>
        <v>2.8349642857142858E-2</v>
      </c>
      <c r="F2482" s="12">
        <f>Systems!L125</f>
        <v>0.79379</v>
      </c>
      <c r="G2482" s="1" t="s">
        <v>23</v>
      </c>
      <c r="H2482" s="1" t="s">
        <v>463</v>
      </c>
    </row>
    <row r="2483" spans="1:8">
      <c r="A2483" s="1" t="s">
        <v>2231</v>
      </c>
      <c r="B2483" s="1" t="s">
        <v>26</v>
      </c>
      <c r="C2483" s="1" t="s">
        <v>17</v>
      </c>
      <c r="D2483" s="1" t="s">
        <v>20</v>
      </c>
      <c r="E2483" s="12">
        <f>F2483/448</f>
        <v>1.7718526785714286E-3</v>
      </c>
      <c r="F2483" s="12">
        <f>Systems!L125</f>
        <v>0.79379</v>
      </c>
      <c r="G2483" s="1" t="s">
        <v>23</v>
      </c>
      <c r="H2483" s="1" t="s">
        <v>463</v>
      </c>
    </row>
    <row r="2484" spans="1:8">
      <c r="A2484" s="1" t="s">
        <v>2253</v>
      </c>
      <c r="B2484" s="1" t="s">
        <v>26</v>
      </c>
      <c r="C2484" s="1" t="s">
        <v>17</v>
      </c>
      <c r="D2484" s="1" t="s">
        <v>20</v>
      </c>
      <c r="E2484" s="12">
        <f>300*F2484</f>
        <v>238.137</v>
      </c>
      <c r="F2484" s="12">
        <f>Systems!L125</f>
        <v>0.79379</v>
      </c>
      <c r="G2484" s="1" t="s">
        <v>23</v>
      </c>
      <c r="H2484" s="1" t="s">
        <v>463</v>
      </c>
    </row>
    <row r="2485" spans="1:8">
      <c r="A2485" s="1" t="s">
        <v>2322</v>
      </c>
      <c r="B2485" s="1" t="s">
        <v>26</v>
      </c>
      <c r="C2485" s="1" t="s">
        <v>17</v>
      </c>
      <c r="D2485" s="1" t="s">
        <v>20</v>
      </c>
      <c r="E2485" s="12">
        <f>100*F2485</f>
        <v>79.379000000000005</v>
      </c>
      <c r="F2485" s="12">
        <f>Systems!L125</f>
        <v>0.79379</v>
      </c>
      <c r="G2485" s="1" t="s">
        <v>23</v>
      </c>
      <c r="H2485" s="1" t="s">
        <v>463</v>
      </c>
    </row>
    <row r="2486" spans="1:8">
      <c r="A2486" s="1" t="s">
        <v>2330</v>
      </c>
      <c r="B2486" s="1" t="s">
        <v>26</v>
      </c>
      <c r="C2486" s="1" t="s">
        <v>17</v>
      </c>
      <c r="D2486" s="1" t="s">
        <v>20</v>
      </c>
      <c r="E2486" s="12">
        <f>5*F2486/4</f>
        <v>0.99223749999999999</v>
      </c>
      <c r="F2486" s="12">
        <f>Systems!L125</f>
        <v>0.79379</v>
      </c>
      <c r="G2486" s="1" t="s">
        <v>23</v>
      </c>
      <c r="H2486" s="1" t="s">
        <v>463</v>
      </c>
    </row>
    <row r="2487" spans="1:8">
      <c r="A2487" s="1" t="s">
        <v>2368</v>
      </c>
      <c r="B2487" s="1" t="s">
        <v>26</v>
      </c>
      <c r="C2487" s="1" t="s">
        <v>17</v>
      </c>
      <c r="D2487" s="1" t="s">
        <v>20</v>
      </c>
      <c r="E2487" s="12">
        <f>F2487</f>
        <v>0.79379</v>
      </c>
      <c r="F2487" s="12">
        <f>Systems!L125</f>
        <v>0.79379</v>
      </c>
      <c r="G2487" s="1" t="s">
        <v>23</v>
      </c>
      <c r="H2487" s="1" t="s">
        <v>463</v>
      </c>
    </row>
    <row r="2488" spans="1:8">
      <c r="A2488" s="1" t="s">
        <v>828</v>
      </c>
      <c r="B2488" s="1" t="s">
        <v>26</v>
      </c>
      <c r="C2488" s="1" t="s">
        <v>17</v>
      </c>
      <c r="D2488" s="1" t="s">
        <v>20</v>
      </c>
      <c r="E2488" s="12">
        <f>F2488</f>
        <v>0.79379</v>
      </c>
      <c r="F2488" s="12">
        <f>Systems!L125</f>
        <v>0.79379</v>
      </c>
      <c r="G2488" s="1" t="s">
        <v>23</v>
      </c>
      <c r="H2488" s="1" t="s">
        <v>463</v>
      </c>
    </row>
    <row r="2489" spans="1:8">
      <c r="A2489" s="1" t="s">
        <v>2745</v>
      </c>
      <c r="B2489" s="1" t="s">
        <v>26</v>
      </c>
      <c r="C2489" s="1" t="s">
        <v>17</v>
      </c>
      <c r="D2489" s="1" t="s">
        <v>20</v>
      </c>
      <c r="E2489" s="12">
        <f>F2489/30</f>
        <v>2.6459666666666666E-2</v>
      </c>
      <c r="F2489" s="12">
        <f>Systems!L125</f>
        <v>0.79379</v>
      </c>
      <c r="G2489" s="1" t="s">
        <v>23</v>
      </c>
      <c r="H2489" s="1" t="s">
        <v>463</v>
      </c>
    </row>
    <row r="2490" spans="1:8">
      <c r="A2490" s="1" t="s">
        <v>2794</v>
      </c>
      <c r="B2490" s="1" t="s">
        <v>26</v>
      </c>
      <c r="C2490" s="1" t="s">
        <v>17</v>
      </c>
      <c r="D2490" s="1" t="s">
        <v>20</v>
      </c>
      <c r="E2490" s="12">
        <f>5*F2490</f>
        <v>3.96895</v>
      </c>
      <c r="F2490" s="12">
        <f>Systems!L125</f>
        <v>0.79379</v>
      </c>
      <c r="G2490" s="1" t="s">
        <v>23</v>
      </c>
      <c r="H2490" s="1" t="s">
        <v>463</v>
      </c>
    </row>
    <row r="2491" spans="1:8">
      <c r="A2491" s="248"/>
      <c r="B2491" s="248"/>
      <c r="C2491" s="248"/>
      <c r="D2491" s="248"/>
      <c r="E2491" s="250"/>
      <c r="F2491" s="250"/>
      <c r="G2491" s="248"/>
      <c r="H2491" s="248"/>
    </row>
    <row r="2492" spans="1:8" ht="16.5">
      <c r="A2492" s="1" t="s">
        <v>948</v>
      </c>
      <c r="B2492" s="1" t="s">
        <v>26</v>
      </c>
      <c r="C2492" s="1" t="s">
        <v>2935</v>
      </c>
      <c r="D2492" s="1" t="s">
        <v>32</v>
      </c>
      <c r="E2492" s="12">
        <f>F2492</f>
        <v>0.22711000000000001</v>
      </c>
      <c r="F2492" s="12">
        <f>Systems!P128</f>
        <v>0.22711000000000001</v>
      </c>
      <c r="G2492" s="1" t="s">
        <v>33</v>
      </c>
      <c r="H2492" s="1" t="s">
        <v>497</v>
      </c>
    </row>
    <row r="2493" spans="1:8" ht="16.5">
      <c r="A2493" s="1" t="s">
        <v>2762</v>
      </c>
      <c r="B2493" s="1" t="s">
        <v>26</v>
      </c>
      <c r="C2493" s="1" t="s">
        <v>2935</v>
      </c>
      <c r="D2493" s="1" t="s">
        <v>32</v>
      </c>
      <c r="E2493" s="12">
        <f>F2493/30</f>
        <v>7.5703333333333334E-3</v>
      </c>
      <c r="F2493" s="12">
        <f>Systems!P128</f>
        <v>0.22711000000000001</v>
      </c>
      <c r="G2493" s="1" t="s">
        <v>33</v>
      </c>
      <c r="H2493" s="1" t="s">
        <v>497</v>
      </c>
    </row>
    <row r="2494" spans="1:8">
      <c r="A2494" s="248"/>
      <c r="B2494" s="248"/>
      <c r="C2494" s="248"/>
      <c r="D2494" s="248"/>
      <c r="E2494" s="250"/>
      <c r="F2494" s="250"/>
      <c r="G2494" s="248"/>
      <c r="H2494" s="248"/>
    </row>
    <row r="2495" spans="1:8">
      <c r="A2495" s="1" t="s">
        <v>1945</v>
      </c>
      <c r="B2495" s="1" t="s">
        <v>26</v>
      </c>
      <c r="C2495" s="1" t="s">
        <v>3033</v>
      </c>
      <c r="D2495" s="1" t="s">
        <v>19</v>
      </c>
      <c r="E2495" s="12">
        <f>5000*F2495</f>
        <v>4190</v>
      </c>
      <c r="F2495" s="12">
        <f>Systems!D129</f>
        <v>0.83799999999999997</v>
      </c>
      <c r="G2495" s="1" t="s">
        <v>14</v>
      </c>
      <c r="H2495" s="1" t="s">
        <v>438</v>
      </c>
    </row>
    <row r="2496" spans="1:8">
      <c r="A2496" s="1" t="s">
        <v>1964</v>
      </c>
      <c r="B2496" s="1" t="s">
        <v>26</v>
      </c>
      <c r="C2496" s="1" t="s">
        <v>3033</v>
      </c>
      <c r="D2496" s="1" t="s">
        <v>19</v>
      </c>
      <c r="E2496" s="12">
        <f>F2496/432</f>
        <v>1.9398148148148148E-3</v>
      </c>
      <c r="F2496" s="12">
        <f>Systems!D129</f>
        <v>0.83799999999999997</v>
      </c>
      <c r="G2496" s="1" t="s">
        <v>14</v>
      </c>
      <c r="H2496" s="1" t="s">
        <v>438</v>
      </c>
    </row>
    <row r="2497" spans="1:8">
      <c r="A2497" s="1" t="s">
        <v>2071</v>
      </c>
      <c r="B2497" s="1" t="s">
        <v>26</v>
      </c>
      <c r="C2497" s="1" t="s">
        <v>3033</v>
      </c>
      <c r="D2497" s="1" t="s">
        <v>19</v>
      </c>
      <c r="E2497" s="12">
        <f>5000*F2497/3</f>
        <v>1396.6666666666667</v>
      </c>
      <c r="F2497" s="12">
        <f>Systems!D129</f>
        <v>0.83799999999999997</v>
      </c>
      <c r="G2497" s="1" t="s">
        <v>14</v>
      </c>
      <c r="H2497" s="1" t="s">
        <v>438</v>
      </c>
    </row>
    <row r="2498" spans="1:8">
      <c r="A2498" s="1" t="s">
        <v>933</v>
      </c>
      <c r="B2498" s="1" t="s">
        <v>26</v>
      </c>
      <c r="C2498" s="1" t="s">
        <v>3033</v>
      </c>
      <c r="D2498" s="1" t="s">
        <v>19</v>
      </c>
      <c r="E2498" s="12">
        <f>F2498/3</f>
        <v>0.27933333333333332</v>
      </c>
      <c r="F2498" s="12">
        <f>Systems!D129</f>
        <v>0.83799999999999997</v>
      </c>
      <c r="G2498" s="1" t="s">
        <v>14</v>
      </c>
      <c r="H2498" s="1" t="s">
        <v>438</v>
      </c>
    </row>
    <row r="2499" spans="1:8">
      <c r="A2499" s="1" t="s">
        <v>2306</v>
      </c>
      <c r="B2499" s="1" t="s">
        <v>26</v>
      </c>
      <c r="C2499" s="1" t="s">
        <v>3033</v>
      </c>
      <c r="D2499" s="1" t="s">
        <v>19</v>
      </c>
      <c r="E2499" s="12">
        <f>F2499/36</f>
        <v>2.3277777777777776E-2</v>
      </c>
      <c r="F2499" s="12">
        <f>Systems!D129</f>
        <v>0.83799999999999997</v>
      </c>
      <c r="G2499" s="1" t="s">
        <v>14</v>
      </c>
      <c r="H2499" s="1" t="s">
        <v>438</v>
      </c>
    </row>
    <row r="2500" spans="1:8">
      <c r="A2500" s="1" t="s">
        <v>821</v>
      </c>
      <c r="B2500" s="1" t="s">
        <v>26</v>
      </c>
      <c r="C2500" s="1" t="s">
        <v>3033</v>
      </c>
      <c r="D2500" s="1" t="s">
        <v>19</v>
      </c>
      <c r="E2500" s="12">
        <f>F2500</f>
        <v>0.83799999999999997</v>
      </c>
      <c r="F2500" s="12">
        <f>Systems!D129</f>
        <v>0.83799999999999997</v>
      </c>
      <c r="G2500" s="1" t="s">
        <v>14</v>
      </c>
      <c r="H2500" s="1" t="s">
        <v>438</v>
      </c>
    </row>
    <row r="2501" spans="1:8" ht="16.5">
      <c r="A2501" s="1" t="s">
        <v>1332</v>
      </c>
      <c r="B2501" s="1" t="s">
        <v>26</v>
      </c>
      <c r="C2501" s="1" t="s">
        <v>3034</v>
      </c>
      <c r="D2501" s="1" t="s">
        <v>38</v>
      </c>
      <c r="E2501" s="12">
        <f>12*F2501</f>
        <v>427953.11155199993</v>
      </c>
      <c r="F2501" s="12">
        <f>Systems!H129</f>
        <v>35662.759295999997</v>
      </c>
      <c r="G2501" s="1" t="s">
        <v>39</v>
      </c>
      <c r="H2501" s="1" t="s">
        <v>438</v>
      </c>
    </row>
    <row r="2502" spans="1:8" ht="16.5">
      <c r="A2502" s="1" t="s">
        <v>823</v>
      </c>
      <c r="B2502" s="1" t="s">
        <v>26</v>
      </c>
      <c r="C2502" s="1" t="s">
        <v>3034</v>
      </c>
      <c r="D2502" s="1" t="s">
        <v>38</v>
      </c>
      <c r="E2502" s="12">
        <f>F2502</f>
        <v>35662.759295999997</v>
      </c>
      <c r="F2502" s="12">
        <f>Systems!H129</f>
        <v>35662.759295999997</v>
      </c>
      <c r="G2502" s="1" t="s">
        <v>39</v>
      </c>
      <c r="H2502" s="1" t="s">
        <v>438</v>
      </c>
    </row>
    <row r="2503" spans="1:8" ht="16.5">
      <c r="A2503" s="1" t="s">
        <v>1919</v>
      </c>
      <c r="B2503" s="1" t="s">
        <v>26</v>
      </c>
      <c r="C2503" s="1" t="s">
        <v>3034</v>
      </c>
      <c r="D2503" s="1" t="s">
        <v>38</v>
      </c>
      <c r="E2503" s="12">
        <f>18*F2503</f>
        <v>641929.66732799995</v>
      </c>
      <c r="F2503" s="12">
        <f>Systems!H129</f>
        <v>35662.759295999997</v>
      </c>
      <c r="G2503" s="1" t="s">
        <v>39</v>
      </c>
      <c r="H2503" s="1" t="s">
        <v>438</v>
      </c>
    </row>
    <row r="2504" spans="1:8" ht="16.5">
      <c r="A2504" s="1" t="s">
        <v>2522</v>
      </c>
      <c r="B2504" s="1" t="s">
        <v>26</v>
      </c>
      <c r="C2504" s="1" t="s">
        <v>3034</v>
      </c>
      <c r="D2504" s="1" t="s">
        <v>38</v>
      </c>
      <c r="E2504" s="12">
        <f>12307*F2504/25</f>
        <v>17556063.146234877</v>
      </c>
      <c r="F2504" s="12">
        <f>Systems!H129</f>
        <v>35662.759295999997</v>
      </c>
      <c r="G2504" s="1" t="s">
        <v>39</v>
      </c>
      <c r="H2504" s="1" t="s">
        <v>438</v>
      </c>
    </row>
    <row r="2505" spans="1:8" ht="16.5">
      <c r="A2505" s="1" t="s">
        <v>4513</v>
      </c>
      <c r="B2505" s="1" t="s">
        <v>26</v>
      </c>
      <c r="C2505" s="1" t="s">
        <v>3034</v>
      </c>
      <c r="D2505" s="1" t="s">
        <v>38</v>
      </c>
      <c r="E2505" s="12">
        <f>F2505</f>
        <v>0.70224399999999998</v>
      </c>
      <c r="F2505" s="12">
        <f>POWER(Systems!D129,2)</f>
        <v>0.70224399999999998</v>
      </c>
      <c r="G2505" s="1" t="s">
        <v>39</v>
      </c>
      <c r="H2505" s="1" t="s">
        <v>438</v>
      </c>
    </row>
    <row r="2506" spans="1:8" ht="16.5">
      <c r="A2506" s="1" t="s">
        <v>1185</v>
      </c>
      <c r="B2506" s="1" t="s">
        <v>26</v>
      </c>
      <c r="C2506" s="1" t="s">
        <v>2936</v>
      </c>
      <c r="D2506" s="1" t="s">
        <v>32</v>
      </c>
      <c r="E2506" s="12">
        <f>4*F2506</f>
        <v>7.5671999999999996E-3</v>
      </c>
      <c r="F2506" s="12">
        <f>Systems!T129</f>
        <v>1.8917999999999999E-3</v>
      </c>
      <c r="G2506" s="1" t="s">
        <v>33</v>
      </c>
      <c r="H2506" s="1" t="s">
        <v>438</v>
      </c>
    </row>
    <row r="2507" spans="1:8" ht="16.5">
      <c r="A2507" s="1" t="s">
        <v>825</v>
      </c>
      <c r="B2507" s="1" t="s">
        <v>26</v>
      </c>
      <c r="C2507" s="1" t="s">
        <v>2936</v>
      </c>
      <c r="D2507" s="1" t="s">
        <v>32</v>
      </c>
      <c r="E2507" s="12">
        <f>4*F2507</f>
        <v>7.5671999999999996E-3</v>
      </c>
      <c r="F2507" s="12">
        <f>Systems!T129</f>
        <v>1.8917999999999999E-3</v>
      </c>
      <c r="G2507" s="1" t="s">
        <v>33</v>
      </c>
      <c r="H2507" s="1" t="s">
        <v>438</v>
      </c>
    </row>
    <row r="2508" spans="1:8" ht="16.5">
      <c r="A2508" s="1" t="s">
        <v>1358</v>
      </c>
      <c r="B2508" s="1" t="s">
        <v>26</v>
      </c>
      <c r="C2508" s="1" t="s">
        <v>2936</v>
      </c>
      <c r="D2508" s="1" t="s">
        <v>32</v>
      </c>
      <c r="E2508" s="12">
        <f>96*F2508</f>
        <v>0.18161279999999999</v>
      </c>
      <c r="F2508" s="12">
        <f>Systems!T129</f>
        <v>1.8917999999999999E-3</v>
      </c>
      <c r="G2508" s="1" t="s">
        <v>33</v>
      </c>
      <c r="H2508" s="1" t="s">
        <v>438</v>
      </c>
    </row>
    <row r="2509" spans="1:8" ht="16.5">
      <c r="A2509" s="1" t="s">
        <v>936</v>
      </c>
      <c r="B2509" s="1" t="s">
        <v>26</v>
      </c>
      <c r="C2509" s="1" t="s">
        <v>2936</v>
      </c>
      <c r="D2509" s="1" t="s">
        <v>32</v>
      </c>
      <c r="E2509" s="12">
        <f>F2509</f>
        <v>1.8917999999999999E-3</v>
      </c>
      <c r="F2509" s="12">
        <f>Systems!T129</f>
        <v>1.8917999999999999E-3</v>
      </c>
      <c r="G2509" s="1" t="s">
        <v>33</v>
      </c>
      <c r="H2509" s="1" t="s">
        <v>438</v>
      </c>
    </row>
    <row r="2510" spans="1:8" ht="16.5">
      <c r="A2510" s="1" t="s">
        <v>823</v>
      </c>
      <c r="B2510" s="1" t="s">
        <v>26</v>
      </c>
      <c r="C2510" s="1" t="s">
        <v>2936</v>
      </c>
      <c r="D2510" s="1" t="s">
        <v>32</v>
      </c>
      <c r="E2510" s="12">
        <f>48*F2510</f>
        <v>9.0806399999999995E-2</v>
      </c>
      <c r="F2510" s="12">
        <f>Systems!T129</f>
        <v>1.8917999999999999E-3</v>
      </c>
      <c r="G2510" s="1" t="s">
        <v>33</v>
      </c>
      <c r="H2510" s="1" t="s">
        <v>438</v>
      </c>
    </row>
    <row r="2511" spans="1:8" ht="16.5">
      <c r="A2511" s="1" t="s">
        <v>5009</v>
      </c>
      <c r="B2511" s="1" t="s">
        <v>26</v>
      </c>
      <c r="C2511" s="1" t="s">
        <v>2935</v>
      </c>
      <c r="D2511" s="1" t="s">
        <v>32</v>
      </c>
      <c r="E2511" s="12">
        <f>F2511</f>
        <v>5.06162E-4</v>
      </c>
      <c r="F2511" s="12">
        <f>Systems!P130</f>
        <v>5.06162E-4</v>
      </c>
      <c r="G2511" s="1" t="s">
        <v>33</v>
      </c>
      <c r="H2511" s="1" t="s">
        <v>438</v>
      </c>
    </row>
    <row r="2512" spans="1:8" ht="16.5">
      <c r="A2512" s="1" t="s">
        <v>5010</v>
      </c>
      <c r="B2512" s="1" t="s">
        <v>26</v>
      </c>
      <c r="C2512" s="1" t="s">
        <v>2935</v>
      </c>
      <c r="D2512" s="1" t="s">
        <v>32</v>
      </c>
      <c r="E2512" s="12">
        <f>F2512</f>
        <v>4.5626400000000001E-4</v>
      </c>
      <c r="F2512" s="12">
        <f>Systems!P129</f>
        <v>4.5626400000000001E-4</v>
      </c>
      <c r="G2512" s="1" t="s">
        <v>33</v>
      </c>
      <c r="H2512" s="1" t="s">
        <v>438</v>
      </c>
    </row>
    <row r="2513" spans="1:8" ht="16.5">
      <c r="A2513" s="1" t="s">
        <v>5011</v>
      </c>
      <c r="B2513" s="1" t="s">
        <v>26</v>
      </c>
      <c r="C2513" s="1" t="s">
        <v>2935</v>
      </c>
      <c r="D2513" s="1" t="s">
        <v>32</v>
      </c>
      <c r="E2513" s="12">
        <f>18*F2513</f>
        <v>9.1109160000000002E-3</v>
      </c>
      <c r="F2513" s="12">
        <f>Systems!P130</f>
        <v>5.06162E-4</v>
      </c>
      <c r="G2513" s="1" t="s">
        <v>33</v>
      </c>
      <c r="H2513" s="1" t="s">
        <v>438</v>
      </c>
    </row>
    <row r="2514" spans="1:8" ht="16.5">
      <c r="A2514" s="1" t="s">
        <v>5012</v>
      </c>
      <c r="B2514" s="1" t="s">
        <v>26</v>
      </c>
      <c r="C2514" s="1" t="s">
        <v>2935</v>
      </c>
      <c r="D2514" s="1" t="s">
        <v>32</v>
      </c>
      <c r="E2514" s="12">
        <f>18*F2514</f>
        <v>8.2127520000000002E-3</v>
      </c>
      <c r="F2514" s="12">
        <f>Systems!P129</f>
        <v>4.5626400000000001E-4</v>
      </c>
      <c r="G2514" s="1" t="s">
        <v>33</v>
      </c>
      <c r="H2514" s="1" t="s">
        <v>438</v>
      </c>
    </row>
    <row r="2515" spans="1:8">
      <c r="A2515" s="1" t="s">
        <v>1163</v>
      </c>
      <c r="B2515" s="1" t="s">
        <v>26</v>
      </c>
      <c r="C2515" s="1" t="s">
        <v>17</v>
      </c>
      <c r="D2515" s="1" t="s">
        <v>20</v>
      </c>
      <c r="E2515" s="12">
        <f>F2515/256</f>
        <v>1.7978372656249999E-3</v>
      </c>
      <c r="F2515" s="12">
        <f>Systems!L129</f>
        <v>0.46024633999999998</v>
      </c>
      <c r="G2515" s="1" t="s">
        <v>23</v>
      </c>
      <c r="H2515" s="1" t="s">
        <v>438</v>
      </c>
    </row>
    <row r="2516" spans="1:8">
      <c r="A2516" s="1" t="s">
        <v>1018</v>
      </c>
      <c r="B2516" s="1" t="s">
        <v>26</v>
      </c>
      <c r="C2516" s="1" t="s">
        <v>17</v>
      </c>
      <c r="D2516" s="1" t="s">
        <v>20</v>
      </c>
      <c r="E2516" s="12">
        <f>25*F2516</f>
        <v>11.5061585</v>
      </c>
      <c r="F2516" s="12">
        <f>Systems!L129</f>
        <v>0.46024633999999998</v>
      </c>
      <c r="G2516" s="1" t="s">
        <v>23</v>
      </c>
      <c r="H2516" s="1" t="s">
        <v>438</v>
      </c>
    </row>
    <row r="2517" spans="1:8">
      <c r="A2517" s="1" t="s">
        <v>820</v>
      </c>
      <c r="B2517" s="1" t="s">
        <v>26</v>
      </c>
      <c r="C2517" s="1" t="s">
        <v>17</v>
      </c>
      <c r="D2517" s="1" t="s">
        <v>20</v>
      </c>
      <c r="E2517" s="12">
        <f>F2517</f>
        <v>0.46024633999999998</v>
      </c>
      <c r="F2517" s="12">
        <f>Systems!L129</f>
        <v>0.46024633999999998</v>
      </c>
      <c r="G2517" s="1" t="s">
        <v>23</v>
      </c>
      <c r="H2517" s="1" t="s">
        <v>438</v>
      </c>
    </row>
    <row r="2518" spans="1:8">
      <c r="A2518" s="1" t="s">
        <v>822</v>
      </c>
      <c r="B2518" s="1" t="s">
        <v>26</v>
      </c>
      <c r="C2518" s="1" t="s">
        <v>17</v>
      </c>
      <c r="D2518" s="1" t="s">
        <v>20</v>
      </c>
      <c r="E2518" s="12">
        <f>F2518</f>
        <v>0.46024633999999998</v>
      </c>
      <c r="F2518" s="12">
        <f>Systems!L129</f>
        <v>0.46024633999999998</v>
      </c>
      <c r="G2518" s="1" t="s">
        <v>23</v>
      </c>
      <c r="H2518" s="1" t="s">
        <v>438</v>
      </c>
    </row>
    <row r="2519" spans="1:8">
      <c r="A2519" s="1" t="s">
        <v>2153</v>
      </c>
      <c r="B2519" s="1" t="s">
        <v>26</v>
      </c>
      <c r="C2519" s="1" t="s">
        <v>17</v>
      </c>
      <c r="D2519" s="1" t="s">
        <v>20</v>
      </c>
      <c r="E2519" s="12">
        <f>F2519/128</f>
        <v>3.5956745312499998E-3</v>
      </c>
      <c r="F2519" s="12">
        <f>Systems!L129</f>
        <v>0.46024633999999998</v>
      </c>
      <c r="G2519" s="1" t="s">
        <v>23</v>
      </c>
      <c r="H2519" s="1" t="s">
        <v>438</v>
      </c>
    </row>
    <row r="2520" spans="1:8">
      <c r="A2520" s="1" t="s">
        <v>2174</v>
      </c>
      <c r="B2520" s="1" t="s">
        <v>26</v>
      </c>
      <c r="C2520" s="1" t="s">
        <v>17</v>
      </c>
      <c r="D2520" s="1" t="s">
        <v>20</v>
      </c>
      <c r="E2520" s="12">
        <f>F2520/16</f>
        <v>2.8765396249999999E-2</v>
      </c>
      <c r="F2520" s="12">
        <f>Systems!L129</f>
        <v>0.46024633999999998</v>
      </c>
      <c r="G2520" s="1" t="s">
        <v>23</v>
      </c>
      <c r="H2520" s="1" t="s">
        <v>438</v>
      </c>
    </row>
    <row r="2521" spans="1:8">
      <c r="A2521" s="1" t="s">
        <v>2357</v>
      </c>
      <c r="B2521" s="1" t="s">
        <v>26</v>
      </c>
      <c r="C2521" s="1" t="s">
        <v>17</v>
      </c>
      <c r="D2521" s="1" t="s">
        <v>20</v>
      </c>
      <c r="E2521" s="12">
        <f>100*F2521</f>
        <v>46.024633999999999</v>
      </c>
      <c r="F2521" s="12">
        <f>Systems!L129</f>
        <v>0.46024633999999998</v>
      </c>
      <c r="G2521" s="1" t="s">
        <v>23</v>
      </c>
      <c r="H2521" s="1" t="s">
        <v>438</v>
      </c>
    </row>
    <row r="2522" spans="1:8">
      <c r="A2522" s="1" t="s">
        <v>2636</v>
      </c>
      <c r="B2522" s="1" t="s">
        <v>26</v>
      </c>
      <c r="C2522" s="1" t="s">
        <v>17</v>
      </c>
      <c r="D2522" s="1" t="s">
        <v>20</v>
      </c>
      <c r="E2522" s="12">
        <f>160*F2522</f>
        <v>73.639414399999993</v>
      </c>
      <c r="F2522" s="12">
        <f>Systems!L129</f>
        <v>0.46024633999999998</v>
      </c>
      <c r="G2522" s="1" t="s">
        <v>23</v>
      </c>
      <c r="H2522" s="1" t="s">
        <v>438</v>
      </c>
    </row>
    <row r="2523" spans="1:8">
      <c r="A2523" s="1" t="s">
        <v>2637</v>
      </c>
      <c r="B2523" s="1" t="s">
        <v>26</v>
      </c>
      <c r="C2523" s="1" t="s">
        <v>17</v>
      </c>
      <c r="D2523" s="1" t="s">
        <v>20</v>
      </c>
      <c r="E2523" s="12">
        <f>160*F2523</f>
        <v>73.639414399999993</v>
      </c>
      <c r="F2523" s="12">
        <f>Systems!L129</f>
        <v>0.46024633999999998</v>
      </c>
      <c r="G2523" s="1" t="s">
        <v>23</v>
      </c>
      <c r="H2523" s="1" t="s">
        <v>438</v>
      </c>
    </row>
    <row r="2524" spans="1:8">
      <c r="A2524" s="1" t="s">
        <v>2676</v>
      </c>
      <c r="B2524" s="1" t="s">
        <v>26</v>
      </c>
      <c r="C2524" s="1" t="s">
        <v>17</v>
      </c>
      <c r="D2524" s="1" t="s">
        <v>20</v>
      </c>
      <c r="E2524" s="12">
        <f>F2524/768</f>
        <v>5.992790885416666E-4</v>
      </c>
      <c r="F2524" s="12">
        <f>Systems!L129</f>
        <v>0.46024633999999998</v>
      </c>
      <c r="G2524" s="1" t="s">
        <v>23</v>
      </c>
      <c r="H2524" s="1" t="s">
        <v>438</v>
      </c>
    </row>
    <row r="2525" spans="1:8">
      <c r="A2525" s="248"/>
      <c r="B2525" s="248"/>
      <c r="C2525" s="248"/>
      <c r="D2525" s="248"/>
      <c r="E2525" s="250"/>
      <c r="F2525" s="250"/>
      <c r="G2525" s="248"/>
      <c r="H2525" s="248"/>
    </row>
    <row r="2526" spans="1:8">
      <c r="A2526" s="1" t="s">
        <v>1977</v>
      </c>
      <c r="B2526" s="1" t="s">
        <v>14</v>
      </c>
      <c r="C2526" s="1" t="s">
        <v>3033</v>
      </c>
      <c r="D2526" s="1" t="s">
        <v>19</v>
      </c>
      <c r="E2526" s="12">
        <f>F2526</f>
        <v>1</v>
      </c>
      <c r="F2526" s="12">
        <f>Systems!D17</f>
        <v>1</v>
      </c>
      <c r="G2526" s="1" t="s">
        <v>14</v>
      </c>
      <c r="H2526" s="1" t="s">
        <v>66</v>
      </c>
    </row>
    <row r="2527" spans="1:8" ht="16.5">
      <c r="A2527" s="1" t="s">
        <v>4604</v>
      </c>
      <c r="B2527" s="1" t="s">
        <v>26</v>
      </c>
      <c r="C2527" s="1" t="s">
        <v>3034</v>
      </c>
      <c r="D2527" s="1" t="s">
        <v>38</v>
      </c>
      <c r="E2527" s="12">
        <f>F2527</f>
        <v>1</v>
      </c>
      <c r="F2527" s="12">
        <f>Systems!H17</f>
        <v>1</v>
      </c>
      <c r="G2527" s="1" t="s">
        <v>39</v>
      </c>
      <c r="H2527" s="1" t="s">
        <v>66</v>
      </c>
    </row>
    <row r="2528" spans="1:8" ht="16.5">
      <c r="A2528" s="1" t="s">
        <v>4619</v>
      </c>
      <c r="B2528" s="1" t="s">
        <v>26</v>
      </c>
      <c r="C2528" s="1" t="s">
        <v>2936</v>
      </c>
      <c r="D2528" s="1" t="s">
        <v>32</v>
      </c>
      <c r="E2528" s="12">
        <f>F2528</f>
        <v>1</v>
      </c>
      <c r="F2528" s="12">
        <f>Systems!T17</f>
        <v>1</v>
      </c>
      <c r="G2528" s="1" t="s">
        <v>33</v>
      </c>
      <c r="H2528" s="1" t="s">
        <v>66</v>
      </c>
    </row>
    <row r="2529" spans="1:8" ht="16.5">
      <c r="A2529" s="1" t="s">
        <v>4619</v>
      </c>
      <c r="B2529" s="1" t="s">
        <v>26</v>
      </c>
      <c r="C2529" s="1" t="s">
        <v>2935</v>
      </c>
      <c r="D2529" s="1" t="s">
        <v>32</v>
      </c>
      <c r="E2529" s="12">
        <f>F2529</f>
        <v>1</v>
      </c>
      <c r="F2529" s="12">
        <f>Systems!P17</f>
        <v>1</v>
      </c>
      <c r="G2529" s="1" t="s">
        <v>33</v>
      </c>
      <c r="H2529" s="1" t="s">
        <v>66</v>
      </c>
    </row>
    <row r="2530" spans="1:8">
      <c r="A2530" s="1" t="s">
        <v>5013</v>
      </c>
      <c r="B2530" s="1" t="s">
        <v>26</v>
      </c>
      <c r="C2530" s="1" t="s">
        <v>17</v>
      </c>
      <c r="D2530" s="1" t="s">
        <v>20</v>
      </c>
      <c r="E2530" s="12">
        <v>9.8066499999999994</v>
      </c>
      <c r="F2530" s="12">
        <f>'Physical Definitions'!E13*POWER(SI!E4,2)/SI!E3</f>
        <v>9.8066499999999994</v>
      </c>
      <c r="G2530" s="1" t="s">
        <v>23</v>
      </c>
      <c r="H2530" s="1" t="s">
        <v>66</v>
      </c>
    </row>
    <row r="2531" spans="1:8">
      <c r="A2531" s="1" t="s">
        <v>5014</v>
      </c>
      <c r="B2531" s="1" t="s">
        <v>26</v>
      </c>
      <c r="C2531" s="1" t="s">
        <v>17</v>
      </c>
      <c r="D2531" s="1" t="s">
        <v>20</v>
      </c>
      <c r="E2531" s="12">
        <f>F2531</f>
        <v>9.8066499999999994</v>
      </c>
      <c r="F2531" s="12">
        <f>SI!E2*'Physical Definitions'!E13*POWER(SI!E4,2)/SI!E3</f>
        <v>9.8066499999999994</v>
      </c>
      <c r="G2531" s="1" t="s">
        <v>23</v>
      </c>
      <c r="H2531" s="1" t="s">
        <v>66</v>
      </c>
    </row>
    <row r="2532" spans="1:8">
      <c r="A2532" s="248"/>
      <c r="B2532" s="248"/>
      <c r="C2532" s="248"/>
      <c r="D2532" s="248"/>
      <c r="E2532" s="250"/>
      <c r="F2532" s="250"/>
      <c r="G2532" s="248"/>
      <c r="H2532" s="248"/>
    </row>
    <row r="2533" spans="1:8">
      <c r="A2533" s="1" t="s">
        <v>1977</v>
      </c>
      <c r="B2533" s="1" t="s">
        <v>14</v>
      </c>
      <c r="C2533" s="1" t="s">
        <v>3033</v>
      </c>
      <c r="D2533" s="1" t="s">
        <v>19</v>
      </c>
      <c r="E2533" s="12">
        <f>F2533</f>
        <v>1</v>
      </c>
      <c r="F2533" s="12">
        <f>SI!E3</f>
        <v>1</v>
      </c>
      <c r="G2533" s="1" t="s">
        <v>14</v>
      </c>
      <c r="H2533" s="1" t="s">
        <v>538</v>
      </c>
    </row>
    <row r="2534" spans="1:8" ht="16.5">
      <c r="A2534" s="1" t="s">
        <v>4604</v>
      </c>
      <c r="B2534" s="1" t="s">
        <v>6297</v>
      </c>
      <c r="C2534" s="1" t="s">
        <v>3034</v>
      </c>
      <c r="D2534" s="1" t="s">
        <v>38</v>
      </c>
      <c r="E2534" s="12">
        <f>F2534</f>
        <v>1</v>
      </c>
      <c r="F2534" s="12">
        <f>POWER(SI!E3,2)</f>
        <v>1</v>
      </c>
      <c r="G2534" s="1" t="s">
        <v>39</v>
      </c>
      <c r="H2534" s="1" t="s">
        <v>538</v>
      </c>
    </row>
    <row r="2535" spans="1:8" ht="16.5">
      <c r="A2535" s="1" t="s">
        <v>4619</v>
      </c>
      <c r="B2535" s="1" t="s">
        <v>6298</v>
      </c>
      <c r="C2535" s="1" t="s">
        <v>2936</v>
      </c>
      <c r="D2535" s="1" t="s">
        <v>32</v>
      </c>
      <c r="E2535" s="12">
        <f>F2535</f>
        <v>1</v>
      </c>
      <c r="F2535" s="12">
        <f>POWER(SI!E3,3)</f>
        <v>1</v>
      </c>
      <c r="G2535" s="1" t="s">
        <v>33</v>
      </c>
      <c r="H2535" s="1" t="s">
        <v>538</v>
      </c>
    </row>
    <row r="2536" spans="1:8" ht="16.5">
      <c r="A2536" s="1" t="s">
        <v>4619</v>
      </c>
      <c r="B2536" s="1" t="s">
        <v>6299</v>
      </c>
      <c r="C2536" s="1" t="s">
        <v>2935</v>
      </c>
      <c r="D2536" s="1" t="s">
        <v>32</v>
      </c>
      <c r="E2536" s="12">
        <f>F2536</f>
        <v>1</v>
      </c>
      <c r="F2536" s="12">
        <f>POWER(SI!E3,3)</f>
        <v>1</v>
      </c>
      <c r="G2536" s="1" t="s">
        <v>33</v>
      </c>
      <c r="H2536" s="1" t="s">
        <v>538</v>
      </c>
    </row>
    <row r="2537" spans="1:8">
      <c r="A2537" s="1" t="s">
        <v>262</v>
      </c>
      <c r="B2537" s="1" t="s">
        <v>23</v>
      </c>
      <c r="C2537" s="1" t="s">
        <v>17</v>
      </c>
      <c r="D2537" s="1" t="s">
        <v>20</v>
      </c>
      <c r="E2537" s="12">
        <f>F2537</f>
        <v>1</v>
      </c>
      <c r="F2537" s="12">
        <f>SI!E2</f>
        <v>1</v>
      </c>
      <c r="G2537" s="1" t="s">
        <v>23</v>
      </c>
      <c r="H2537" s="1" t="s">
        <v>538</v>
      </c>
    </row>
    <row r="2538" spans="1:8">
      <c r="A2538" s="248"/>
      <c r="B2538" s="248"/>
      <c r="C2538" s="248"/>
      <c r="D2538" s="248"/>
      <c r="E2538" s="250"/>
      <c r="F2538" s="250"/>
      <c r="G2538" s="248"/>
      <c r="H2538" s="248"/>
    </row>
    <row r="2539" spans="1:8">
      <c r="A2539" s="1" t="s">
        <v>1977</v>
      </c>
      <c r="B2539" s="1" t="s">
        <v>14</v>
      </c>
      <c r="C2539" s="1" t="s">
        <v>3033</v>
      </c>
      <c r="D2539" s="1" t="s">
        <v>19</v>
      </c>
      <c r="E2539" s="12">
        <f t="shared" ref="E2539:E2544" si="4">F2539</f>
        <v>1</v>
      </c>
      <c r="F2539" s="12">
        <f>SI!E3</f>
        <v>1</v>
      </c>
      <c r="G2539" s="1" t="s">
        <v>14</v>
      </c>
      <c r="H2539" s="1" t="s">
        <v>309</v>
      </c>
    </row>
    <row r="2540" spans="1:8" ht="16.5">
      <c r="A2540" s="1" t="s">
        <v>5015</v>
      </c>
      <c r="B2540" s="1" t="s">
        <v>26</v>
      </c>
      <c r="C2540" s="1" t="s">
        <v>3034</v>
      </c>
      <c r="D2540" s="1" t="s">
        <v>38</v>
      </c>
      <c r="E2540" s="12">
        <f t="shared" si="4"/>
        <v>1</v>
      </c>
      <c r="F2540" s="12">
        <f>POWER(SI!E3,2)</f>
        <v>1</v>
      </c>
      <c r="G2540" s="1" t="s">
        <v>39</v>
      </c>
      <c r="H2540" s="1" t="s">
        <v>309</v>
      </c>
    </row>
    <row r="2541" spans="1:8" ht="16.5">
      <c r="A2541" s="1" t="s">
        <v>4604</v>
      </c>
      <c r="B2541" s="1" t="s">
        <v>26</v>
      </c>
      <c r="C2541" s="1" t="s">
        <v>3034</v>
      </c>
      <c r="D2541" s="1" t="s">
        <v>38</v>
      </c>
      <c r="E2541" s="12">
        <f t="shared" si="4"/>
        <v>1</v>
      </c>
      <c r="F2541" s="12">
        <f>POWER(SI!E3,2)</f>
        <v>1</v>
      </c>
      <c r="G2541" s="1" t="s">
        <v>39</v>
      </c>
      <c r="H2541" s="1" t="s">
        <v>309</v>
      </c>
    </row>
    <row r="2542" spans="1:8" ht="16.5">
      <c r="A2542" s="1" t="s">
        <v>4619</v>
      </c>
      <c r="B2542" s="1" t="s">
        <v>26</v>
      </c>
      <c r="C2542" s="1" t="s">
        <v>2936</v>
      </c>
      <c r="D2542" s="1" t="s">
        <v>32</v>
      </c>
      <c r="E2542" s="12">
        <f t="shared" si="4"/>
        <v>1</v>
      </c>
      <c r="F2542" s="12">
        <f>POWER(SI!E3,3)</f>
        <v>1</v>
      </c>
      <c r="G2542" s="1" t="s">
        <v>33</v>
      </c>
      <c r="H2542" s="1" t="s">
        <v>309</v>
      </c>
    </row>
    <row r="2543" spans="1:8" ht="16.5">
      <c r="A2543" s="1" t="s">
        <v>4619</v>
      </c>
      <c r="B2543" s="1" t="s">
        <v>26</v>
      </c>
      <c r="C2543" s="1" t="s">
        <v>2935</v>
      </c>
      <c r="D2543" s="1" t="s">
        <v>32</v>
      </c>
      <c r="E2543" s="12">
        <f t="shared" si="4"/>
        <v>1</v>
      </c>
      <c r="F2543" s="12">
        <f>POWER(SI!E3,3)</f>
        <v>1</v>
      </c>
      <c r="G2543" s="1" t="s">
        <v>33</v>
      </c>
      <c r="H2543" s="1" t="s">
        <v>309</v>
      </c>
    </row>
    <row r="2544" spans="1:8">
      <c r="A2544" s="1" t="s">
        <v>262</v>
      </c>
      <c r="B2544" s="1" t="s">
        <v>23</v>
      </c>
      <c r="C2544" s="1" t="s">
        <v>17</v>
      </c>
      <c r="D2544" s="1" t="s">
        <v>20</v>
      </c>
      <c r="E2544" s="12">
        <f t="shared" si="4"/>
        <v>1</v>
      </c>
      <c r="F2544" s="12">
        <f>SI!E2</f>
        <v>1</v>
      </c>
      <c r="G2544" s="1" t="s">
        <v>23</v>
      </c>
      <c r="H2544" s="1" t="s">
        <v>309</v>
      </c>
    </row>
    <row r="2545" spans="1:8">
      <c r="A2545" s="248"/>
      <c r="B2545" s="248"/>
      <c r="C2545" s="248"/>
      <c r="D2545" s="248"/>
      <c r="E2545" s="250"/>
      <c r="F2545" s="250"/>
      <c r="G2545" s="248"/>
      <c r="H2545" s="248"/>
    </row>
    <row r="2546" spans="1:8">
      <c r="A2546" s="1" t="s">
        <v>827</v>
      </c>
      <c r="B2546" s="1" t="s">
        <v>26</v>
      </c>
      <c r="C2546" s="1" t="s">
        <v>3033</v>
      </c>
      <c r="D2546" s="1" t="s">
        <v>19</v>
      </c>
      <c r="E2546" s="12">
        <f>7*F2546/8</f>
        <v>0.53374999999999995</v>
      </c>
      <c r="F2546" s="12">
        <f>Systems!D132</f>
        <v>0.61</v>
      </c>
      <c r="G2546" s="1" t="s">
        <v>14</v>
      </c>
      <c r="H2546" s="1" t="s">
        <v>456</v>
      </c>
    </row>
    <row r="2547" spans="1:8">
      <c r="A2547" s="1" t="s">
        <v>1421</v>
      </c>
      <c r="B2547" s="1" t="s">
        <v>26</v>
      </c>
      <c r="C2547" s="1" t="s">
        <v>3033</v>
      </c>
      <c r="D2547" s="1" t="s">
        <v>19</v>
      </c>
      <c r="E2547" s="12">
        <f>7*F2547/8</f>
        <v>0.53374999999999995</v>
      </c>
      <c r="F2547" s="12">
        <f>Systems!D132</f>
        <v>0.61</v>
      </c>
      <c r="G2547" s="1" t="s">
        <v>14</v>
      </c>
      <c r="H2547" s="1" t="s">
        <v>456</v>
      </c>
    </row>
    <row r="2548" spans="1:8">
      <c r="A2548" s="1" t="s">
        <v>835</v>
      </c>
      <c r="B2548" s="1" t="s">
        <v>26</v>
      </c>
      <c r="C2548" s="1" t="s">
        <v>3033</v>
      </c>
      <c r="D2548" s="1" t="s">
        <v>19</v>
      </c>
      <c r="E2548" s="12">
        <f>F2548</f>
        <v>0.61</v>
      </c>
      <c r="F2548" s="12">
        <f>Systems!D132</f>
        <v>0.61</v>
      </c>
      <c r="G2548" s="1" t="s">
        <v>14</v>
      </c>
      <c r="H2548" s="1" t="s">
        <v>456</v>
      </c>
    </row>
    <row r="2549" spans="1:8">
      <c r="A2549" s="1" t="s">
        <v>2687</v>
      </c>
      <c r="B2549" s="1" t="s">
        <v>26</v>
      </c>
      <c r="C2549" s="1" t="s">
        <v>3033</v>
      </c>
      <c r="D2549" s="1" t="s">
        <v>19</v>
      </c>
      <c r="E2549" s="12">
        <f>F2549/8</f>
        <v>7.6249999999999998E-2</v>
      </c>
      <c r="F2549" s="12">
        <f>Systems!D132</f>
        <v>0.61</v>
      </c>
      <c r="G2549" s="1" t="s">
        <v>14</v>
      </c>
      <c r="H2549" s="1" t="s">
        <v>456</v>
      </c>
    </row>
    <row r="2550" spans="1:8" ht="16.5">
      <c r="A2550" s="1" t="s">
        <v>4345</v>
      </c>
      <c r="B2550" s="1" t="s">
        <v>26</v>
      </c>
      <c r="C2550" s="1" t="s">
        <v>3034</v>
      </c>
      <c r="D2550" s="1" t="s">
        <v>38</v>
      </c>
      <c r="E2550" s="12">
        <f>F2550</f>
        <v>0.37209999999999999</v>
      </c>
      <c r="F2550" s="12">
        <f>Systems!H132</f>
        <v>0.37209999999999999</v>
      </c>
      <c r="G2550" s="1" t="s">
        <v>39</v>
      </c>
      <c r="H2550" s="1" t="s">
        <v>456</v>
      </c>
    </row>
    <row r="2551" spans="1:8" ht="16.5">
      <c r="A2551" s="1" t="s">
        <v>4346</v>
      </c>
      <c r="B2551" s="1" t="s">
        <v>26</v>
      </c>
      <c r="C2551" s="1" t="s">
        <v>2936</v>
      </c>
      <c r="D2551" s="1" t="s">
        <v>32</v>
      </c>
      <c r="E2551" s="12">
        <f>F2551</f>
        <v>0.22698099999999999</v>
      </c>
      <c r="F2551" s="12">
        <f>Systems!T132</f>
        <v>0.22698099999999999</v>
      </c>
      <c r="G2551" s="1" t="s">
        <v>33</v>
      </c>
      <c r="H2551" s="1" t="s">
        <v>456</v>
      </c>
    </row>
    <row r="2552" spans="1:8" ht="16.5">
      <c r="A2552" s="1" t="s">
        <v>825</v>
      </c>
      <c r="B2552" s="1" t="s">
        <v>26</v>
      </c>
      <c r="C2552" s="1" t="s">
        <v>2935</v>
      </c>
      <c r="D2552" s="1" t="s">
        <v>32</v>
      </c>
      <c r="E2552" s="12">
        <f>F2552</f>
        <v>1.4E-2</v>
      </c>
      <c r="F2552" s="12">
        <f>Systems!P132</f>
        <v>1.4E-2</v>
      </c>
      <c r="G2552" s="1" t="s">
        <v>33</v>
      </c>
      <c r="H2552" s="1" t="s">
        <v>456</v>
      </c>
    </row>
    <row r="2553" spans="1:8" ht="16.5">
      <c r="A2553" s="1" t="s">
        <v>1587</v>
      </c>
      <c r="B2553" s="1" t="s">
        <v>26</v>
      </c>
      <c r="C2553" s="1" t="s">
        <v>2935</v>
      </c>
      <c r="D2553" s="1" t="s">
        <v>32</v>
      </c>
      <c r="E2553" s="12">
        <f>4*F2553</f>
        <v>5.6000000000000001E-2</v>
      </c>
      <c r="F2553" s="12">
        <f>Systems!P132</f>
        <v>1.4E-2</v>
      </c>
      <c r="G2553" s="1" t="s">
        <v>33</v>
      </c>
      <c r="H2553" s="1" t="s">
        <v>456</v>
      </c>
    </row>
    <row r="2554" spans="1:8" ht="16.5">
      <c r="A2554" s="1" t="s">
        <v>823</v>
      </c>
      <c r="B2554" s="1" t="s">
        <v>26</v>
      </c>
      <c r="C2554" s="1" t="s">
        <v>2935</v>
      </c>
      <c r="D2554" s="1" t="s">
        <v>32</v>
      </c>
      <c r="E2554" s="12">
        <f>4*F2554</f>
        <v>5.6000000000000001E-2</v>
      </c>
      <c r="F2554" s="12">
        <f>Systems!P132</f>
        <v>1.4E-2</v>
      </c>
      <c r="G2554" s="1" t="s">
        <v>33</v>
      </c>
      <c r="H2554" s="1" t="s">
        <v>456</v>
      </c>
    </row>
    <row r="2555" spans="1:8" ht="16.5">
      <c r="A2555" s="1" t="s">
        <v>884</v>
      </c>
      <c r="B2555" s="1" t="s">
        <v>26</v>
      </c>
      <c r="C2555" s="1" t="s">
        <v>2935</v>
      </c>
      <c r="D2555" s="1" t="s">
        <v>32</v>
      </c>
      <c r="E2555" s="12">
        <f>F2555</f>
        <v>1.4E-2</v>
      </c>
      <c r="F2555" s="12">
        <f>Systems!P132</f>
        <v>1.4E-2</v>
      </c>
      <c r="G2555" s="1" t="s">
        <v>33</v>
      </c>
      <c r="H2555" s="1" t="s">
        <v>456</v>
      </c>
    </row>
    <row r="2556" spans="1:8" ht="16.5">
      <c r="A2556" s="1" t="s">
        <v>2103</v>
      </c>
      <c r="B2556" s="1" t="s">
        <v>26</v>
      </c>
      <c r="C2556" s="1" t="s">
        <v>2935</v>
      </c>
      <c r="D2556" s="1" t="s">
        <v>32</v>
      </c>
      <c r="E2556" s="12">
        <f>F2556</f>
        <v>1.4E-2</v>
      </c>
      <c r="F2556" s="12">
        <f>Systems!P132</f>
        <v>1.4E-2</v>
      </c>
      <c r="G2556" s="1" t="s">
        <v>33</v>
      </c>
      <c r="H2556" s="1" t="s">
        <v>456</v>
      </c>
    </row>
    <row r="2557" spans="1:8" ht="16.5">
      <c r="A2557" s="1" t="s">
        <v>2410</v>
      </c>
      <c r="B2557" s="1" t="s">
        <v>26</v>
      </c>
      <c r="C2557" s="1" t="s">
        <v>2935</v>
      </c>
      <c r="D2557" s="1" t="s">
        <v>32</v>
      </c>
      <c r="E2557" s="12">
        <f>4*F2557</f>
        <v>5.6000000000000001E-2</v>
      </c>
      <c r="F2557" s="12">
        <f>Systems!P132</f>
        <v>1.4E-2</v>
      </c>
      <c r="G2557" s="1" t="s">
        <v>33</v>
      </c>
      <c r="H2557" s="1" t="s">
        <v>456</v>
      </c>
    </row>
    <row r="2558" spans="1:8" ht="16.5">
      <c r="A2558" s="1" t="s">
        <v>2418</v>
      </c>
      <c r="B2558" s="1" t="s">
        <v>26</v>
      </c>
      <c r="C2558" s="1" t="s">
        <v>2935</v>
      </c>
      <c r="D2558" s="1" t="s">
        <v>32</v>
      </c>
      <c r="E2558" s="12">
        <f>4*F2558</f>
        <v>5.6000000000000001E-2</v>
      </c>
      <c r="F2558" s="12">
        <f>Systems!P132</f>
        <v>1.4E-2</v>
      </c>
      <c r="G2558" s="1" t="s">
        <v>33</v>
      </c>
      <c r="H2558" s="1" t="s">
        <v>456</v>
      </c>
    </row>
    <row r="2559" spans="1:8">
      <c r="A2559" s="1" t="s">
        <v>1235</v>
      </c>
      <c r="B2559" s="1" t="s">
        <v>26</v>
      </c>
      <c r="C2559" s="1" t="s">
        <v>17</v>
      </c>
      <c r="D2559" s="1" t="s">
        <v>20</v>
      </c>
      <c r="E2559" s="12">
        <f>F2559</f>
        <v>0.50749999999999995</v>
      </c>
      <c r="F2559" s="12">
        <f>Systems!L132</f>
        <v>0.50749999999999995</v>
      </c>
      <c r="G2559" s="1" t="s">
        <v>23</v>
      </c>
      <c r="H2559" s="1" t="s">
        <v>456</v>
      </c>
    </row>
    <row r="2560" spans="1:8">
      <c r="A2560" s="1" t="s">
        <v>1668</v>
      </c>
      <c r="B2560" s="1" t="s">
        <v>26</v>
      </c>
      <c r="C2560" s="1" t="s">
        <v>17</v>
      </c>
      <c r="D2560" s="1" t="s">
        <v>20</v>
      </c>
      <c r="E2560" s="12">
        <f>6*F2560</f>
        <v>3.0449999999999999</v>
      </c>
      <c r="F2560" s="12">
        <f>Systems!L132</f>
        <v>0.50749999999999995</v>
      </c>
      <c r="G2560" s="1" t="s">
        <v>23</v>
      </c>
      <c r="H2560" s="1" t="s">
        <v>456</v>
      </c>
    </row>
    <row r="2561" spans="1:8">
      <c r="A2561" s="1" t="s">
        <v>1805</v>
      </c>
      <c r="B2561" s="1" t="s">
        <v>26</v>
      </c>
      <c r="C2561" s="1" t="s">
        <v>17</v>
      </c>
      <c r="D2561" s="1" t="s">
        <v>20</v>
      </c>
      <c r="E2561" s="12">
        <f>100*F2561</f>
        <v>50.749999999999993</v>
      </c>
      <c r="F2561" s="12">
        <f>Systems!L132</f>
        <v>0.50749999999999995</v>
      </c>
      <c r="G2561" s="1" t="s">
        <v>23</v>
      </c>
      <c r="H2561" s="1" t="s">
        <v>456</v>
      </c>
    </row>
    <row r="2562" spans="1:8">
      <c r="A2562" s="1" t="s">
        <v>1891</v>
      </c>
      <c r="B2562" s="1" t="s">
        <v>26</v>
      </c>
      <c r="C2562" s="1" t="s">
        <v>17</v>
      </c>
      <c r="D2562" s="1" t="s">
        <v>20</v>
      </c>
      <c r="E2562" s="12">
        <f>22*F2562</f>
        <v>11.164999999999999</v>
      </c>
      <c r="F2562" s="12">
        <f>Systems!L132</f>
        <v>0.50749999999999995</v>
      </c>
      <c r="G2562" s="1" t="s">
        <v>23</v>
      </c>
      <c r="H2562" s="1" t="s">
        <v>456</v>
      </c>
    </row>
    <row r="2563" spans="1:8">
      <c r="A2563" s="1" t="s">
        <v>883</v>
      </c>
      <c r="B2563" s="1" t="s">
        <v>26</v>
      </c>
      <c r="C2563" s="1" t="s">
        <v>17</v>
      </c>
      <c r="D2563" s="1" t="s">
        <v>20</v>
      </c>
      <c r="E2563" s="12">
        <f>F2563</f>
        <v>0.50749999999999995</v>
      </c>
      <c r="F2563" s="12">
        <f>Systems!L132</f>
        <v>0.50749999999999995</v>
      </c>
      <c r="G2563" s="1" t="s">
        <v>23</v>
      </c>
      <c r="H2563" s="1" t="s">
        <v>456</v>
      </c>
    </row>
    <row r="2564" spans="1:8">
      <c r="A2564" s="248"/>
      <c r="B2564" s="248"/>
      <c r="C2564" s="248"/>
      <c r="D2564" s="248"/>
      <c r="E2564" s="250"/>
      <c r="F2564" s="250"/>
      <c r="G2564" s="248"/>
      <c r="H2564" s="248"/>
    </row>
    <row r="2565" spans="1:8">
      <c r="A2565" s="1" t="s">
        <v>1977</v>
      </c>
      <c r="B2565" s="1" t="s">
        <v>14</v>
      </c>
      <c r="C2565" s="1" t="s">
        <v>3033</v>
      </c>
      <c r="D2565" s="1" t="s">
        <v>19</v>
      </c>
      <c r="E2565" s="12">
        <f>F2565</f>
        <v>1</v>
      </c>
      <c r="F2565" s="12">
        <f>SI!E3</f>
        <v>1</v>
      </c>
      <c r="G2565" s="1" t="s">
        <v>14</v>
      </c>
      <c r="H2565" s="1" t="s">
        <v>168</v>
      </c>
    </row>
    <row r="2566" spans="1:8" ht="16.5">
      <c r="A2566" s="1" t="s">
        <v>4604</v>
      </c>
      <c r="B2566" s="1" t="s">
        <v>26</v>
      </c>
      <c r="C2566" s="1" t="s">
        <v>3034</v>
      </c>
      <c r="D2566" s="1" t="s">
        <v>38</v>
      </c>
      <c r="E2566" s="12">
        <f>F2566</f>
        <v>1</v>
      </c>
      <c r="F2566" s="12">
        <f>POWER(SI!E3,2)</f>
        <v>1</v>
      </c>
      <c r="G2566" s="1" t="s">
        <v>39</v>
      </c>
      <c r="H2566" s="1" t="s">
        <v>168</v>
      </c>
    </row>
    <row r="2567" spans="1:8" ht="16.5">
      <c r="A2567" s="1" t="s">
        <v>163</v>
      </c>
      <c r="B2567" s="1" t="s">
        <v>166</v>
      </c>
      <c r="C2567" s="1" t="s">
        <v>2936</v>
      </c>
      <c r="D2567" s="1" t="s">
        <v>32</v>
      </c>
      <c r="E2567" s="12">
        <f>10*F2567</f>
        <v>10</v>
      </c>
      <c r="F2567" s="12">
        <f>POWER(SI!E3,3)</f>
        <v>1</v>
      </c>
      <c r="G2567" s="1" t="s">
        <v>33</v>
      </c>
      <c r="H2567" s="1" t="s">
        <v>168</v>
      </c>
    </row>
    <row r="2568" spans="1:8" ht="16.5">
      <c r="A2568" s="1" t="s">
        <v>169</v>
      </c>
      <c r="B2568" s="1" t="s">
        <v>172</v>
      </c>
      <c r="C2568" s="1" t="s">
        <v>2936</v>
      </c>
      <c r="D2568" s="1" t="s">
        <v>32</v>
      </c>
      <c r="E2568" s="12">
        <f>0.1*F2568</f>
        <v>0.1</v>
      </c>
      <c r="F2568" s="12">
        <f>POWER(SI!E3,3)</f>
        <v>1</v>
      </c>
      <c r="G2568" s="1" t="s">
        <v>33</v>
      </c>
      <c r="H2568" s="1" t="s">
        <v>168</v>
      </c>
    </row>
    <row r="2569" spans="1:8" ht="16.5">
      <c r="A2569" s="1" t="s">
        <v>4619</v>
      </c>
      <c r="B2569" s="1" t="s">
        <v>26</v>
      </c>
      <c r="C2569" s="1" t="s">
        <v>2935</v>
      </c>
      <c r="D2569" s="1" t="s">
        <v>32</v>
      </c>
      <c r="E2569" s="12">
        <f>F2569</f>
        <v>1</v>
      </c>
      <c r="F2569" s="12">
        <f>POWER(SI!E3,3)</f>
        <v>1</v>
      </c>
      <c r="G2569" s="1" t="s">
        <v>33</v>
      </c>
      <c r="H2569" s="1" t="s">
        <v>168</v>
      </c>
    </row>
    <row r="2570" spans="1:8">
      <c r="A2570" s="1" t="s">
        <v>1494</v>
      </c>
      <c r="B2570" s="1" t="s">
        <v>2975</v>
      </c>
      <c r="C2570" s="1" t="s">
        <v>17</v>
      </c>
      <c r="D2570" s="1" t="s">
        <v>20</v>
      </c>
      <c r="E2570" s="12">
        <f>100*F2570</f>
        <v>100</v>
      </c>
      <c r="F2570" s="12">
        <f>SI!E2</f>
        <v>1</v>
      </c>
      <c r="G2570" s="1" t="s">
        <v>23</v>
      </c>
      <c r="H2570" s="1" t="s">
        <v>168</v>
      </c>
    </row>
    <row r="2571" spans="1:8">
      <c r="A2571" s="1" t="s">
        <v>2357</v>
      </c>
      <c r="B2571" s="1" t="s">
        <v>354</v>
      </c>
      <c r="C2571" s="1" t="s">
        <v>17</v>
      </c>
      <c r="D2571" s="1" t="s">
        <v>20</v>
      </c>
      <c r="E2571" s="12">
        <f>100*F2571</f>
        <v>100</v>
      </c>
      <c r="F2571" s="12">
        <f>SI!E2</f>
        <v>1</v>
      </c>
      <c r="G2571" s="1" t="s">
        <v>23</v>
      </c>
      <c r="H2571" s="1" t="s">
        <v>168</v>
      </c>
    </row>
    <row r="2572" spans="1:8">
      <c r="A2572" s="1" t="s">
        <v>5016</v>
      </c>
      <c r="B2572" s="1" t="s">
        <v>401</v>
      </c>
      <c r="C2572" s="1" t="s">
        <v>17</v>
      </c>
      <c r="D2572" s="1" t="s">
        <v>20</v>
      </c>
      <c r="E2572" s="12">
        <f>1000*F2572</f>
        <v>1000</v>
      </c>
      <c r="F2572" s="12">
        <f>SI!E2</f>
        <v>1</v>
      </c>
      <c r="G2572" s="1" t="s">
        <v>23</v>
      </c>
      <c r="H2572" s="1" t="s">
        <v>168</v>
      </c>
    </row>
    <row r="2573" spans="1:8">
      <c r="A2573" s="248"/>
      <c r="B2573" s="248"/>
      <c r="C2573" s="248"/>
      <c r="D2573" s="248"/>
      <c r="E2573" s="250"/>
      <c r="F2573" s="250"/>
      <c r="G2573" s="248"/>
      <c r="H2573" s="248"/>
    </row>
    <row r="2574" spans="1:8">
      <c r="A2574" s="1" t="s">
        <v>1662</v>
      </c>
      <c r="B2574" s="1" t="s">
        <v>26</v>
      </c>
      <c r="C2574" s="1" t="s">
        <v>3033</v>
      </c>
      <c r="D2574" s="1" t="s">
        <v>19</v>
      </c>
      <c r="E2574" s="12">
        <f>11200*F2574</f>
        <v>5120.6400000000003</v>
      </c>
      <c r="F2574" s="12">
        <f>Systems!D189</f>
        <v>0.4572</v>
      </c>
      <c r="G2574" s="1" t="s">
        <v>14</v>
      </c>
      <c r="H2574" s="1" t="s">
        <v>995</v>
      </c>
    </row>
    <row r="2575" spans="1:8">
      <c r="A2575" s="1" t="s">
        <v>1748</v>
      </c>
      <c r="B2575" s="1" t="s">
        <v>26</v>
      </c>
      <c r="C2575" s="1" t="s">
        <v>3033</v>
      </c>
      <c r="D2575" s="1" t="s">
        <v>19</v>
      </c>
      <c r="E2575" s="12">
        <f>F2575/576</f>
        <v>7.9374999999999997E-4</v>
      </c>
      <c r="F2575" s="12">
        <f>Systems!D189</f>
        <v>0.4572</v>
      </c>
      <c r="G2575" s="1" t="s">
        <v>14</v>
      </c>
      <c r="H2575" s="1" t="s">
        <v>995</v>
      </c>
    </row>
    <row r="2576" spans="1:8">
      <c r="A2576" s="1" t="s">
        <v>1816</v>
      </c>
      <c r="B2576" s="1" t="s">
        <v>26</v>
      </c>
      <c r="C2576" s="1" t="s">
        <v>3033</v>
      </c>
      <c r="D2576" s="1" t="s">
        <v>19</v>
      </c>
      <c r="E2576" s="12">
        <f>2800*F2576</f>
        <v>1280.1600000000001</v>
      </c>
      <c r="F2576" s="12">
        <f>Systems!D189</f>
        <v>0.4572</v>
      </c>
      <c r="G2576" s="1" t="s">
        <v>14</v>
      </c>
      <c r="H2576" s="1" t="s">
        <v>995</v>
      </c>
    </row>
    <row r="2577" spans="1:8">
      <c r="A2577" s="1" t="s">
        <v>1926</v>
      </c>
      <c r="B2577" s="1" t="s">
        <v>26</v>
      </c>
      <c r="C2577" s="1" t="s">
        <v>3033</v>
      </c>
      <c r="D2577" s="1" t="s">
        <v>19</v>
      </c>
      <c r="E2577" s="12">
        <f>4*F2577</f>
        <v>1.8288</v>
      </c>
      <c r="F2577" s="12">
        <f>Systems!D189</f>
        <v>0.4572</v>
      </c>
      <c r="G2577" s="1" t="s">
        <v>14</v>
      </c>
      <c r="H2577" s="1" t="s">
        <v>995</v>
      </c>
    </row>
    <row r="2578" spans="1:8">
      <c r="A2578" s="1" t="s">
        <v>5017</v>
      </c>
      <c r="B2578" s="1" t="s">
        <v>26</v>
      </c>
      <c r="C2578" s="1" t="s">
        <v>3033</v>
      </c>
      <c r="D2578" s="1" t="s">
        <v>19</v>
      </c>
      <c r="E2578" s="12">
        <f>F2578/24</f>
        <v>1.9050000000000001E-2</v>
      </c>
      <c r="F2578" s="12">
        <f>Systems!D189</f>
        <v>0.4572</v>
      </c>
      <c r="G2578" s="1" t="s">
        <v>14</v>
      </c>
      <c r="H2578" s="1" t="s">
        <v>995</v>
      </c>
    </row>
    <row r="2579" spans="1:8">
      <c r="A2579" s="1" t="s">
        <v>2001</v>
      </c>
      <c r="B2579" s="1" t="s">
        <v>26</v>
      </c>
      <c r="C2579" s="1" t="s">
        <v>3033</v>
      </c>
      <c r="D2579" s="1" t="s">
        <v>19</v>
      </c>
      <c r="E2579" s="12">
        <f>F2579/3</f>
        <v>0.15240000000000001</v>
      </c>
      <c r="F2579" s="12">
        <f>Systems!D189</f>
        <v>0.4572</v>
      </c>
      <c r="G2579" s="1" t="s">
        <v>14</v>
      </c>
      <c r="H2579" s="1" t="s">
        <v>995</v>
      </c>
    </row>
    <row r="2580" spans="1:8">
      <c r="A2580" s="1" t="s">
        <v>2113</v>
      </c>
      <c r="B2580" s="1" t="s">
        <v>26</v>
      </c>
      <c r="C2580" s="1" t="s">
        <v>3033</v>
      </c>
      <c r="D2580" s="1" t="s">
        <v>19</v>
      </c>
      <c r="E2580" s="12">
        <f>F2580/96</f>
        <v>4.7625000000000002E-3</v>
      </c>
      <c r="F2580" s="12">
        <f>Systems!D189</f>
        <v>0.4572</v>
      </c>
      <c r="G2580" s="1" t="s">
        <v>14</v>
      </c>
      <c r="H2580" s="1" t="s">
        <v>995</v>
      </c>
    </row>
    <row r="2581" spans="1:8">
      <c r="A2581" s="1" t="s">
        <v>2194</v>
      </c>
      <c r="B2581" s="1" t="s">
        <v>26</v>
      </c>
      <c r="C2581" s="1" t="s">
        <v>3033</v>
      </c>
      <c r="D2581" s="1" t="s">
        <v>19</v>
      </c>
      <c r="E2581" s="12">
        <f>140*F2581</f>
        <v>64.007999999999996</v>
      </c>
      <c r="F2581" s="12">
        <f>Systems!D189</f>
        <v>0.4572</v>
      </c>
      <c r="G2581" s="1" t="s">
        <v>14</v>
      </c>
      <c r="H2581" s="1" t="s">
        <v>995</v>
      </c>
    </row>
    <row r="2582" spans="1:8">
      <c r="A2582" s="1" t="s">
        <v>2430</v>
      </c>
      <c r="B2582" s="1" t="s">
        <v>26</v>
      </c>
      <c r="C2582" s="1" t="s">
        <v>3033</v>
      </c>
      <c r="D2582" s="1" t="s">
        <v>19</v>
      </c>
      <c r="E2582" s="12">
        <f>F2582/5760</f>
        <v>7.9375000000000005E-5</v>
      </c>
      <c r="F2582" s="12">
        <f>Systems!D189</f>
        <v>0.4572</v>
      </c>
      <c r="G2582" s="1" t="s">
        <v>14</v>
      </c>
      <c r="H2582" s="1" t="s">
        <v>995</v>
      </c>
    </row>
    <row r="2583" spans="1:8">
      <c r="A2583" s="1" t="s">
        <v>2592</v>
      </c>
      <c r="B2583" s="1" t="s">
        <v>26</v>
      </c>
      <c r="C2583" s="1" t="s">
        <v>3033</v>
      </c>
      <c r="D2583" s="1" t="s">
        <v>19</v>
      </c>
      <c r="E2583" s="12">
        <f>7*F2583</f>
        <v>3.2004000000000001</v>
      </c>
      <c r="F2583" s="12">
        <f>Systems!D189</f>
        <v>0.4572</v>
      </c>
      <c r="G2583" s="1" t="s">
        <v>14</v>
      </c>
      <c r="H2583" s="1" t="s">
        <v>995</v>
      </c>
    </row>
    <row r="2584" spans="1:8">
      <c r="A2584" s="1" t="s">
        <v>996</v>
      </c>
      <c r="B2584" s="1" t="s">
        <v>26</v>
      </c>
      <c r="C2584" s="1" t="s">
        <v>3033</v>
      </c>
      <c r="D2584" s="1" t="s">
        <v>19</v>
      </c>
      <c r="E2584" s="12">
        <f>F2584</f>
        <v>0.4572</v>
      </c>
      <c r="F2584" s="12">
        <f>Systems!D189</f>
        <v>0.4572</v>
      </c>
      <c r="G2584" s="1" t="s">
        <v>14</v>
      </c>
      <c r="H2584" s="1" t="s">
        <v>995</v>
      </c>
    </row>
    <row r="2585" spans="1:8">
      <c r="A2585" s="1" t="s">
        <v>2814</v>
      </c>
      <c r="B2585" s="1" t="s">
        <v>26</v>
      </c>
      <c r="C2585" s="1" t="s">
        <v>3033</v>
      </c>
      <c r="D2585" s="1" t="s">
        <v>19</v>
      </c>
      <c r="E2585" s="12">
        <f>44800*F2585</f>
        <v>20482.560000000001</v>
      </c>
      <c r="F2585" s="12">
        <f>Systems!D189</f>
        <v>0.4572</v>
      </c>
      <c r="G2585" s="1" t="s">
        <v>14</v>
      </c>
      <c r="H2585" s="1" t="s">
        <v>995</v>
      </c>
    </row>
    <row r="2586" spans="1:8" ht="16.5">
      <c r="A2586" s="1" t="s">
        <v>5018</v>
      </c>
      <c r="B2586" s="1" t="s">
        <v>26</v>
      </c>
      <c r="C2586" s="1" t="s">
        <v>3034</v>
      </c>
      <c r="D2586" s="1" t="s">
        <v>38</v>
      </c>
      <c r="E2586" s="12">
        <f>F2586</f>
        <v>0.20903184</v>
      </c>
      <c r="F2586" s="12">
        <f>Systems!H189</f>
        <v>0.20903184</v>
      </c>
      <c r="G2586" s="1" t="s">
        <v>39</v>
      </c>
      <c r="H2586" s="1" t="s">
        <v>995</v>
      </c>
    </row>
    <row r="2587" spans="1:8" ht="16.5">
      <c r="A2587" s="1" t="s">
        <v>5019</v>
      </c>
      <c r="B2587" s="1" t="s">
        <v>26</v>
      </c>
      <c r="C2587" s="1" t="s">
        <v>2936</v>
      </c>
      <c r="D2587" s="1" t="s">
        <v>32</v>
      </c>
      <c r="E2587" s="12">
        <f>F2587</f>
        <v>9.5569357248000003E-2</v>
      </c>
      <c r="F2587" s="12">
        <f>Systems!T189</f>
        <v>9.5569357248000003E-2</v>
      </c>
      <c r="G2587" s="1" t="s">
        <v>33</v>
      </c>
      <c r="H2587" s="1" t="s">
        <v>995</v>
      </c>
    </row>
    <row r="2588" spans="1:8" ht="16.5">
      <c r="A2588" s="1" t="s">
        <v>1747</v>
      </c>
      <c r="B2588" s="1" t="s">
        <v>26</v>
      </c>
      <c r="C2588" s="1" t="s">
        <v>2935</v>
      </c>
      <c r="D2588" s="1" t="s">
        <v>32</v>
      </c>
      <c r="E2588" s="12">
        <f>16*F2588</f>
        <v>2.045744E-2</v>
      </c>
      <c r="F2588" s="12">
        <f>Systems!P189</f>
        <v>1.27859E-3</v>
      </c>
      <c r="G2588" s="1" t="s">
        <v>33</v>
      </c>
      <c r="H2588" s="1" t="s">
        <v>995</v>
      </c>
    </row>
    <row r="2589" spans="1:8" ht="16.5">
      <c r="A2589" s="1" t="s">
        <v>998</v>
      </c>
      <c r="B2589" s="1" t="s">
        <v>26</v>
      </c>
      <c r="C2589" s="1" t="s">
        <v>2935</v>
      </c>
      <c r="D2589" s="1" t="s">
        <v>32</v>
      </c>
      <c r="E2589" s="12">
        <f>F2589</f>
        <v>1.27859E-3</v>
      </c>
      <c r="F2589" s="12">
        <f>Systems!P189</f>
        <v>1.27859E-3</v>
      </c>
      <c r="G2589" s="1" t="s">
        <v>33</v>
      </c>
      <c r="H2589" s="1" t="s">
        <v>995</v>
      </c>
    </row>
    <row r="2590" spans="1:8" ht="16.5">
      <c r="A2590" s="1" t="s">
        <v>5020</v>
      </c>
      <c r="B2590" s="1" t="s">
        <v>26</v>
      </c>
      <c r="C2590" s="1" t="s">
        <v>2935</v>
      </c>
      <c r="D2590" s="1" t="s">
        <v>32</v>
      </c>
      <c r="E2590" s="12">
        <f>F2590/4</f>
        <v>3.1964750000000001E-4</v>
      </c>
      <c r="F2590" s="12">
        <f>Systems!P189</f>
        <v>1.27859E-3</v>
      </c>
      <c r="G2590" s="1" t="s">
        <v>33</v>
      </c>
      <c r="H2590" s="1" t="s">
        <v>995</v>
      </c>
    </row>
    <row r="2591" spans="1:8" ht="16.5">
      <c r="A2591" s="1" t="s">
        <v>5021</v>
      </c>
      <c r="B2591" s="1" t="s">
        <v>26</v>
      </c>
      <c r="C2591" s="1" t="s">
        <v>2935</v>
      </c>
      <c r="D2591" s="1" t="s">
        <v>32</v>
      </c>
      <c r="E2591" s="12">
        <f>F2591/16</f>
        <v>7.9911875000000001E-5</v>
      </c>
      <c r="F2591" s="12">
        <f>Systems!P189</f>
        <v>1.27859E-3</v>
      </c>
      <c r="G2591" s="1" t="s">
        <v>33</v>
      </c>
      <c r="H2591" s="1" t="s">
        <v>995</v>
      </c>
    </row>
    <row r="2592" spans="1:8" ht="16.5">
      <c r="A2592" s="1" t="s">
        <v>5022</v>
      </c>
      <c r="B2592" s="1" t="s">
        <v>26</v>
      </c>
      <c r="C2592" s="1" t="s">
        <v>2935</v>
      </c>
      <c r="D2592" s="1" t="s">
        <v>32</v>
      </c>
      <c r="E2592" s="12">
        <f>F2592/8</f>
        <v>1.5982375E-4</v>
      </c>
      <c r="F2592" s="12">
        <f>Systems!P189</f>
        <v>1.27859E-3</v>
      </c>
      <c r="G2592" s="1" t="s">
        <v>33</v>
      </c>
      <c r="H2592" s="1" t="s">
        <v>995</v>
      </c>
    </row>
    <row r="2593" spans="1:8" ht="16.5">
      <c r="A2593" s="1" t="s">
        <v>2318</v>
      </c>
      <c r="B2593" s="1" t="s">
        <v>26</v>
      </c>
      <c r="C2593" s="1" t="s">
        <v>2935</v>
      </c>
      <c r="D2593" s="1" t="s">
        <v>32</v>
      </c>
      <c r="E2593" s="12">
        <f>2*F2593</f>
        <v>2.55718E-3</v>
      </c>
      <c r="F2593" s="12">
        <f>Systems!P189</f>
        <v>1.27859E-3</v>
      </c>
      <c r="G2593" s="1" t="s">
        <v>33</v>
      </c>
      <c r="H2593" s="1" t="s">
        <v>995</v>
      </c>
    </row>
    <row r="2594" spans="1:8" ht="16.5">
      <c r="A2594" s="1" t="s">
        <v>5023</v>
      </c>
      <c r="B2594" s="1" t="s">
        <v>26</v>
      </c>
      <c r="C2594" s="1" t="s">
        <v>2935</v>
      </c>
      <c r="D2594" s="1" t="s">
        <v>32</v>
      </c>
      <c r="E2594" s="12">
        <f>F2594/2</f>
        <v>6.3929500000000001E-4</v>
      </c>
      <c r="F2594" s="12">
        <f>Systems!P189</f>
        <v>1.27859E-3</v>
      </c>
      <c r="G2594" s="1" t="s">
        <v>33</v>
      </c>
      <c r="H2594" s="1" t="s">
        <v>995</v>
      </c>
    </row>
    <row r="2595" spans="1:8" ht="16.5">
      <c r="A2595" s="1" t="s">
        <v>2469</v>
      </c>
      <c r="B2595" s="1" t="s">
        <v>26</v>
      </c>
      <c r="C2595" s="1" t="s">
        <v>2935</v>
      </c>
      <c r="D2595" s="1" t="s">
        <v>32</v>
      </c>
      <c r="E2595" s="12">
        <f>8*F2595</f>
        <v>1.022872E-2</v>
      </c>
      <c r="F2595" s="12">
        <f>Systems!P189</f>
        <v>1.27859E-3</v>
      </c>
      <c r="G2595" s="1" t="s">
        <v>33</v>
      </c>
      <c r="H2595" s="1" t="s">
        <v>995</v>
      </c>
    </row>
    <row r="2596" spans="1:8" ht="16.5">
      <c r="A2596" s="1" t="s">
        <v>2661</v>
      </c>
      <c r="B2596" s="1" t="s">
        <v>26</v>
      </c>
      <c r="C2596" s="1" t="s">
        <v>2935</v>
      </c>
      <c r="D2596" s="1" t="s">
        <v>32</v>
      </c>
      <c r="E2596" s="12">
        <f>32*F2596</f>
        <v>4.0914880000000001E-2</v>
      </c>
      <c r="F2596" s="12">
        <f>Systems!P189</f>
        <v>1.27859E-3</v>
      </c>
      <c r="G2596" s="1" t="s">
        <v>33</v>
      </c>
      <c r="H2596" s="1" t="s">
        <v>995</v>
      </c>
    </row>
    <row r="2597" spans="1:8">
      <c r="A2597" s="1" t="s">
        <v>5024</v>
      </c>
      <c r="B2597" s="1" t="s">
        <v>26</v>
      </c>
      <c r="C2597" s="1" t="s">
        <v>17</v>
      </c>
      <c r="D2597" s="1" t="s">
        <v>20</v>
      </c>
      <c r="E2597" s="12">
        <f>400*F2597</f>
        <v>163.29320000000001</v>
      </c>
      <c r="F2597" s="12">
        <f>Systems!L189</f>
        <v>0.40823300000000001</v>
      </c>
      <c r="G2597" s="1" t="s">
        <v>23</v>
      </c>
      <c r="H2597" s="1" t="s">
        <v>995</v>
      </c>
    </row>
    <row r="2598" spans="1:8">
      <c r="A2598" s="1" t="s">
        <v>997</v>
      </c>
      <c r="B2598" s="1" t="s">
        <v>26</v>
      </c>
      <c r="C2598" s="1" t="s">
        <v>17</v>
      </c>
      <c r="D2598" s="1" t="s">
        <v>20</v>
      </c>
      <c r="E2598" s="12">
        <f>F2598</f>
        <v>0.40823300000000001</v>
      </c>
      <c r="F2598" s="12">
        <f>Systems!L189</f>
        <v>0.40823300000000001</v>
      </c>
      <c r="G2598" s="1" t="s">
        <v>23</v>
      </c>
      <c r="H2598" s="1" t="s">
        <v>995</v>
      </c>
    </row>
    <row r="2599" spans="1:8">
      <c r="A2599" s="1" t="s">
        <v>1243</v>
      </c>
      <c r="B2599" s="1" t="s">
        <v>26</v>
      </c>
      <c r="C2599" s="1" t="s">
        <v>17</v>
      </c>
      <c r="D2599" s="1" t="s">
        <v>20</v>
      </c>
      <c r="E2599" s="12">
        <f>F2599/2</f>
        <v>0.20411650000000001</v>
      </c>
      <c r="F2599" s="12">
        <f>Systems!L189</f>
        <v>0.40823300000000001</v>
      </c>
      <c r="G2599" s="1" t="s">
        <v>23</v>
      </c>
      <c r="H2599" s="1" t="s">
        <v>995</v>
      </c>
    </row>
    <row r="2600" spans="1:8">
      <c r="A2600" s="1" t="s">
        <v>1913</v>
      </c>
      <c r="B2600" s="1" t="s">
        <v>26</v>
      </c>
      <c r="C2600" s="1" t="s">
        <v>17</v>
      </c>
      <c r="D2600" s="1" t="s">
        <v>20</v>
      </c>
      <c r="E2600" s="12">
        <f>F2600/25</f>
        <v>1.6329320000000001E-2</v>
      </c>
      <c r="F2600" s="12">
        <f>Systems!L189</f>
        <v>0.40823300000000001</v>
      </c>
      <c r="G2600" s="1" t="s">
        <v>23</v>
      </c>
      <c r="H2600" s="1" t="s">
        <v>995</v>
      </c>
    </row>
    <row r="2601" spans="1:8">
      <c r="A2601" s="1" t="s">
        <v>2034</v>
      </c>
      <c r="B2601" s="1" t="s">
        <v>26</v>
      </c>
      <c r="C2601" s="1" t="s">
        <v>17</v>
      </c>
      <c r="D2601" s="1" t="s">
        <v>20</v>
      </c>
      <c r="E2601" s="12">
        <f>F2601/100</f>
        <v>4.0823300000000003E-3</v>
      </c>
      <c r="F2601" s="12">
        <f>Systems!L189</f>
        <v>0.40823300000000001</v>
      </c>
      <c r="G2601" s="1" t="s">
        <v>23</v>
      </c>
      <c r="H2601" s="1" t="s">
        <v>995</v>
      </c>
    </row>
    <row r="2602" spans="1:8">
      <c r="A2602" s="1" t="s">
        <v>2110</v>
      </c>
      <c r="B2602" s="1" t="s">
        <v>26</v>
      </c>
      <c r="C2602" s="1" t="s">
        <v>17</v>
      </c>
      <c r="D2602" s="1" t="s">
        <v>20</v>
      </c>
      <c r="E2602" s="12">
        <f>F2602/200</f>
        <v>2.0411650000000002E-3</v>
      </c>
      <c r="F2602" s="12">
        <f>Systems!L189</f>
        <v>0.40823300000000001</v>
      </c>
      <c r="G2602" s="1" t="s">
        <v>23</v>
      </c>
      <c r="H2602" s="1" t="s">
        <v>995</v>
      </c>
    </row>
    <row r="2603" spans="1:8">
      <c r="A2603" s="1" t="s">
        <v>5025</v>
      </c>
      <c r="B2603" s="1" t="s">
        <v>26</v>
      </c>
      <c r="C2603" s="1" t="s">
        <v>17</v>
      </c>
      <c r="D2603" s="1" t="s">
        <v>20</v>
      </c>
      <c r="E2603" s="12">
        <f>F2603/50</f>
        <v>8.1646600000000007E-3</v>
      </c>
      <c r="F2603" s="12">
        <f>Systems!L189</f>
        <v>0.40823300000000001</v>
      </c>
      <c r="G2603" s="1" t="s">
        <v>23</v>
      </c>
      <c r="H2603" s="1" t="s">
        <v>995</v>
      </c>
    </row>
    <row r="2604" spans="1:8">
      <c r="A2604" s="1" t="s">
        <v>5026</v>
      </c>
      <c r="B2604" s="1" t="s">
        <v>26</v>
      </c>
      <c r="C2604" s="1" t="s">
        <v>17</v>
      </c>
      <c r="D2604" s="1" t="s">
        <v>20</v>
      </c>
      <c r="E2604" s="12">
        <f>2*F2604</f>
        <v>0.81646600000000003</v>
      </c>
      <c r="F2604" s="12">
        <f>Systems!L189</f>
        <v>0.40823300000000001</v>
      </c>
      <c r="G2604" s="1" t="s">
        <v>23</v>
      </c>
      <c r="H2604" s="1" t="s">
        <v>995</v>
      </c>
    </row>
    <row r="2605" spans="1:8">
      <c r="A2605" s="1" t="s">
        <v>2244</v>
      </c>
      <c r="B2605" s="1" t="s">
        <v>26</v>
      </c>
      <c r="C2605" s="1" t="s">
        <v>17</v>
      </c>
      <c r="D2605" s="1" t="s">
        <v>20</v>
      </c>
      <c r="E2605" s="12">
        <f>4*F2605</f>
        <v>1.6329320000000001</v>
      </c>
      <c r="F2605" s="12">
        <f>Systems!L189</f>
        <v>0.40823300000000001</v>
      </c>
      <c r="G2605" s="1" t="s">
        <v>23</v>
      </c>
      <c r="H2605" s="1" t="s">
        <v>995</v>
      </c>
    </row>
    <row r="2606" spans="1:8">
      <c r="A2606" s="1" t="s">
        <v>2252</v>
      </c>
      <c r="B2606" s="1" t="s">
        <v>26</v>
      </c>
      <c r="C2606" s="1" t="s">
        <v>17</v>
      </c>
      <c r="D2606" s="1" t="s">
        <v>20</v>
      </c>
      <c r="E2606" s="12">
        <f>F2606/400</f>
        <v>1.0205825000000001E-3</v>
      </c>
      <c r="F2606" s="12">
        <f>Systems!L189</f>
        <v>0.40823300000000001</v>
      </c>
      <c r="G2606" s="1" t="s">
        <v>23</v>
      </c>
      <c r="H2606" s="1" t="s">
        <v>995</v>
      </c>
    </row>
    <row r="2607" spans="1:8">
      <c r="A2607" s="1" t="s">
        <v>5027</v>
      </c>
      <c r="B2607" s="1" t="s">
        <v>26</v>
      </c>
      <c r="C2607" s="1" t="s">
        <v>17</v>
      </c>
      <c r="D2607" s="1" t="s">
        <v>20</v>
      </c>
      <c r="E2607" s="12">
        <f>F2607/1500</f>
        <v>2.7215533333333332E-4</v>
      </c>
      <c r="F2607" s="12">
        <f>Systems!L189</f>
        <v>0.40823300000000001</v>
      </c>
      <c r="G2607" s="1" t="s">
        <v>23</v>
      </c>
      <c r="H2607" s="1" t="s">
        <v>995</v>
      </c>
    </row>
    <row r="2608" spans="1:8">
      <c r="A2608" s="1" t="s">
        <v>5028</v>
      </c>
      <c r="B2608" s="1" t="s">
        <v>26</v>
      </c>
      <c r="C2608" s="1" t="s">
        <v>17</v>
      </c>
      <c r="D2608" s="1" t="s">
        <v>20</v>
      </c>
      <c r="E2608" s="12">
        <f>F2608/3000</f>
        <v>1.3607766666666666E-4</v>
      </c>
      <c r="F2608" s="12">
        <f>Systems!L189</f>
        <v>0.40823300000000001</v>
      </c>
      <c r="G2608" s="1" t="s">
        <v>23</v>
      </c>
      <c r="H2608" s="1" t="s">
        <v>995</v>
      </c>
    </row>
    <row r="2609" spans="1:8">
      <c r="A2609" s="248"/>
      <c r="B2609" s="248"/>
      <c r="C2609" s="248"/>
      <c r="D2609" s="248"/>
      <c r="E2609" s="250"/>
      <c r="F2609" s="250"/>
      <c r="G2609" s="248"/>
      <c r="H2609" s="248"/>
    </row>
    <row r="2610" spans="1:8">
      <c r="A2610" t="s">
        <v>7253</v>
      </c>
      <c r="B2610" s="336" t="s">
        <v>26</v>
      </c>
      <c r="C2610" s="1" t="s">
        <v>3033</v>
      </c>
      <c r="D2610" s="1" t="s">
        <v>19</v>
      </c>
      <c r="E2610" s="337">
        <f>F2610</f>
        <v>1.9050000000000001E-2</v>
      </c>
      <c r="F2610" s="337">
        <f>Systems!D204</f>
        <v>1.9050000000000001E-2</v>
      </c>
      <c r="G2610" s="336" t="s">
        <v>14</v>
      </c>
      <c r="H2610" s="336" t="s">
        <v>7256</v>
      </c>
    </row>
    <row r="2611" spans="1:8">
      <c r="A2611" t="s">
        <v>7257</v>
      </c>
      <c r="B2611" s="336" t="s">
        <v>26</v>
      </c>
      <c r="C2611" s="1" t="s">
        <v>3033</v>
      </c>
      <c r="D2611" s="1" t="s">
        <v>19</v>
      </c>
      <c r="E2611" s="337">
        <f>4*F2611</f>
        <v>7.6200000000000004E-2</v>
      </c>
      <c r="F2611" s="337">
        <f>Systems!D204</f>
        <v>1.9050000000000001E-2</v>
      </c>
      <c r="G2611" s="336" t="s">
        <v>14</v>
      </c>
      <c r="H2611" s="336" t="s">
        <v>7256</v>
      </c>
    </row>
    <row r="2612" spans="1:8">
      <c r="A2612" t="s">
        <v>7258</v>
      </c>
      <c r="B2612" s="336" t="s">
        <v>26</v>
      </c>
      <c r="C2612" s="1" t="s">
        <v>3033</v>
      </c>
      <c r="D2612" s="1" t="s">
        <v>19</v>
      </c>
      <c r="E2612" s="337">
        <f>8*F2612</f>
        <v>0.15240000000000001</v>
      </c>
      <c r="F2612" s="337">
        <f>Systems!D204</f>
        <v>1.9050000000000001E-2</v>
      </c>
      <c r="G2612" s="336" t="s">
        <v>14</v>
      </c>
      <c r="H2612" s="336" t="s">
        <v>7256</v>
      </c>
    </row>
    <row r="2613" spans="1:8">
      <c r="A2613" t="s">
        <v>7259</v>
      </c>
      <c r="B2613" s="336" t="s">
        <v>26</v>
      </c>
      <c r="C2613" s="1" t="s">
        <v>3033</v>
      </c>
      <c r="D2613" s="1" t="s">
        <v>19</v>
      </c>
      <c r="E2613" s="337">
        <f>12*F2613</f>
        <v>0.22860000000000003</v>
      </c>
      <c r="F2613" s="337">
        <f>Systems!D204</f>
        <v>1.9050000000000001E-2</v>
      </c>
      <c r="G2613" s="336" t="s">
        <v>14</v>
      </c>
      <c r="H2613" s="336" t="s">
        <v>7256</v>
      </c>
    </row>
    <row r="2614" spans="1:8">
      <c r="A2614" t="s">
        <v>7260</v>
      </c>
      <c r="B2614" s="336" t="s">
        <v>26</v>
      </c>
      <c r="C2614" s="1" t="s">
        <v>3033</v>
      </c>
      <c r="D2614" s="1" t="s">
        <v>19</v>
      </c>
      <c r="E2614" s="337">
        <f>24*F2614</f>
        <v>0.45720000000000005</v>
      </c>
      <c r="F2614" s="337">
        <f>Systems!D204</f>
        <v>1.9050000000000001E-2</v>
      </c>
      <c r="G2614" s="336" t="s">
        <v>14</v>
      </c>
      <c r="H2614" s="336" t="s">
        <v>7256</v>
      </c>
    </row>
    <row r="2615" spans="1:8">
      <c r="A2615" t="s">
        <v>1517</v>
      </c>
      <c r="B2615" s="336" t="s">
        <v>7262</v>
      </c>
      <c r="C2615" s="1" t="s">
        <v>3033</v>
      </c>
      <c r="D2615" s="1" t="s">
        <v>19</v>
      </c>
      <c r="E2615" s="337">
        <f>96*F2615</f>
        <v>1.8288000000000002</v>
      </c>
      <c r="F2615" s="337">
        <f>Systems!D204</f>
        <v>1.9050000000000001E-2</v>
      </c>
      <c r="G2615" s="336" t="s">
        <v>14</v>
      </c>
      <c r="H2615" s="336" t="s">
        <v>7256</v>
      </c>
    </row>
    <row r="2616" spans="1:8">
      <c r="A2616" t="s">
        <v>7184</v>
      </c>
      <c r="B2616" t="s">
        <v>7261</v>
      </c>
      <c r="C2616" s="1" t="s">
        <v>3033</v>
      </c>
      <c r="D2616" s="1" t="s">
        <v>19</v>
      </c>
      <c r="E2616" s="337">
        <f>192000*F2616</f>
        <v>3657.6000000000004</v>
      </c>
      <c r="F2616" s="337">
        <f>Systems!D204</f>
        <v>1.9050000000000001E-2</v>
      </c>
      <c r="G2616" s="336" t="s">
        <v>14</v>
      </c>
      <c r="H2616" s="336" t="s">
        <v>7256</v>
      </c>
    </row>
    <row r="2617" spans="1:8">
      <c r="A2617" t="s">
        <v>7263</v>
      </c>
      <c r="B2617" s="336" t="s">
        <v>26</v>
      </c>
      <c r="C2617" s="1" t="s">
        <v>3033</v>
      </c>
      <c r="D2617" s="1" t="s">
        <v>19</v>
      </c>
      <c r="E2617" s="337">
        <f>768000*F2617</f>
        <v>14630.400000000001</v>
      </c>
      <c r="F2617" s="337">
        <f>Systems!D204</f>
        <v>1.9050000000000001E-2</v>
      </c>
      <c r="G2617" s="336" t="s">
        <v>14</v>
      </c>
      <c r="H2617" s="336" t="s">
        <v>7256</v>
      </c>
    </row>
    <row r="2618" spans="1:8" ht="16.5">
      <c r="A2618" t="s">
        <v>165</v>
      </c>
      <c r="B2618" s="336" t="s">
        <v>26</v>
      </c>
      <c r="C2618" s="1" t="s">
        <v>3034</v>
      </c>
      <c r="D2618" s="1" t="s">
        <v>38</v>
      </c>
      <c r="E2618" s="337">
        <f>F2618</f>
        <v>1.9872540900000004</v>
      </c>
      <c r="F2618" s="337">
        <f>Systems!H204</f>
        <v>1.9872540900000004</v>
      </c>
      <c r="G2618" s="1" t="s">
        <v>39</v>
      </c>
      <c r="H2618" s="336" t="s">
        <v>7256</v>
      </c>
    </row>
    <row r="2619" spans="1:8" ht="16.5">
      <c r="A2619" t="s">
        <v>7264</v>
      </c>
      <c r="B2619" s="336" t="s">
        <v>26</v>
      </c>
      <c r="C2619" s="1" t="s">
        <v>3034</v>
      </c>
      <c r="D2619" s="1" t="s">
        <v>38</v>
      </c>
      <c r="E2619" s="337">
        <f>4*F2619</f>
        <v>7.9490163600000017</v>
      </c>
      <c r="F2619" s="337">
        <f>Systems!H204</f>
        <v>1.9872540900000004</v>
      </c>
      <c r="G2619" s="1" t="s">
        <v>39</v>
      </c>
      <c r="H2619" s="336" t="s">
        <v>7256</v>
      </c>
    </row>
    <row r="2620" spans="1:8" ht="16.5">
      <c r="A2620" t="s">
        <v>7265</v>
      </c>
      <c r="B2620" s="336" t="s">
        <v>26</v>
      </c>
      <c r="C2620" s="1" t="s">
        <v>3034</v>
      </c>
      <c r="D2620" s="1" t="s">
        <v>38</v>
      </c>
      <c r="E2620" s="337">
        <f>16*F2620</f>
        <v>31.796065440000007</v>
      </c>
      <c r="F2620" s="337">
        <f>Systems!H204</f>
        <v>1.9872540900000004</v>
      </c>
      <c r="G2620" s="1" t="s">
        <v>39</v>
      </c>
      <c r="H2620" s="336" t="s">
        <v>7256</v>
      </c>
    </row>
    <row r="2621" spans="1:8" ht="16.5">
      <c r="A2621" t="s">
        <v>7266</v>
      </c>
      <c r="B2621" s="336" t="s">
        <v>26</v>
      </c>
      <c r="C2621" s="1" t="s">
        <v>3034</v>
      </c>
      <c r="D2621" s="1" t="s">
        <v>38</v>
      </c>
      <c r="E2621" s="337">
        <f>256*F2621</f>
        <v>508.73704704000011</v>
      </c>
      <c r="F2621" s="337">
        <f>Systems!H204</f>
        <v>1.9872540900000004</v>
      </c>
      <c r="G2621" s="1" t="s">
        <v>39</v>
      </c>
      <c r="H2621" s="336" t="s">
        <v>7256</v>
      </c>
    </row>
    <row r="2622" spans="1:8" ht="16.5">
      <c r="A2622" t="s">
        <v>7267</v>
      </c>
      <c r="B2622" s="336" t="s">
        <v>26</v>
      </c>
      <c r="C2622" s="1" t="s">
        <v>3034</v>
      </c>
      <c r="D2622" s="1" t="s">
        <v>38</v>
      </c>
      <c r="E2622" s="337">
        <f>F2622</f>
        <v>16.931579039999999</v>
      </c>
      <c r="F2622" s="337">
        <f>Systems!H205</f>
        <v>16.931579039999999</v>
      </c>
      <c r="G2622" s="1" t="s">
        <v>39</v>
      </c>
      <c r="H2622" s="336" t="s">
        <v>7256</v>
      </c>
    </row>
    <row r="2623" spans="1:8" ht="16.5">
      <c r="A2623" t="s">
        <v>7268</v>
      </c>
      <c r="B2623" s="336" t="s">
        <v>26</v>
      </c>
      <c r="C2623" s="1" t="s">
        <v>3034</v>
      </c>
      <c r="D2623" s="1" t="s">
        <v>38</v>
      </c>
      <c r="E2623" s="337">
        <f>20*F2623</f>
        <v>338.63158079999999</v>
      </c>
      <c r="F2623" s="337">
        <f>Systems!H205</f>
        <v>16.931579039999999</v>
      </c>
      <c r="G2623" s="1" t="s">
        <v>39</v>
      </c>
      <c r="H2623" s="336" t="s">
        <v>7256</v>
      </c>
    </row>
    <row r="2624" spans="1:8" ht="16.5">
      <c r="A2624" t="s">
        <v>1293</v>
      </c>
      <c r="B2624" s="336" t="s">
        <v>26</v>
      </c>
      <c r="C2624" s="1" t="s">
        <v>3034</v>
      </c>
      <c r="D2624" s="1" t="s">
        <v>38</v>
      </c>
      <c r="E2624" s="337">
        <f>400*F2624</f>
        <v>6772.6316159999997</v>
      </c>
      <c r="F2624" s="337">
        <f>Systems!H205</f>
        <v>16.931579039999999</v>
      </c>
      <c r="G2624" s="1" t="s">
        <v>39</v>
      </c>
      <c r="H2624" s="336" t="s">
        <v>7256</v>
      </c>
    </row>
    <row r="2625" spans="1:8" ht="16.5">
      <c r="A2625" t="s">
        <v>7269</v>
      </c>
      <c r="B2625" s="336" t="s">
        <v>26</v>
      </c>
      <c r="C2625" s="1" t="s">
        <v>3034</v>
      </c>
      <c r="D2625" s="1" t="s">
        <v>38</v>
      </c>
      <c r="E2625" s="337">
        <f>6400*F2625</f>
        <v>12718.426176000003</v>
      </c>
      <c r="F2625" s="337">
        <f>Systems!H204</f>
        <v>1.9872540900000004</v>
      </c>
      <c r="G2625" s="1" t="s">
        <v>39</v>
      </c>
      <c r="H2625" s="336" t="s">
        <v>7256</v>
      </c>
    </row>
    <row r="2626" spans="1:8" ht="16.5">
      <c r="A2626" t="s">
        <v>7255</v>
      </c>
      <c r="B2626" s="336" t="s">
        <v>26</v>
      </c>
      <c r="C2626" s="1" t="s">
        <v>2936</v>
      </c>
      <c r="D2626" s="1" t="s">
        <v>32</v>
      </c>
      <c r="E2626" s="337">
        <f>F2626</f>
        <v>6.913292625000001E-6</v>
      </c>
      <c r="F2626" s="337">
        <f>Systems!T204</f>
        <v>6.913292625000001E-6</v>
      </c>
      <c r="G2626" s="1" t="s">
        <v>33</v>
      </c>
      <c r="H2626" s="336" t="s">
        <v>7256</v>
      </c>
    </row>
    <row r="2627" spans="1:8" ht="16.5">
      <c r="A2627" t="s">
        <v>7254</v>
      </c>
      <c r="B2627" s="336" t="s">
        <v>26</v>
      </c>
      <c r="C2627" s="1" t="s">
        <v>2935</v>
      </c>
      <c r="D2627" s="1" t="s">
        <v>32</v>
      </c>
      <c r="E2627" s="337">
        <f>F2627</f>
        <v>4.5459599999999999E-3</v>
      </c>
      <c r="F2627" s="337">
        <f>Systems!P204</f>
        <v>4.5459599999999999E-3</v>
      </c>
      <c r="G2627" s="1" t="s">
        <v>33</v>
      </c>
      <c r="H2627" s="336" t="s">
        <v>7256</v>
      </c>
    </row>
    <row r="2628" spans="1:8" ht="16.5">
      <c r="A2628" t="s">
        <v>7270</v>
      </c>
      <c r="B2628" s="336" t="s">
        <v>26</v>
      </c>
      <c r="C2628" s="1" t="s">
        <v>2935</v>
      </c>
      <c r="D2628" s="1" t="s">
        <v>32</v>
      </c>
      <c r="E2628" s="337">
        <f>F2628/8</f>
        <v>5.6824499999999999E-4</v>
      </c>
      <c r="F2628" s="337">
        <f>Systems!P204</f>
        <v>4.5459599999999999E-3</v>
      </c>
      <c r="G2628" s="1" t="s">
        <v>33</v>
      </c>
      <c r="H2628" s="336" t="s">
        <v>7256</v>
      </c>
    </row>
    <row r="2629" spans="1:8" ht="16.5">
      <c r="A2629" t="s">
        <v>7271</v>
      </c>
      <c r="B2629" s="336" t="s">
        <v>26</v>
      </c>
      <c r="C2629" s="1" t="s">
        <v>2935</v>
      </c>
      <c r="D2629" s="1" t="s">
        <v>32</v>
      </c>
      <c r="E2629" s="337">
        <f>F2629/80</f>
        <v>5.6824499999999998E-5</v>
      </c>
      <c r="F2629" s="337">
        <f>Systems!P204</f>
        <v>4.5459599999999999E-3</v>
      </c>
      <c r="G2629" s="1" t="s">
        <v>33</v>
      </c>
      <c r="H2629" s="336" t="s">
        <v>7256</v>
      </c>
    </row>
    <row r="2630" spans="1:8" ht="16.5">
      <c r="A2630" t="s">
        <v>7272</v>
      </c>
      <c r="B2630" s="336" t="s">
        <v>26</v>
      </c>
      <c r="C2630" s="1" t="s">
        <v>2935</v>
      </c>
      <c r="D2630" s="1" t="s">
        <v>32</v>
      </c>
      <c r="E2630" s="337">
        <f>20*F2630</f>
        <v>9.0919200000000006E-2</v>
      </c>
      <c r="F2630" s="337">
        <f>Systems!P204</f>
        <v>4.5459599999999999E-3</v>
      </c>
      <c r="G2630" s="1" t="s">
        <v>33</v>
      </c>
      <c r="H2630" s="336" t="s">
        <v>7256</v>
      </c>
    </row>
    <row r="2631" spans="1:8">
      <c r="A2631" t="s">
        <v>2673</v>
      </c>
      <c r="B2631" s="336" t="s">
        <v>26</v>
      </c>
      <c r="C2631" s="1" t="s">
        <v>17</v>
      </c>
      <c r="D2631" s="1" t="s">
        <v>20</v>
      </c>
      <c r="E2631" s="337">
        <f>F2631</f>
        <v>1.166E-2</v>
      </c>
      <c r="F2631" s="337">
        <f>Systems!L204</f>
        <v>1.166E-2</v>
      </c>
      <c r="G2631" s="1" t="s">
        <v>23</v>
      </c>
      <c r="H2631" s="336" t="s">
        <v>7256</v>
      </c>
    </row>
    <row r="2632" spans="1:8">
      <c r="A2632" t="s">
        <v>7273</v>
      </c>
      <c r="B2632" s="336" t="s">
        <v>26</v>
      </c>
      <c r="C2632" s="1" t="s">
        <v>17</v>
      </c>
      <c r="D2632" s="1" t="s">
        <v>20</v>
      </c>
      <c r="E2632" s="337">
        <f>F2632/100</f>
        <v>1.166E-4</v>
      </c>
      <c r="F2632" s="337">
        <f>Systems!L204</f>
        <v>1.166E-2</v>
      </c>
      <c r="G2632" s="1" t="s">
        <v>23</v>
      </c>
      <c r="H2632" s="336" t="s">
        <v>7256</v>
      </c>
    </row>
    <row r="2633" spans="1:8">
      <c r="A2633" t="s">
        <v>7274</v>
      </c>
      <c r="B2633" s="336" t="s">
        <v>26</v>
      </c>
      <c r="C2633" s="1" t="s">
        <v>17</v>
      </c>
      <c r="D2633" s="1" t="s">
        <v>20</v>
      </c>
      <c r="E2633" s="337">
        <f>4.5*F2633</f>
        <v>5.2470000000000003E-2</v>
      </c>
      <c r="F2633" s="337">
        <f>Systems!L204</f>
        <v>1.166E-2</v>
      </c>
      <c r="G2633" s="1" t="s">
        <v>23</v>
      </c>
      <c r="H2633" s="336" t="s">
        <v>7256</v>
      </c>
    </row>
    <row r="2634" spans="1:8">
      <c r="A2634" t="s">
        <v>7275</v>
      </c>
      <c r="B2634" s="336" t="s">
        <v>26</v>
      </c>
      <c r="C2634" s="1" t="s">
        <v>17</v>
      </c>
      <c r="D2634" s="1" t="s">
        <v>20</v>
      </c>
      <c r="E2634" s="337">
        <f>F2634</f>
        <v>0.19900000000000001</v>
      </c>
      <c r="F2634" s="337">
        <f>Systems!L205</f>
        <v>0.19900000000000001</v>
      </c>
      <c r="G2634" s="1" t="s">
        <v>23</v>
      </c>
      <c r="H2634" s="336" t="s">
        <v>7256</v>
      </c>
    </row>
    <row r="2635" spans="1:8">
      <c r="A2635" t="s">
        <v>7276</v>
      </c>
      <c r="B2635" s="336" t="s">
        <v>26</v>
      </c>
      <c r="C2635" s="1" t="s">
        <v>17</v>
      </c>
      <c r="D2635" s="1" t="s">
        <v>20</v>
      </c>
      <c r="E2635" s="337">
        <f>12*F2635</f>
        <v>2.3879999999999999</v>
      </c>
      <c r="F2635" s="337">
        <f>Systems!L205</f>
        <v>0.19900000000000001</v>
      </c>
      <c r="G2635" s="1" t="s">
        <v>23</v>
      </c>
      <c r="H2635" s="336" t="s">
        <v>7256</v>
      </c>
    </row>
    <row r="2636" spans="1:8">
      <c r="A2636" s="248"/>
      <c r="B2636" s="248"/>
      <c r="C2636" s="248"/>
      <c r="D2636" s="248"/>
      <c r="E2636" s="250"/>
      <c r="F2636" s="250"/>
      <c r="G2636" s="248"/>
      <c r="H2636" s="248"/>
    </row>
    <row r="2637" spans="1:8">
      <c r="A2637" s="1" t="s">
        <v>821</v>
      </c>
      <c r="B2637" s="1" t="s">
        <v>26</v>
      </c>
      <c r="C2637" s="1" t="s">
        <v>3033</v>
      </c>
      <c r="D2637" s="1" t="s">
        <v>19</v>
      </c>
      <c r="E2637" s="12">
        <f>F2637</f>
        <v>0.81279999999999997</v>
      </c>
      <c r="F2637" s="12">
        <f>Systems!D133</f>
        <v>0.81279999999999997</v>
      </c>
      <c r="G2637" s="1" t="s">
        <v>14</v>
      </c>
      <c r="H2637" s="1" t="s">
        <v>477</v>
      </c>
    </row>
    <row r="2638" spans="1:8" ht="16.5">
      <c r="A2638" s="1" t="s">
        <v>1332</v>
      </c>
      <c r="B2638" s="1" t="s">
        <v>26</v>
      </c>
      <c r="C2638" s="1" t="s">
        <v>3034</v>
      </c>
      <c r="D2638" s="1" t="s">
        <v>38</v>
      </c>
      <c r="E2638" s="12">
        <f>64*F2638</f>
        <v>447290.94662399997</v>
      </c>
      <c r="F2638" s="12">
        <f>Systems!H133</f>
        <v>6988.9210409999996</v>
      </c>
      <c r="G2638" s="1" t="s">
        <v>39</v>
      </c>
      <c r="H2638" s="1" t="s">
        <v>477</v>
      </c>
    </row>
    <row r="2639" spans="1:8" ht="16.5">
      <c r="A2639" s="1" t="s">
        <v>930</v>
      </c>
      <c r="B2639" s="1" t="s">
        <v>26</v>
      </c>
      <c r="C2639" s="1" t="s">
        <v>3034</v>
      </c>
      <c r="D2639" s="1" t="s">
        <v>38</v>
      </c>
      <c r="E2639" s="12">
        <f>F2639</f>
        <v>6988.9210409999996</v>
      </c>
      <c r="F2639" s="12">
        <f>Systems!H133</f>
        <v>6988.9210409999996</v>
      </c>
      <c r="G2639" s="1" t="s">
        <v>39</v>
      </c>
      <c r="H2639" s="1" t="s">
        <v>477</v>
      </c>
    </row>
    <row r="2640" spans="1:8" ht="16.5">
      <c r="A2640" s="1" t="s">
        <v>4514</v>
      </c>
      <c r="B2640" s="1" t="s">
        <v>26</v>
      </c>
      <c r="C2640" s="1" t="s">
        <v>2936</v>
      </c>
      <c r="D2640" s="1" t="s">
        <v>32</v>
      </c>
      <c r="E2640" s="12">
        <f>F2640</f>
        <v>0.53697131315199997</v>
      </c>
      <c r="F2640" s="12">
        <f>Systems!T133</f>
        <v>0.53697131315199997</v>
      </c>
      <c r="G2640" s="1" t="s">
        <v>33</v>
      </c>
      <c r="H2640" s="1" t="s">
        <v>477</v>
      </c>
    </row>
    <row r="2641" spans="1:8" ht="16.5">
      <c r="A2641" s="1" t="s">
        <v>1307</v>
      </c>
      <c r="B2641" s="1" t="s">
        <v>26</v>
      </c>
      <c r="C2641" s="1" t="s">
        <v>2935</v>
      </c>
      <c r="D2641" s="1" t="s">
        <v>32</v>
      </c>
      <c r="E2641" s="12">
        <f>F2641</f>
        <v>6.4999999999999997E-4</v>
      </c>
      <c r="F2641" s="12">
        <f>Systems!P133</f>
        <v>6.4999999999999997E-4</v>
      </c>
      <c r="G2641" s="1" t="s">
        <v>33</v>
      </c>
      <c r="H2641" s="1" t="s">
        <v>477</v>
      </c>
    </row>
    <row r="2642" spans="1:8" ht="16.5">
      <c r="A2642" s="1" t="s">
        <v>1341</v>
      </c>
      <c r="B2642" s="1" t="s">
        <v>26</v>
      </c>
      <c r="C2642" s="1" t="s">
        <v>2935</v>
      </c>
      <c r="D2642" s="1" t="s">
        <v>32</v>
      </c>
      <c r="E2642" s="12">
        <f>25*F2642</f>
        <v>1.6250000000000001E-2</v>
      </c>
      <c r="F2642" s="12">
        <f>Systems!P133</f>
        <v>6.4999999999999997E-4</v>
      </c>
      <c r="G2642" s="1" t="s">
        <v>33</v>
      </c>
      <c r="H2642" s="1" t="s">
        <v>477</v>
      </c>
    </row>
    <row r="2643" spans="1:8" ht="16.5">
      <c r="A2643" s="1" t="s">
        <v>936</v>
      </c>
      <c r="B2643" s="1" t="s">
        <v>26</v>
      </c>
      <c r="C2643" s="1" t="s">
        <v>2935</v>
      </c>
      <c r="D2643" s="1" t="s">
        <v>32</v>
      </c>
      <c r="E2643" s="12">
        <f>25*F2643/32</f>
        <v>5.0781250000000002E-4</v>
      </c>
      <c r="F2643" s="12">
        <f>Systems!P133</f>
        <v>6.4999999999999997E-4</v>
      </c>
      <c r="G2643" s="1" t="s">
        <v>33</v>
      </c>
      <c r="H2643" s="1" t="s">
        <v>477</v>
      </c>
    </row>
    <row r="2644" spans="1:8">
      <c r="A2644" s="1" t="s">
        <v>1340</v>
      </c>
      <c r="B2644" s="1" t="s">
        <v>26</v>
      </c>
      <c r="C2644" s="1" t="s">
        <v>17</v>
      </c>
      <c r="D2644" s="1" t="s">
        <v>20</v>
      </c>
      <c r="E2644" s="12">
        <f>4*F2644/23</f>
        <v>16</v>
      </c>
      <c r="F2644" s="12">
        <f>Systems!L133</f>
        <v>92</v>
      </c>
      <c r="G2644" s="1" t="s">
        <v>23</v>
      </c>
      <c r="H2644" s="1" t="s">
        <v>477</v>
      </c>
    </row>
    <row r="2645" spans="1:8">
      <c r="A2645" s="1" t="s">
        <v>1358</v>
      </c>
      <c r="B2645" s="1" t="s">
        <v>26</v>
      </c>
      <c r="C2645" s="1" t="s">
        <v>17</v>
      </c>
      <c r="D2645" s="1" t="s">
        <v>20</v>
      </c>
      <c r="E2645" s="12">
        <f>7*F2645/4</f>
        <v>161</v>
      </c>
      <c r="F2645" s="12">
        <f>Systems!L133</f>
        <v>92</v>
      </c>
      <c r="G2645" s="1" t="s">
        <v>23</v>
      </c>
      <c r="H2645" s="1" t="s">
        <v>477</v>
      </c>
    </row>
    <row r="2646" spans="1:8">
      <c r="A2646" s="1" t="s">
        <v>823</v>
      </c>
      <c r="B2646" s="1" t="s">
        <v>26</v>
      </c>
      <c r="C2646" s="1" t="s">
        <v>17</v>
      </c>
      <c r="D2646" s="1" t="s">
        <v>20</v>
      </c>
      <c r="E2646" s="12">
        <f>F2646</f>
        <v>92</v>
      </c>
      <c r="F2646" s="12">
        <f>Systems!L133</f>
        <v>92</v>
      </c>
      <c r="G2646" s="1" t="s">
        <v>23</v>
      </c>
      <c r="H2646" s="1" t="s">
        <v>477</v>
      </c>
    </row>
    <row r="2647" spans="1:8">
      <c r="A2647" s="248"/>
      <c r="B2647" s="248"/>
      <c r="C2647" s="248"/>
      <c r="D2647" s="249"/>
      <c r="E2647" s="250"/>
      <c r="F2647" s="250"/>
      <c r="G2647" s="248"/>
      <c r="H2647" s="248"/>
    </row>
    <row r="2648" spans="1:8">
      <c r="A2648" s="1" t="s">
        <v>1182</v>
      </c>
      <c r="B2648" s="1" t="s">
        <v>26</v>
      </c>
      <c r="C2648" s="1" t="s">
        <v>3033</v>
      </c>
      <c r="D2648" s="1" t="s">
        <v>19</v>
      </c>
      <c r="E2648" s="12">
        <f>2*F2648</f>
        <v>0.62739999999999996</v>
      </c>
      <c r="F2648" s="12">
        <f>Systems!D136</f>
        <v>0.31369999999999998</v>
      </c>
      <c r="G2648" s="1" t="s">
        <v>14</v>
      </c>
      <c r="H2648" s="1" t="s">
        <v>526</v>
      </c>
    </row>
    <row r="2649" spans="1:8">
      <c r="A2649" s="1" t="s">
        <v>1602</v>
      </c>
      <c r="B2649" s="1" t="s">
        <v>26</v>
      </c>
      <c r="C2649" s="1" t="s">
        <v>3033</v>
      </c>
      <c r="D2649" s="1" t="s">
        <v>19</v>
      </c>
      <c r="E2649" s="12">
        <f>6*F2649</f>
        <v>1.8821999999999999</v>
      </c>
      <c r="F2649" s="12">
        <f>Systems!D136</f>
        <v>0.31369999999999998</v>
      </c>
      <c r="G2649" s="1" t="s">
        <v>14</v>
      </c>
      <c r="H2649" s="1" t="s">
        <v>526</v>
      </c>
    </row>
    <row r="2650" spans="1:8">
      <c r="A2650" s="1" t="s">
        <v>1622</v>
      </c>
      <c r="B2650" s="1" t="s">
        <v>26</v>
      </c>
      <c r="C2650" s="1" t="s">
        <v>3033</v>
      </c>
      <c r="D2650" s="1" t="s">
        <v>19</v>
      </c>
      <c r="E2650" s="12">
        <f>9000*F2650</f>
        <v>2823.2999999999997</v>
      </c>
      <c r="F2650" s="12">
        <f>Systems!D136</f>
        <v>0.31369999999999998</v>
      </c>
      <c r="G2650" s="1" t="s">
        <v>14</v>
      </c>
      <c r="H2650" s="1" t="s">
        <v>526</v>
      </c>
    </row>
    <row r="2651" spans="1:8">
      <c r="A2651" s="1" t="s">
        <v>1624</v>
      </c>
      <c r="B2651" s="1" t="s">
        <v>26</v>
      </c>
      <c r="C2651" s="1" t="s">
        <v>3033</v>
      </c>
      <c r="D2651" s="1" t="s">
        <v>19</v>
      </c>
      <c r="E2651" s="12">
        <f>9000*F2651</f>
        <v>2823.2999999999997</v>
      </c>
      <c r="F2651" s="12">
        <f>Systems!D136</f>
        <v>0.31369999999999998</v>
      </c>
      <c r="G2651" s="1" t="s">
        <v>14</v>
      </c>
      <c r="H2651" s="1" t="s">
        <v>526</v>
      </c>
    </row>
    <row r="2652" spans="1:8">
      <c r="A2652" s="1" t="s">
        <v>855</v>
      </c>
      <c r="B2652" s="1" t="s">
        <v>26</v>
      </c>
      <c r="C2652" s="1" t="s">
        <v>3033</v>
      </c>
      <c r="D2652" s="1" t="s">
        <v>19</v>
      </c>
      <c r="E2652" s="12">
        <f>F2652</f>
        <v>0.31369999999999998</v>
      </c>
      <c r="F2652" s="12">
        <f>Systems!D136</f>
        <v>0.31369999999999998</v>
      </c>
      <c r="G2652" s="1" t="s">
        <v>14</v>
      </c>
      <c r="H2652" s="1" t="s">
        <v>526</v>
      </c>
    </row>
    <row r="2653" spans="1:8">
      <c r="A2653" s="1" t="s">
        <v>861</v>
      </c>
      <c r="B2653" s="1" t="s">
        <v>26</v>
      </c>
      <c r="C2653" s="1" t="s">
        <v>3033</v>
      </c>
      <c r="D2653" s="1" t="s">
        <v>19</v>
      </c>
      <c r="E2653" s="12">
        <f>F2653</f>
        <v>0.31369999999999998</v>
      </c>
      <c r="F2653" s="12">
        <f>Systems!D136</f>
        <v>0.31369999999999998</v>
      </c>
      <c r="G2653" s="1" t="s">
        <v>14</v>
      </c>
      <c r="H2653" s="1" t="s">
        <v>526</v>
      </c>
    </row>
    <row r="2654" spans="1:8">
      <c r="A2654" s="1" t="s">
        <v>5029</v>
      </c>
      <c r="B2654" s="1" t="s">
        <v>26</v>
      </c>
      <c r="C2654" s="1" t="s">
        <v>3033</v>
      </c>
      <c r="D2654" s="1" t="s">
        <v>19</v>
      </c>
      <c r="E2654" s="12">
        <f>F2654/15</f>
        <v>7421.2993862182384</v>
      </c>
      <c r="F2654" s="12">
        <f>'Physical Definitions'!E32*PI()/180</f>
        <v>111319.49079327358</v>
      </c>
      <c r="G2654" s="1" t="s">
        <v>14</v>
      </c>
      <c r="H2654" s="1" t="s">
        <v>526</v>
      </c>
    </row>
    <row r="2655" spans="1:8">
      <c r="A2655" s="1" t="s">
        <v>1787</v>
      </c>
      <c r="B2655" s="1" t="s">
        <v>26</v>
      </c>
      <c r="C2655" s="1" t="s">
        <v>3033</v>
      </c>
      <c r="D2655" s="1" t="s">
        <v>19</v>
      </c>
      <c r="E2655" s="12">
        <f>600*F2655</f>
        <v>188.22</v>
      </c>
      <c r="F2655" s="12">
        <f>Systems!D136</f>
        <v>0.31369999999999998</v>
      </c>
      <c r="G2655" s="1" t="s">
        <v>14</v>
      </c>
      <c r="H2655" s="1" t="s">
        <v>526</v>
      </c>
    </row>
    <row r="2656" spans="1:8">
      <c r="A2656" s="1" t="s">
        <v>1792</v>
      </c>
      <c r="B2656" s="1" t="s">
        <v>26</v>
      </c>
      <c r="C2656" s="1" t="s">
        <v>3033</v>
      </c>
      <c r="D2656" s="1" t="s">
        <v>19</v>
      </c>
      <c r="E2656" s="12">
        <f>36000*F2656</f>
        <v>11293.199999999999</v>
      </c>
      <c r="F2656" s="12">
        <f>Systems!D136</f>
        <v>0.31369999999999998</v>
      </c>
      <c r="G2656" s="1" t="s">
        <v>14</v>
      </c>
      <c r="H2656" s="1" t="s">
        <v>526</v>
      </c>
    </row>
    <row r="2657" spans="1:8">
      <c r="A2657" s="1" t="s">
        <v>1903</v>
      </c>
      <c r="B2657" s="1" t="s">
        <v>26</v>
      </c>
      <c r="C2657" s="1" t="s">
        <v>3033</v>
      </c>
      <c r="D2657" s="1" t="s">
        <v>19</v>
      </c>
      <c r="E2657" s="12">
        <f>6000*F2657</f>
        <v>1882.1999999999998</v>
      </c>
      <c r="F2657" s="12">
        <f>Systems!D136</f>
        <v>0.31369999999999998</v>
      </c>
      <c r="G2657" s="1" t="s">
        <v>14</v>
      </c>
      <c r="H2657" s="1" t="s">
        <v>526</v>
      </c>
    </row>
    <row r="2658" spans="1:8">
      <c r="A2658" s="1" t="s">
        <v>1900</v>
      </c>
      <c r="B2658" s="1" t="s">
        <v>26</v>
      </c>
      <c r="C2658" s="1" t="s">
        <v>3033</v>
      </c>
      <c r="D2658" s="1" t="s">
        <v>19</v>
      </c>
      <c r="E2658" s="12">
        <f>F2658/2</f>
        <v>0.15684999999999999</v>
      </c>
      <c r="F2658" s="12">
        <f>Systems!D136</f>
        <v>0.31369999999999998</v>
      </c>
      <c r="G2658" s="1" t="s">
        <v>14</v>
      </c>
      <c r="H2658" s="1" t="s">
        <v>526</v>
      </c>
    </row>
    <row r="2659" spans="1:8">
      <c r="A2659" s="1" t="s">
        <v>1931</v>
      </c>
      <c r="B2659" s="1" t="s">
        <v>26</v>
      </c>
      <c r="C2659" s="1" t="s">
        <v>3033</v>
      </c>
      <c r="D2659" s="1" t="s">
        <v>19</v>
      </c>
      <c r="E2659" s="12">
        <f>90*F2659</f>
        <v>28.232999999999997</v>
      </c>
      <c r="F2659" s="12">
        <f>Systems!D136</f>
        <v>0.31369999999999998</v>
      </c>
      <c r="G2659" s="1" t="s">
        <v>14</v>
      </c>
      <c r="H2659" s="1" t="s">
        <v>526</v>
      </c>
    </row>
    <row r="2660" spans="1:8">
      <c r="A2660" s="1" t="s">
        <v>1970</v>
      </c>
      <c r="B2660" s="1" t="s">
        <v>26</v>
      </c>
      <c r="C2660" s="1" t="s">
        <v>3033</v>
      </c>
      <c r="D2660" s="1" t="s">
        <v>19</v>
      </c>
      <c r="E2660" s="12">
        <f>F2660/144</f>
        <v>2.1784722222222223E-3</v>
      </c>
      <c r="F2660" s="12">
        <f>Systems!D136</f>
        <v>0.31369999999999998</v>
      </c>
      <c r="G2660" s="1" t="s">
        <v>14</v>
      </c>
      <c r="H2660" s="1" t="s">
        <v>526</v>
      </c>
    </row>
    <row r="2661" spans="1:8">
      <c r="A2661" s="1" t="s">
        <v>2065</v>
      </c>
      <c r="B2661" s="1" t="s">
        <v>26</v>
      </c>
      <c r="C2661" s="1" t="s">
        <v>3033</v>
      </c>
      <c r="D2661" s="1" t="s">
        <v>19</v>
      </c>
      <c r="E2661" s="12">
        <f>36000*F2661</f>
        <v>11293.199999999999</v>
      </c>
      <c r="F2661" s="12">
        <f>Systems!D136</f>
        <v>0.31369999999999998</v>
      </c>
      <c r="G2661" s="1" t="s">
        <v>14</v>
      </c>
      <c r="H2661" s="1" t="s">
        <v>526</v>
      </c>
    </row>
    <row r="2662" spans="1:8">
      <c r="A2662" s="1" t="s">
        <v>293</v>
      </c>
      <c r="B2662" s="1" t="s">
        <v>26</v>
      </c>
      <c r="C2662" s="1" t="s">
        <v>3033</v>
      </c>
      <c r="D2662" s="1" t="s">
        <v>19</v>
      </c>
      <c r="E2662" s="12">
        <f>36000*F2662</f>
        <v>11293.199999999999</v>
      </c>
      <c r="F2662" s="12">
        <f>Systems!D136</f>
        <v>0.31369999999999998</v>
      </c>
      <c r="G2662" s="1" t="s">
        <v>14</v>
      </c>
      <c r="H2662" s="1" t="s">
        <v>526</v>
      </c>
    </row>
    <row r="2663" spans="1:8">
      <c r="A2663" s="1" t="s">
        <v>2367</v>
      </c>
      <c r="B2663" s="1" t="s">
        <v>26</v>
      </c>
      <c r="C2663" s="1" t="s">
        <v>3033</v>
      </c>
      <c r="D2663" s="1" t="s">
        <v>19</v>
      </c>
      <c r="E2663" s="12">
        <f>36000*F2663</f>
        <v>11293.199999999999</v>
      </c>
      <c r="F2663" s="12">
        <f>Systems!D136</f>
        <v>0.31369999999999998</v>
      </c>
      <c r="G2663" s="1" t="s">
        <v>14</v>
      </c>
      <c r="H2663" s="1" t="s">
        <v>526</v>
      </c>
    </row>
    <row r="2664" spans="1:8">
      <c r="A2664" s="1" t="s">
        <v>2523</v>
      </c>
      <c r="B2664" s="1" t="s">
        <v>26</v>
      </c>
      <c r="C2664" s="1" t="s">
        <v>3033</v>
      </c>
      <c r="D2664" s="1" t="s">
        <v>19</v>
      </c>
      <c r="E2664" s="12">
        <f>23700*F2664</f>
        <v>7434.69</v>
      </c>
      <c r="F2664" s="12">
        <f>Systems!D136</f>
        <v>0.31369999999999998</v>
      </c>
      <c r="G2664" s="1" t="s">
        <v>14</v>
      </c>
      <c r="H2664" s="1" t="s">
        <v>526</v>
      </c>
    </row>
    <row r="2665" spans="1:8">
      <c r="A2665" s="1" t="s">
        <v>2532</v>
      </c>
      <c r="B2665" s="1" t="s">
        <v>26</v>
      </c>
      <c r="C2665" s="1" t="s">
        <v>3033</v>
      </c>
      <c r="D2665" s="1" t="s">
        <v>19</v>
      </c>
      <c r="E2665" s="12">
        <f>F2665/1728</f>
        <v>1.8153935185185184E-4</v>
      </c>
      <c r="F2665" s="12">
        <f>Systems!D136</f>
        <v>0.31369999999999998</v>
      </c>
      <c r="G2665" s="1" t="s">
        <v>14</v>
      </c>
      <c r="H2665" s="1" t="s">
        <v>526</v>
      </c>
    </row>
    <row r="2666" spans="1:8">
      <c r="A2666" s="1" t="s">
        <v>2559</v>
      </c>
      <c r="B2666" s="1" t="s">
        <v>26</v>
      </c>
      <c r="C2666" s="1" t="s">
        <v>3033</v>
      </c>
      <c r="D2666" s="1" t="s">
        <v>19</v>
      </c>
      <c r="E2666" s="12">
        <f>10*F2666</f>
        <v>3.1369999999999996</v>
      </c>
      <c r="F2666" s="12">
        <f>Systems!D136</f>
        <v>0.31369999999999998</v>
      </c>
      <c r="G2666" s="1" t="s">
        <v>14</v>
      </c>
      <c r="H2666" s="1" t="s">
        <v>526</v>
      </c>
    </row>
    <row r="2667" spans="1:8">
      <c r="A2667" s="1" t="s">
        <v>2571</v>
      </c>
      <c r="B2667" s="1" t="s">
        <v>26</v>
      </c>
      <c r="C2667" s="1" t="s">
        <v>3033</v>
      </c>
      <c r="D2667" s="1" t="s">
        <v>19</v>
      </c>
      <c r="E2667" s="12">
        <f>150*F2667</f>
        <v>47.055</v>
      </c>
      <c r="F2667" s="12">
        <f>Systems!D136</f>
        <v>0.31369999999999998</v>
      </c>
      <c r="G2667" s="1" t="s">
        <v>14</v>
      </c>
      <c r="H2667" s="1" t="s">
        <v>526</v>
      </c>
    </row>
    <row r="2668" spans="1:8">
      <c r="A2668" s="1" t="s">
        <v>2675</v>
      </c>
      <c r="B2668" s="1" t="s">
        <v>26</v>
      </c>
      <c r="C2668" s="1" t="s">
        <v>3033</v>
      </c>
      <c r="D2668" s="1" t="s">
        <v>19</v>
      </c>
      <c r="E2668" s="12">
        <f>F2668/12</f>
        <v>2.6141666666666664E-2</v>
      </c>
      <c r="F2668" s="12">
        <f>Systems!D136</f>
        <v>0.31369999999999998</v>
      </c>
      <c r="G2668" s="1" t="s">
        <v>14</v>
      </c>
      <c r="H2668" s="1" t="s">
        <v>526</v>
      </c>
    </row>
    <row r="2669" spans="1:8" ht="16.5">
      <c r="A2669" s="1" t="s">
        <v>5030</v>
      </c>
      <c r="B2669" s="1" t="s">
        <v>26</v>
      </c>
      <c r="C2669" s="1" t="s">
        <v>3034</v>
      </c>
      <c r="D2669" s="1" t="s">
        <v>38</v>
      </c>
      <c r="E2669" s="12">
        <f>F2669</f>
        <v>9.8407689999999981</v>
      </c>
      <c r="F2669" s="12">
        <f>Systems!H136</f>
        <v>9.8407689999999981</v>
      </c>
      <c r="G2669" s="1" t="s">
        <v>39</v>
      </c>
      <c r="H2669" s="1" t="s">
        <v>526</v>
      </c>
    </row>
    <row r="2670" spans="1:8" ht="16.5">
      <c r="A2670" s="1" t="s">
        <v>865</v>
      </c>
      <c r="B2670" s="1" t="s">
        <v>26</v>
      </c>
      <c r="C2670" s="1" t="s">
        <v>3034</v>
      </c>
      <c r="D2670" s="1" t="s">
        <v>38</v>
      </c>
      <c r="E2670" s="12">
        <f>100*F2670</f>
        <v>984.0768999999998</v>
      </c>
      <c r="F2670" s="12">
        <f>Systems!H136</f>
        <v>9.8407689999999981</v>
      </c>
      <c r="G2670" s="1" t="s">
        <v>39</v>
      </c>
      <c r="H2670" s="1" t="s">
        <v>526</v>
      </c>
    </row>
    <row r="2671" spans="1:8" ht="16.5">
      <c r="A2671" s="1" t="s">
        <v>5031</v>
      </c>
      <c r="B2671" s="1" t="s">
        <v>26</v>
      </c>
      <c r="C2671" s="1" t="s">
        <v>3034</v>
      </c>
      <c r="D2671" s="1" t="s">
        <v>38</v>
      </c>
      <c r="E2671" s="12">
        <f>1000*F2671</f>
        <v>1000</v>
      </c>
      <c r="F2671" s="12">
        <f>SI!E3</f>
        <v>1</v>
      </c>
      <c r="G2671" s="1" t="s">
        <v>39</v>
      </c>
      <c r="H2671" s="1" t="s">
        <v>526</v>
      </c>
    </row>
    <row r="2672" spans="1:8" ht="16.5">
      <c r="A2672" s="1" t="s">
        <v>2688</v>
      </c>
      <c r="B2672" s="1" t="s">
        <v>26</v>
      </c>
      <c r="C2672" s="1" t="s">
        <v>3034</v>
      </c>
      <c r="D2672" s="1" t="s">
        <v>38</v>
      </c>
      <c r="E2672" s="12">
        <f>400*F2672</f>
        <v>3936.3075999999992</v>
      </c>
      <c r="F2672" s="12">
        <f>Systems!H136</f>
        <v>9.8407689999999981</v>
      </c>
      <c r="G2672" s="1" t="s">
        <v>39</v>
      </c>
      <c r="H2672" s="1" t="s">
        <v>526</v>
      </c>
    </row>
    <row r="2673" spans="1:8" ht="16.5">
      <c r="A2673" s="1" t="s">
        <v>1602</v>
      </c>
      <c r="B2673" s="1" t="s">
        <v>26</v>
      </c>
      <c r="C2673" s="1" t="s">
        <v>2936</v>
      </c>
      <c r="D2673" s="1" t="s">
        <v>32</v>
      </c>
      <c r="E2673" s="12">
        <f>72*F2673</f>
        <v>2.2226754494159997</v>
      </c>
      <c r="F2673" s="12">
        <f>POWER(Systems!D136,3)</f>
        <v>3.0870492352999997E-2</v>
      </c>
      <c r="G2673" s="1" t="s">
        <v>33</v>
      </c>
      <c r="H2673" s="1" t="s">
        <v>526</v>
      </c>
    </row>
    <row r="2674" spans="1:8" ht="16.5">
      <c r="A2674" s="1" t="s">
        <v>856</v>
      </c>
      <c r="B2674" s="1" t="s">
        <v>26</v>
      </c>
      <c r="C2674" s="1" t="s">
        <v>2936</v>
      </c>
      <c r="D2674" s="1" t="s">
        <v>32</v>
      </c>
      <c r="E2674" s="12">
        <f>F2674</f>
        <v>0.1389744</v>
      </c>
      <c r="F2674" s="12">
        <f>Systems!T136</f>
        <v>0.1389744</v>
      </c>
      <c r="G2674" s="1" t="s">
        <v>33</v>
      </c>
      <c r="H2674" s="1" t="s">
        <v>526</v>
      </c>
    </row>
    <row r="2675" spans="1:8" ht="16.5">
      <c r="A2675" s="1" t="s">
        <v>579</v>
      </c>
      <c r="B2675" s="1" t="s">
        <v>26</v>
      </c>
      <c r="C2675" s="1" t="s">
        <v>2936</v>
      </c>
      <c r="D2675" s="1" t="s">
        <v>32</v>
      </c>
      <c r="E2675" s="12">
        <f>0.965*F2675</f>
        <v>9.6500000000000015E-4</v>
      </c>
      <c r="F2675" s="12">
        <f>POWER('Physical Definitions'!E25,3)</f>
        <v>1.0000000000000002E-3</v>
      </c>
      <c r="G2675" s="1" t="s">
        <v>33</v>
      </c>
      <c r="H2675" s="1" t="s">
        <v>526</v>
      </c>
    </row>
    <row r="2676" spans="1:8" ht="16.5">
      <c r="A2676" s="1" t="s">
        <v>2529</v>
      </c>
      <c r="B2676" s="1" t="s">
        <v>26</v>
      </c>
      <c r="C2676" s="1" t="s">
        <v>2936</v>
      </c>
      <c r="D2676" s="1" t="s">
        <v>32</v>
      </c>
      <c r="E2676" s="12">
        <f>F2676/8</f>
        <v>1.73718E-2</v>
      </c>
      <c r="F2676" s="12">
        <f>Systems!T136</f>
        <v>0.1389744</v>
      </c>
      <c r="G2676" s="1" t="s">
        <v>33</v>
      </c>
      <c r="H2676" s="1" t="s">
        <v>526</v>
      </c>
    </row>
    <row r="2677" spans="1:8" ht="16.5">
      <c r="A2677" s="1" t="s">
        <v>2557</v>
      </c>
      <c r="B2677" s="1" t="s">
        <v>603</v>
      </c>
      <c r="C2677" s="1" t="s">
        <v>2936</v>
      </c>
      <c r="D2677" s="1" t="s">
        <v>32</v>
      </c>
      <c r="E2677" s="12">
        <f>165*F2677</f>
        <v>4.6722796876800006</v>
      </c>
      <c r="F2677" s="12">
        <f>POWER(Systems!D6,3)</f>
        <v>2.8316846592000004E-2</v>
      </c>
      <c r="G2677" s="1" t="s">
        <v>33</v>
      </c>
      <c r="H2677" s="1" t="s">
        <v>526</v>
      </c>
    </row>
    <row r="2678" spans="1:8" ht="16.5">
      <c r="A2678" s="1" t="s">
        <v>940</v>
      </c>
      <c r="B2678" s="1" t="s">
        <v>26</v>
      </c>
      <c r="C2678" s="1" t="s">
        <v>2936</v>
      </c>
      <c r="D2678" s="1" t="s">
        <v>32</v>
      </c>
      <c r="E2678" s="12">
        <f>4.5*F2678</f>
        <v>0.13891721558849998</v>
      </c>
      <c r="F2678" s="12">
        <f>POWER(Systems!D136,3)</f>
        <v>3.0870492352999997E-2</v>
      </c>
      <c r="G2678" s="1" t="s">
        <v>33</v>
      </c>
      <c r="H2678" s="1" t="s">
        <v>526</v>
      </c>
    </row>
    <row r="2679" spans="1:8" ht="16.5">
      <c r="A2679" s="1" t="s">
        <v>579</v>
      </c>
      <c r="B2679" s="1" t="s">
        <v>26</v>
      </c>
      <c r="C2679" s="1" t="s">
        <v>2935</v>
      </c>
      <c r="D2679" s="1" t="s">
        <v>32</v>
      </c>
      <c r="E2679" s="12">
        <f>F2679</f>
        <v>9.6509999999999999E-4</v>
      </c>
      <c r="F2679" s="12">
        <f>Systems!P136</f>
        <v>9.6509999999999999E-4</v>
      </c>
      <c r="G2679" s="1" t="s">
        <v>33</v>
      </c>
      <c r="H2679" s="1" t="s">
        <v>526</v>
      </c>
    </row>
    <row r="2680" spans="1:8">
      <c r="A2680" s="1" t="s">
        <v>1297</v>
      </c>
      <c r="B2680" s="1" t="s">
        <v>26</v>
      </c>
      <c r="C2680" s="1" t="s">
        <v>17</v>
      </c>
      <c r="D2680" s="1" t="s">
        <v>20</v>
      </c>
      <c r="E2680" s="12">
        <f>12*F2680</f>
        <v>5.9771999999999998</v>
      </c>
      <c r="F2680" s="12">
        <f>Systems!L136</f>
        <v>0.49809999999999999</v>
      </c>
      <c r="G2680" s="1" t="s">
        <v>23</v>
      </c>
      <c r="H2680" s="1" t="s">
        <v>526</v>
      </c>
    </row>
    <row r="2681" spans="1:8">
      <c r="A2681" s="1" t="s">
        <v>1936</v>
      </c>
      <c r="B2681" s="1" t="s">
        <v>26</v>
      </c>
      <c r="C2681" s="1" t="s">
        <v>17</v>
      </c>
      <c r="D2681" s="1" t="s">
        <v>20</v>
      </c>
      <c r="E2681" s="12">
        <f>36*F2681</f>
        <v>17.9316</v>
      </c>
      <c r="F2681" s="12">
        <f>Systems!L136</f>
        <v>0.49809999999999999</v>
      </c>
      <c r="G2681" s="1" t="s">
        <v>23</v>
      </c>
      <c r="H2681" s="1" t="s">
        <v>526</v>
      </c>
    </row>
    <row r="2682" spans="1:8">
      <c r="A2682" s="1" t="s">
        <v>2021</v>
      </c>
      <c r="B2682" s="1" t="s">
        <v>26</v>
      </c>
      <c r="C2682" s="1" t="s">
        <v>17</v>
      </c>
      <c r="D2682" s="1" t="s">
        <v>20</v>
      </c>
      <c r="E2682" s="12">
        <f>F2682/2</f>
        <v>0.24904999999999999</v>
      </c>
      <c r="F2682" s="12">
        <f>Systems!L136</f>
        <v>0.49809999999999999</v>
      </c>
      <c r="G2682" s="1" t="s">
        <v>23</v>
      </c>
      <c r="H2682" s="1" t="s">
        <v>526</v>
      </c>
    </row>
    <row r="2683" spans="1:8">
      <c r="A2683" s="1" t="s">
        <v>2048</v>
      </c>
      <c r="B2683" s="1" t="s">
        <v>26</v>
      </c>
      <c r="C2683" s="1" t="s">
        <v>17</v>
      </c>
      <c r="D2683" s="1" t="s">
        <v>20</v>
      </c>
      <c r="E2683" s="12">
        <f>F2683/2</f>
        <v>0.24904999999999999</v>
      </c>
      <c r="F2683" s="12">
        <f>Systems!L136</f>
        <v>0.49809999999999999</v>
      </c>
      <c r="G2683" s="1" t="s">
        <v>23</v>
      </c>
      <c r="H2683" s="1" t="s">
        <v>526</v>
      </c>
    </row>
    <row r="2684" spans="1:8">
      <c r="A2684" s="1" t="s">
        <v>2180</v>
      </c>
      <c r="B2684" s="1" t="s">
        <v>26</v>
      </c>
      <c r="C2684" s="1" t="s">
        <v>17</v>
      </c>
      <c r="D2684" s="1" t="s">
        <v>20</v>
      </c>
      <c r="E2684" s="12">
        <f>F2684/512</f>
        <v>9.7285156249999998E-4</v>
      </c>
      <c r="F2684" s="12">
        <f>Systems!L136</f>
        <v>0.49809999999999999</v>
      </c>
      <c r="G2684" s="1" t="s">
        <v>23</v>
      </c>
      <c r="H2684" s="1" t="s">
        <v>526</v>
      </c>
    </row>
    <row r="2685" spans="1:8">
      <c r="A2685" s="1" t="s">
        <v>858</v>
      </c>
      <c r="B2685" s="1" t="s">
        <v>26</v>
      </c>
      <c r="C2685" s="1" t="s">
        <v>17</v>
      </c>
      <c r="D2685" s="1" t="s">
        <v>20</v>
      </c>
      <c r="E2685" s="12">
        <f>F2685</f>
        <v>0.49809999999999999</v>
      </c>
      <c r="F2685" s="12">
        <f>Systems!L136</f>
        <v>0.49809999999999999</v>
      </c>
      <c r="G2685" s="1" t="s">
        <v>23</v>
      </c>
      <c r="H2685" s="1" t="s">
        <v>526</v>
      </c>
    </row>
    <row r="2686" spans="1:8">
      <c r="A2686" s="1" t="s">
        <v>866</v>
      </c>
      <c r="B2686" s="1" t="s">
        <v>26</v>
      </c>
      <c r="C2686" s="1" t="s">
        <v>17</v>
      </c>
      <c r="D2686" s="1" t="s">
        <v>20</v>
      </c>
      <c r="E2686" s="12">
        <f>F2686</f>
        <v>0.49809999999999999</v>
      </c>
      <c r="F2686" s="12">
        <f>Systems!L136</f>
        <v>0.49809999999999999</v>
      </c>
      <c r="G2686" s="1" t="s">
        <v>23</v>
      </c>
      <c r="H2686" s="1" t="s">
        <v>526</v>
      </c>
    </row>
    <row r="2687" spans="1:8">
      <c r="A2687" s="1" t="s">
        <v>863</v>
      </c>
      <c r="B2687" s="1" t="s">
        <v>26</v>
      </c>
      <c r="C2687" s="1" t="s">
        <v>17</v>
      </c>
      <c r="D2687" s="1" t="s">
        <v>20</v>
      </c>
      <c r="E2687" s="12">
        <f>F2687</f>
        <v>0.49809999999999999</v>
      </c>
      <c r="F2687" s="12">
        <f>Systems!L136</f>
        <v>0.49809999999999999</v>
      </c>
      <c r="G2687" s="1" t="s">
        <v>23</v>
      </c>
      <c r="H2687" s="1" t="s">
        <v>526</v>
      </c>
    </row>
    <row r="2688" spans="1:8">
      <c r="A2688" s="1" t="s">
        <v>1275</v>
      </c>
      <c r="B2688" s="1" t="s">
        <v>26</v>
      </c>
      <c r="C2688" s="1" t="s">
        <v>17</v>
      </c>
      <c r="D2688" s="1" t="s">
        <v>20</v>
      </c>
      <c r="E2688" s="12">
        <f>320*F2688</f>
        <v>159.392</v>
      </c>
      <c r="F2688" s="12">
        <f>Systems!L136</f>
        <v>0.49809999999999999</v>
      </c>
      <c r="G2688" s="1" t="s">
        <v>23</v>
      </c>
      <c r="H2688" s="1" t="s">
        <v>526</v>
      </c>
    </row>
    <row r="2689" spans="1:8">
      <c r="A2689" s="1" t="s">
        <v>2543</v>
      </c>
      <c r="B2689" s="1" t="s">
        <v>26</v>
      </c>
      <c r="C2689" s="1" t="s">
        <v>17</v>
      </c>
      <c r="D2689" s="1" t="s">
        <v>20</v>
      </c>
      <c r="E2689" s="12">
        <f>36*F2689</f>
        <v>17.9316</v>
      </c>
      <c r="F2689" s="12">
        <f>Systems!L136</f>
        <v>0.49809999999999999</v>
      </c>
      <c r="G2689" s="1" t="s">
        <v>23</v>
      </c>
      <c r="H2689" s="1" t="s">
        <v>526</v>
      </c>
    </row>
    <row r="2690" spans="1:8">
      <c r="A2690" s="1" t="s">
        <v>2756</v>
      </c>
      <c r="B2690" s="1" t="s">
        <v>26</v>
      </c>
      <c r="C2690" s="1" t="s">
        <v>17</v>
      </c>
      <c r="D2690" s="1" t="s">
        <v>20</v>
      </c>
      <c r="E2690" s="12">
        <f>40*F2690</f>
        <v>19.923999999999999</v>
      </c>
      <c r="F2690" s="12">
        <f>Systems!L136</f>
        <v>0.49809999999999999</v>
      </c>
      <c r="G2690" s="1" t="s">
        <v>23</v>
      </c>
      <c r="H2690" s="1" t="s">
        <v>526</v>
      </c>
    </row>
    <row r="2691" spans="1:8">
      <c r="A2691" s="1" t="s">
        <v>2769</v>
      </c>
      <c r="B2691" s="1" t="s">
        <v>26</v>
      </c>
      <c r="C2691" s="1" t="s">
        <v>17</v>
      </c>
      <c r="D2691" s="1" t="s">
        <v>20</v>
      </c>
      <c r="E2691" s="12">
        <f>72*F2691/5</f>
        <v>7.1726399999999995</v>
      </c>
      <c r="F2691" s="12">
        <f>Systems!L136</f>
        <v>0.49809999999999999</v>
      </c>
      <c r="G2691" s="1" t="s">
        <v>23</v>
      </c>
      <c r="H2691" s="1" t="s">
        <v>526</v>
      </c>
    </row>
    <row r="2692" spans="1:8">
      <c r="A2692" s="248"/>
      <c r="B2692" s="248"/>
      <c r="C2692" s="248"/>
      <c r="D2692" s="248"/>
      <c r="E2692" s="250"/>
      <c r="F2692" s="250"/>
      <c r="G2692" s="248"/>
      <c r="H2692" s="248"/>
    </row>
    <row r="2693" spans="1:8">
      <c r="A2693" s="336" t="s">
        <v>7176</v>
      </c>
      <c r="B2693" s="336" t="s">
        <v>26</v>
      </c>
      <c r="C2693" s="1" t="s">
        <v>3033</v>
      </c>
      <c r="D2693" s="1" t="s">
        <v>19</v>
      </c>
      <c r="E2693" s="337">
        <f>F2693</f>
        <v>0.99390200000000017</v>
      </c>
      <c r="F2693" s="337">
        <f>Systems!D200</f>
        <v>0.99390200000000017</v>
      </c>
      <c r="G2693" s="336" t="s">
        <v>14</v>
      </c>
      <c r="H2693" s="336" t="s">
        <v>7175</v>
      </c>
    </row>
    <row r="2694" spans="1:8" ht="16.5">
      <c r="A2694" s="336" t="s">
        <v>7177</v>
      </c>
      <c r="B2694" s="336" t="s">
        <v>26</v>
      </c>
      <c r="C2694" s="336" t="s">
        <v>3034</v>
      </c>
      <c r="D2694" s="1" t="s">
        <v>38</v>
      </c>
      <c r="E2694" s="337">
        <f>F2694</f>
        <v>0.98784118560400036</v>
      </c>
      <c r="F2694" s="337">
        <f>Systems!H200</f>
        <v>0.98784118560400036</v>
      </c>
      <c r="G2694" s="1" t="s">
        <v>39</v>
      </c>
      <c r="H2694" s="336" t="s">
        <v>7175</v>
      </c>
    </row>
    <row r="2695" spans="1:8" ht="16.5">
      <c r="A2695" s="336" t="s">
        <v>7179</v>
      </c>
      <c r="B2695" s="336" t="s">
        <v>26</v>
      </c>
      <c r="C2695" s="1" t="s">
        <v>2936</v>
      </c>
      <c r="D2695" s="1" t="s">
        <v>32</v>
      </c>
      <c r="E2695" s="337">
        <f>F2695</f>
        <v>0.98181733005418736</v>
      </c>
      <c r="F2695" s="337">
        <f>Systems!T200</f>
        <v>0.98181733005418736</v>
      </c>
      <c r="G2695" s="1" t="s">
        <v>33</v>
      </c>
      <c r="H2695" s="336" t="s">
        <v>7175</v>
      </c>
    </row>
    <row r="2696" spans="1:8" ht="16.5">
      <c r="A2696" s="336" t="s">
        <v>7178</v>
      </c>
      <c r="B2696" s="336" t="s">
        <v>26</v>
      </c>
      <c r="C2696" s="1" t="s">
        <v>2935</v>
      </c>
      <c r="D2696" s="1" t="s">
        <v>32</v>
      </c>
      <c r="E2696" s="337">
        <f>F2696</f>
        <v>3.0000902552913603E-2</v>
      </c>
      <c r="F2696" s="337">
        <f>Systems!P200</f>
        <v>3.0000902552913603E-2</v>
      </c>
      <c r="G2696" s="1" t="s">
        <v>33</v>
      </c>
      <c r="H2696" s="336" t="s">
        <v>7175</v>
      </c>
    </row>
    <row r="2697" spans="1:8">
      <c r="A2697" s="336" t="s">
        <v>903</v>
      </c>
      <c r="B2697" s="336" t="s">
        <v>26</v>
      </c>
      <c r="C2697" s="1" t="s">
        <v>17</v>
      </c>
      <c r="D2697" s="1" t="s">
        <v>20</v>
      </c>
      <c r="E2697" s="337">
        <f>F2697</f>
        <v>3.9689332375000004</v>
      </c>
      <c r="F2697" s="337">
        <f>Systems!L200</f>
        <v>3.9689332375000004</v>
      </c>
      <c r="G2697" s="1" t="s">
        <v>23</v>
      </c>
      <c r="H2697" s="336" t="s">
        <v>7175</v>
      </c>
    </row>
    <row r="2698" spans="1:8">
      <c r="A2698" s="336" t="s">
        <v>1350</v>
      </c>
      <c r="B2698" s="336" t="s">
        <v>26</v>
      </c>
      <c r="C2698" s="1" t="s">
        <v>17</v>
      </c>
      <c r="D2698" s="1" t="s">
        <v>20</v>
      </c>
      <c r="E2698" s="337">
        <f>60*F2698</f>
        <v>238.13599425000001</v>
      </c>
      <c r="F2698" s="337">
        <f>Systems!L200</f>
        <v>3.9689332375000004</v>
      </c>
      <c r="G2698" s="1" t="s">
        <v>23</v>
      </c>
      <c r="H2698" s="336" t="s">
        <v>7175</v>
      </c>
    </row>
    <row r="2699" spans="1:8">
      <c r="A2699" s="336" t="s">
        <v>7180</v>
      </c>
      <c r="B2699" s="336" t="s">
        <v>26</v>
      </c>
      <c r="C2699" s="336" t="s">
        <v>17</v>
      </c>
      <c r="D2699" s="336" t="s">
        <v>20</v>
      </c>
      <c r="E2699" s="337">
        <f>F2699/24</f>
        <v>0.16537221822916667</v>
      </c>
      <c r="F2699" s="337">
        <f>Systems!L200</f>
        <v>3.9689332375000004</v>
      </c>
      <c r="G2699" s="336" t="s">
        <v>23</v>
      </c>
      <c r="H2699" s="336" t="s">
        <v>7175</v>
      </c>
    </row>
    <row r="2700" spans="1:8">
      <c r="A2700" s="248"/>
      <c r="B2700" s="248"/>
      <c r="C2700" s="248"/>
      <c r="D2700" s="248"/>
      <c r="E2700" s="250"/>
      <c r="F2700" s="250"/>
      <c r="G2700" s="248"/>
      <c r="H2700" s="248"/>
    </row>
    <row r="2701" spans="1:8">
      <c r="A2701" s="336" t="s">
        <v>7184</v>
      </c>
      <c r="B2701" s="336" t="s">
        <v>26</v>
      </c>
      <c r="C2701" s="1" t="s">
        <v>3033</v>
      </c>
      <c r="D2701" s="1" t="s">
        <v>19</v>
      </c>
      <c r="E2701" s="337">
        <f>2.25*F2701</f>
        <v>3621.0240000000003</v>
      </c>
      <c r="F2701" s="337">
        <f>960*Systems!D201</f>
        <v>1609.3440000000001</v>
      </c>
      <c r="G2701" s="336" t="s">
        <v>14</v>
      </c>
      <c r="H2701" s="336" t="s">
        <v>7183</v>
      </c>
    </row>
    <row r="2702" spans="1:8">
      <c r="A2702" s="336" t="s">
        <v>1599</v>
      </c>
      <c r="B2702" s="336" t="s">
        <v>26</v>
      </c>
      <c r="C2702" s="1" t="s">
        <v>3033</v>
      </c>
      <c r="D2702" s="1" t="s">
        <v>19</v>
      </c>
      <c r="E2702" s="337">
        <f>3*F2702</f>
        <v>4828.0320000000002</v>
      </c>
      <c r="F2702" s="337">
        <f>960*Systems!D201</f>
        <v>1609.3440000000001</v>
      </c>
      <c r="G2702" s="336" t="s">
        <v>14</v>
      </c>
      <c r="H2702" s="336" t="s">
        <v>7183</v>
      </c>
    </row>
    <row r="2703" spans="1:8">
      <c r="A2703" s="336" t="s">
        <v>7187</v>
      </c>
      <c r="B2703" s="336" t="s">
        <v>26</v>
      </c>
      <c r="C2703" s="1" t="s">
        <v>3033</v>
      </c>
      <c r="D2703" s="1" t="s">
        <v>19</v>
      </c>
      <c r="E2703" s="337">
        <f>F2703</f>
        <v>1.6764000000000001</v>
      </c>
      <c r="F2703" s="337">
        <f>Systems!D201</f>
        <v>1.6764000000000001</v>
      </c>
      <c r="G2703" s="336" t="s">
        <v>14</v>
      </c>
      <c r="H2703" s="336" t="s">
        <v>7183</v>
      </c>
    </row>
    <row r="2704" spans="1:8" ht="16.5">
      <c r="A2704" s="336" t="s">
        <v>7185</v>
      </c>
      <c r="B2704" s="336" t="s">
        <v>26</v>
      </c>
      <c r="C2704" s="336" t="s">
        <v>3034</v>
      </c>
      <c r="D2704" s="1" t="s">
        <v>38</v>
      </c>
      <c r="E2704" s="337">
        <f>180*F2704</f>
        <v>505.85705280000002</v>
      </c>
      <c r="F2704" s="337">
        <f>POWER(Systems!D201,2)</f>
        <v>2.8103169600000002</v>
      </c>
      <c r="G2704" s="1" t="s">
        <v>39</v>
      </c>
      <c r="H2704" s="336" t="s">
        <v>7183</v>
      </c>
    </row>
    <row r="2705" spans="1:8" ht="16.5">
      <c r="A2705" s="336" t="s">
        <v>7186</v>
      </c>
      <c r="B2705" s="336" t="s">
        <v>26</v>
      </c>
      <c r="C2705" s="336" t="s">
        <v>3034</v>
      </c>
      <c r="D2705" s="1" t="s">
        <v>38</v>
      </c>
      <c r="E2705" s="337">
        <f>9*F2705</f>
        <v>25.292852640000003</v>
      </c>
      <c r="F2705" s="337">
        <f>POWER(Systems!D201,2)</f>
        <v>2.8103169600000002</v>
      </c>
      <c r="G2705" s="1" t="s">
        <v>39</v>
      </c>
      <c r="H2705" s="336" t="s">
        <v>7183</v>
      </c>
    </row>
    <row r="2706" spans="1:8" ht="16.5">
      <c r="A2706" s="336" t="s">
        <v>7188</v>
      </c>
      <c r="B2706" s="336" t="s">
        <v>26</v>
      </c>
      <c r="C2706" s="1" t="s">
        <v>2936</v>
      </c>
      <c r="D2706" s="1" t="s">
        <v>32</v>
      </c>
      <c r="E2706" s="337">
        <f>F2706</f>
        <v>4.7112153517440003</v>
      </c>
      <c r="F2706" s="337">
        <f>POWER(5.5*Systems!D22,3)</f>
        <v>4.7112153517440003</v>
      </c>
      <c r="G2706" s="1" t="s">
        <v>33</v>
      </c>
      <c r="H2706" s="336" t="s">
        <v>7183</v>
      </c>
    </row>
    <row r="2707" spans="1:8" ht="16.5">
      <c r="A2707" s="336" t="s">
        <v>7188</v>
      </c>
      <c r="B2707" s="336" t="s">
        <v>26</v>
      </c>
      <c r="C2707" s="1" t="s">
        <v>2935</v>
      </c>
      <c r="D2707" s="1" t="s">
        <v>32</v>
      </c>
      <c r="E2707" s="337">
        <f>F2707</f>
        <v>4.7112153517440003</v>
      </c>
      <c r="F2707" s="337">
        <f>POWER(5.5*Systems!D22,3)</f>
        <v>4.7112153517440003</v>
      </c>
      <c r="G2707" s="1" t="s">
        <v>33</v>
      </c>
      <c r="H2707" s="336" t="s">
        <v>7183</v>
      </c>
    </row>
    <row r="2708" spans="1:8">
      <c r="A2708" s="336" t="s">
        <v>2673</v>
      </c>
      <c r="B2708" s="336" t="s">
        <v>26</v>
      </c>
      <c r="C2708" s="1" t="s">
        <v>17</v>
      </c>
      <c r="D2708" s="1" t="s">
        <v>20</v>
      </c>
      <c r="E2708" s="337">
        <f>F2708</f>
        <v>1.1663750000000001E-2</v>
      </c>
      <c r="F2708" s="337">
        <f>Systems!L201</f>
        <v>1.1663750000000001E-2</v>
      </c>
      <c r="G2708" s="336" t="s">
        <v>23</v>
      </c>
      <c r="H2708" s="336" t="s">
        <v>7183</v>
      </c>
    </row>
    <row r="2709" spans="1:8">
      <c r="A2709" s="336" t="s">
        <v>2464</v>
      </c>
      <c r="B2709" s="336" t="s">
        <v>26</v>
      </c>
      <c r="C2709" s="1" t="s">
        <v>17</v>
      </c>
      <c r="D2709" s="1" t="s">
        <v>20</v>
      </c>
      <c r="E2709" s="337">
        <f>80*F2709</f>
        <v>0.93310000000000004</v>
      </c>
      <c r="F2709" s="337">
        <f>Systems!L201</f>
        <v>1.1663750000000001E-2</v>
      </c>
      <c r="G2709" s="336" t="s">
        <v>23</v>
      </c>
      <c r="H2709" s="336" t="s">
        <v>7183</v>
      </c>
    </row>
    <row r="2710" spans="1:8">
      <c r="A2710" s="336" t="s">
        <v>903</v>
      </c>
      <c r="B2710" s="336" t="s">
        <v>26</v>
      </c>
      <c r="C2710" s="1" t="s">
        <v>17</v>
      </c>
      <c r="D2710" s="1" t="s">
        <v>20</v>
      </c>
      <c r="E2710" s="337">
        <f>40*80*F2710</f>
        <v>37.323999999999998</v>
      </c>
      <c r="F2710" s="337">
        <f>Systems!L201</f>
        <v>1.1663750000000001E-2</v>
      </c>
      <c r="G2710" s="336" t="s">
        <v>23</v>
      </c>
      <c r="H2710" s="336" t="s">
        <v>7183</v>
      </c>
    </row>
    <row r="2711" spans="1:8">
      <c r="A2711" s="248"/>
      <c r="B2711" s="248"/>
      <c r="C2711" s="248"/>
      <c r="D2711" s="248"/>
      <c r="E2711" s="250"/>
      <c r="F2711" s="250"/>
      <c r="G2711" s="248"/>
      <c r="H2711" s="248"/>
    </row>
    <row r="2712" spans="1:8">
      <c r="A2712" s="1" t="s">
        <v>1447</v>
      </c>
      <c r="B2712" s="1" t="s">
        <v>26</v>
      </c>
      <c r="C2712" s="1" t="s">
        <v>3033</v>
      </c>
      <c r="D2712" s="1" t="s">
        <v>19</v>
      </c>
      <c r="E2712" s="12">
        <f>100*F2712</f>
        <v>86.6</v>
      </c>
      <c r="F2712" s="12">
        <f>Systems!D137</f>
        <v>0.86599999999999999</v>
      </c>
      <c r="G2712" s="1" t="s">
        <v>14</v>
      </c>
      <c r="H2712" s="1" t="s">
        <v>445</v>
      </c>
    </row>
    <row r="2713" spans="1:8">
      <c r="A2713" s="1" t="s">
        <v>955</v>
      </c>
      <c r="B2713" s="1" t="s">
        <v>26</v>
      </c>
      <c r="C2713" s="1" t="s">
        <v>3033</v>
      </c>
      <c r="D2713" s="1" t="s">
        <v>19</v>
      </c>
      <c r="E2713" s="12">
        <f>250*F2713/9</f>
        <v>24.055555555555557</v>
      </c>
      <c r="F2713" s="12">
        <f>Systems!D137</f>
        <v>0.86599999999999999</v>
      </c>
      <c r="G2713" s="1" t="s">
        <v>14</v>
      </c>
      <c r="H2713" s="1" t="s">
        <v>445</v>
      </c>
    </row>
    <row r="2714" spans="1:8">
      <c r="A2714" s="1" t="s">
        <v>1945</v>
      </c>
      <c r="B2714" s="1" t="s">
        <v>26</v>
      </c>
      <c r="C2714" s="1" t="s">
        <v>3033</v>
      </c>
      <c r="D2714" s="1" t="s">
        <v>19</v>
      </c>
      <c r="E2714" s="12">
        <f>5000*F2714</f>
        <v>4330</v>
      </c>
      <c r="F2714" s="12">
        <f>Systems!D137</f>
        <v>0.86599999999999999</v>
      </c>
      <c r="G2714" s="1" t="s">
        <v>14</v>
      </c>
      <c r="H2714" s="1" t="s">
        <v>445</v>
      </c>
    </row>
    <row r="2715" spans="1:8">
      <c r="A2715" s="1" t="s">
        <v>1959</v>
      </c>
      <c r="B2715" s="1" t="s">
        <v>26</v>
      </c>
      <c r="C2715" s="1" t="s">
        <v>3033</v>
      </c>
      <c r="D2715" s="1" t="s">
        <v>19</v>
      </c>
      <c r="E2715" s="12">
        <f>5000*F2715</f>
        <v>4330</v>
      </c>
      <c r="F2715" s="12">
        <f>Systems!D137</f>
        <v>0.86599999999999999</v>
      </c>
      <c r="G2715" s="1" t="s">
        <v>14</v>
      </c>
      <c r="H2715" s="1" t="s">
        <v>445</v>
      </c>
    </row>
    <row r="2716" spans="1:8">
      <c r="A2716" s="1" t="s">
        <v>273</v>
      </c>
      <c r="B2716" s="1" t="s">
        <v>26</v>
      </c>
      <c r="C2716" s="1" t="s">
        <v>3033</v>
      </c>
      <c r="D2716" s="1" t="s">
        <v>19</v>
      </c>
      <c r="E2716" s="12">
        <f>F2716/432</f>
        <v>2.0046296296296296E-3</v>
      </c>
      <c r="F2716" s="12">
        <f>Systems!D137</f>
        <v>0.86599999999999999</v>
      </c>
      <c r="G2716" s="1" t="s">
        <v>14</v>
      </c>
      <c r="H2716" s="1" t="s">
        <v>445</v>
      </c>
    </row>
    <row r="2717" spans="1:8">
      <c r="A2717" s="1" t="s">
        <v>1964</v>
      </c>
      <c r="B2717" s="1" t="s">
        <v>26</v>
      </c>
      <c r="C2717" s="1" t="s">
        <v>3033</v>
      </c>
      <c r="D2717" s="1" t="s">
        <v>19</v>
      </c>
      <c r="E2717" s="12">
        <f>F2717/432</f>
        <v>2.0046296296296296E-3</v>
      </c>
      <c r="F2717" s="12">
        <f>Systems!D137</f>
        <v>0.86599999999999999</v>
      </c>
      <c r="G2717" s="1" t="s">
        <v>14</v>
      </c>
      <c r="H2717" s="1" t="s">
        <v>445</v>
      </c>
    </row>
    <row r="2718" spans="1:8">
      <c r="A2718" s="1" t="s">
        <v>2263</v>
      </c>
      <c r="B2718" s="1" t="s">
        <v>26</v>
      </c>
      <c r="C2718" s="1" t="s">
        <v>3033</v>
      </c>
      <c r="D2718" s="1" t="s">
        <v>19</v>
      </c>
      <c r="E2718" s="12">
        <f>F2718/3</f>
        <v>0.28866666666666668</v>
      </c>
      <c r="F2718" s="12">
        <f>Systems!D137</f>
        <v>0.86599999999999999</v>
      </c>
      <c r="G2718" s="1" t="s">
        <v>14</v>
      </c>
      <c r="H2718" s="1" t="s">
        <v>445</v>
      </c>
    </row>
    <row r="2719" spans="1:8">
      <c r="A2719" s="1" t="s">
        <v>1030</v>
      </c>
      <c r="B2719" s="1" t="s">
        <v>26</v>
      </c>
      <c r="C2719" s="1" t="s">
        <v>3033</v>
      </c>
      <c r="D2719" s="1" t="s">
        <v>19</v>
      </c>
      <c r="E2719" s="12">
        <f>F2719/36</f>
        <v>2.4055555555555556E-2</v>
      </c>
      <c r="F2719" s="12">
        <f>Systems!D137</f>
        <v>0.86599999999999999</v>
      </c>
      <c r="G2719" s="1" t="s">
        <v>14</v>
      </c>
      <c r="H2719" s="1" t="s">
        <v>445</v>
      </c>
    </row>
    <row r="2720" spans="1:8">
      <c r="A2720" s="1" t="s">
        <v>2306</v>
      </c>
      <c r="B2720" s="1" t="s">
        <v>26</v>
      </c>
      <c r="C2720" s="1" t="s">
        <v>3033</v>
      </c>
      <c r="D2720" s="1" t="s">
        <v>19</v>
      </c>
      <c r="E2720" s="12">
        <f>F2720/36</f>
        <v>2.4055555555555556E-2</v>
      </c>
      <c r="F2720" s="12">
        <f>Systems!D137</f>
        <v>0.86599999999999999</v>
      </c>
      <c r="G2720" s="1" t="s">
        <v>14</v>
      </c>
      <c r="H2720" s="1" t="s">
        <v>445</v>
      </c>
    </row>
    <row r="2721" spans="1:8">
      <c r="A2721" s="1" t="s">
        <v>821</v>
      </c>
      <c r="B2721" s="1" t="s">
        <v>26</v>
      </c>
      <c r="C2721" s="1" t="s">
        <v>3033</v>
      </c>
      <c r="D2721" s="1" t="s">
        <v>19</v>
      </c>
      <c r="E2721" s="12">
        <f>F2721</f>
        <v>0.86599999999999999</v>
      </c>
      <c r="F2721" s="12">
        <f>Systems!D137</f>
        <v>0.86599999999999999</v>
      </c>
      <c r="G2721" s="1" t="s">
        <v>14</v>
      </c>
      <c r="H2721" s="1" t="s">
        <v>445</v>
      </c>
    </row>
    <row r="2722" spans="1:8">
      <c r="A2722" s="1" t="s">
        <v>5032</v>
      </c>
      <c r="B2722" s="1" t="s">
        <v>26</v>
      </c>
      <c r="C2722" s="1" t="s">
        <v>3033</v>
      </c>
      <c r="D2722" s="1" t="s">
        <v>19</v>
      </c>
      <c r="E2722" s="12">
        <f>F2722</f>
        <v>0.83855999999999997</v>
      </c>
      <c r="F2722" s="12">
        <f>Systems!D138</f>
        <v>0.83855999999999997</v>
      </c>
      <c r="G2722" s="1" t="s">
        <v>14</v>
      </c>
      <c r="H2722" s="1" t="s">
        <v>445</v>
      </c>
    </row>
    <row r="2723" spans="1:8" ht="16.5">
      <c r="A2723" s="1" t="s">
        <v>1960</v>
      </c>
      <c r="B2723" s="1" t="s">
        <v>26</v>
      </c>
      <c r="C2723" s="1" t="s">
        <v>3034</v>
      </c>
      <c r="D2723" s="1" t="s">
        <v>38</v>
      </c>
      <c r="E2723" s="12">
        <f>F2723</f>
        <v>74.995599999999996</v>
      </c>
      <c r="F2723" s="12">
        <f>Systems!H137</f>
        <v>74.995599999999996</v>
      </c>
      <c r="G2723" s="1" t="s">
        <v>39</v>
      </c>
      <c r="H2723" s="1" t="s">
        <v>445</v>
      </c>
    </row>
    <row r="2724" spans="1:8" ht="16.5">
      <c r="A2724" s="1" t="s">
        <v>5033</v>
      </c>
      <c r="B2724" s="1" t="s">
        <v>26</v>
      </c>
      <c r="C2724" s="1" t="s">
        <v>3034</v>
      </c>
      <c r="D2724" s="1" t="s">
        <v>38</v>
      </c>
      <c r="E2724" s="12">
        <f>F2724</f>
        <v>4883.605057152</v>
      </c>
      <c r="F2724" s="12">
        <f>Systems!H138</f>
        <v>4883.605057152</v>
      </c>
      <c r="G2724" s="1" t="s">
        <v>39</v>
      </c>
      <c r="H2724" s="1" t="s">
        <v>445</v>
      </c>
    </row>
    <row r="2725" spans="1:8" ht="16.5">
      <c r="A2725" s="1" t="s">
        <v>4514</v>
      </c>
      <c r="B2725" s="1" t="s">
        <v>26</v>
      </c>
      <c r="C2725" s="1" t="s">
        <v>2936</v>
      </c>
      <c r="D2725" s="1" t="s">
        <v>32</v>
      </c>
      <c r="E2725" s="12">
        <f>F2725</f>
        <v>0.64946189599999993</v>
      </c>
      <c r="F2725" s="12">
        <f>Systems!T137</f>
        <v>0.64946189599999993</v>
      </c>
      <c r="G2725" s="1" t="s">
        <v>33</v>
      </c>
      <c r="H2725" s="1" t="s">
        <v>445</v>
      </c>
    </row>
    <row r="2726" spans="1:8" ht="16.5">
      <c r="A2726" s="1" t="s">
        <v>825</v>
      </c>
      <c r="B2726" s="1" t="s">
        <v>26</v>
      </c>
      <c r="C2726" s="1" t="s">
        <v>2935</v>
      </c>
      <c r="D2726" s="1" t="s">
        <v>32</v>
      </c>
      <c r="E2726" s="12">
        <f>F2726/12</f>
        <v>2.3999999999999997E-2</v>
      </c>
      <c r="F2726" s="12">
        <f>Systems!P137</f>
        <v>0.28799999999999998</v>
      </c>
      <c r="G2726" s="1" t="s">
        <v>33</v>
      </c>
      <c r="H2726" s="1" t="s">
        <v>445</v>
      </c>
    </row>
    <row r="2727" spans="1:8" ht="16.5">
      <c r="A2727" s="22" t="s">
        <v>830</v>
      </c>
      <c r="B2727" s="19" t="s">
        <v>26</v>
      </c>
      <c r="C2727" s="1" t="s">
        <v>2935</v>
      </c>
      <c r="D2727" s="1" t="s">
        <v>32</v>
      </c>
      <c r="E2727" s="21">
        <f>F2727/3</f>
        <v>9.5999999999999988E-2</v>
      </c>
      <c r="F2727" s="21">
        <f>Systems!P137</f>
        <v>0.28799999999999998</v>
      </c>
      <c r="G2727" s="1" t="s">
        <v>33</v>
      </c>
      <c r="H2727" s="19" t="s">
        <v>445</v>
      </c>
    </row>
    <row r="2728" spans="1:8" ht="16.5">
      <c r="A2728" s="1" t="s">
        <v>1448</v>
      </c>
      <c r="B2728" s="1" t="s">
        <v>26</v>
      </c>
      <c r="C2728" s="1" t="s">
        <v>2935</v>
      </c>
      <c r="D2728" s="1" t="s">
        <v>32</v>
      </c>
      <c r="E2728" s="12">
        <f>F2728/384</f>
        <v>7.4999999999999991E-4</v>
      </c>
      <c r="F2728" s="12">
        <f>Systems!P137</f>
        <v>0.28799999999999998</v>
      </c>
      <c r="G2728" s="1" t="s">
        <v>33</v>
      </c>
      <c r="H2728" s="1" t="s">
        <v>445</v>
      </c>
    </row>
    <row r="2729" spans="1:8" ht="16.5">
      <c r="A2729" s="1" t="s">
        <v>1450</v>
      </c>
      <c r="B2729" s="1" t="s">
        <v>26</v>
      </c>
      <c r="C2729" s="1" t="s">
        <v>2935</v>
      </c>
      <c r="D2729" s="1" t="s">
        <v>32</v>
      </c>
      <c r="E2729" s="12">
        <f>F2729/384</f>
        <v>7.4999999999999991E-4</v>
      </c>
      <c r="F2729" s="12">
        <f>Systems!P137</f>
        <v>0.28799999999999998</v>
      </c>
      <c r="G2729" s="1" t="s">
        <v>33</v>
      </c>
      <c r="H2729" s="1" t="s">
        <v>445</v>
      </c>
    </row>
    <row r="2730" spans="1:8" ht="16.5">
      <c r="A2730" s="1" t="s">
        <v>823</v>
      </c>
      <c r="B2730" s="1" t="s">
        <v>26</v>
      </c>
      <c r="C2730" s="1" t="s">
        <v>2935</v>
      </c>
      <c r="D2730" s="1" t="s">
        <v>32</v>
      </c>
      <c r="E2730" s="12">
        <f>F2730</f>
        <v>0.28799999999999998</v>
      </c>
      <c r="F2730" s="12">
        <f>Systems!P137</f>
        <v>0.28799999999999998</v>
      </c>
      <c r="G2730" s="1" t="s">
        <v>33</v>
      </c>
      <c r="H2730" s="1" t="s">
        <v>445</v>
      </c>
    </row>
    <row r="2731" spans="1:8" ht="16.5">
      <c r="A2731" s="1" t="s">
        <v>943</v>
      </c>
      <c r="B2731" s="1" t="s">
        <v>26</v>
      </c>
      <c r="C2731" s="1" t="s">
        <v>2935</v>
      </c>
      <c r="D2731" s="1" t="s">
        <v>32</v>
      </c>
      <c r="E2731" s="12">
        <f>F2731/96</f>
        <v>2.9999999999999996E-3</v>
      </c>
      <c r="F2731" s="12">
        <f>Systems!P137</f>
        <v>0.28799999999999998</v>
      </c>
      <c r="G2731" s="1" t="s">
        <v>33</v>
      </c>
      <c r="H2731" s="1" t="s">
        <v>445</v>
      </c>
    </row>
    <row r="2732" spans="1:8" ht="16.5">
      <c r="A2732" s="1" t="s">
        <v>2255</v>
      </c>
      <c r="B2732" s="1" t="s">
        <v>26</v>
      </c>
      <c r="C2732" s="1" t="s">
        <v>2935</v>
      </c>
      <c r="D2732" s="1" t="s">
        <v>32</v>
      </c>
      <c r="E2732" s="12">
        <f>2*F2732</f>
        <v>0.57599999999999996</v>
      </c>
      <c r="F2732" s="12">
        <f>Systems!P137</f>
        <v>0.28799999999999998</v>
      </c>
      <c r="G2732" s="1" t="s">
        <v>33</v>
      </c>
      <c r="H2732" s="1" t="s">
        <v>445</v>
      </c>
    </row>
    <row r="2733" spans="1:8">
      <c r="A2733" s="1" t="s">
        <v>1018</v>
      </c>
      <c r="B2733" s="1" t="s">
        <v>26</v>
      </c>
      <c r="C2733" s="1" t="s">
        <v>17</v>
      </c>
      <c r="D2733" s="1" t="s">
        <v>20</v>
      </c>
      <c r="E2733" s="12">
        <f>25*F2733</f>
        <v>11.475</v>
      </c>
      <c r="F2733" s="12">
        <f>Systems!L137</f>
        <v>0.45900000000000002</v>
      </c>
      <c r="G2733" s="1" t="s">
        <v>23</v>
      </c>
      <c r="H2733" s="1" t="s">
        <v>445</v>
      </c>
    </row>
    <row r="2734" spans="1:8">
      <c r="A2734" s="1" t="s">
        <v>820</v>
      </c>
      <c r="B2734" s="1" t="s">
        <v>26</v>
      </c>
      <c r="C2734" s="1" t="s">
        <v>17</v>
      </c>
      <c r="D2734" s="1" t="s">
        <v>20</v>
      </c>
      <c r="E2734" s="12">
        <f>F2734</f>
        <v>0.45900000000000002</v>
      </c>
      <c r="F2734" s="12">
        <f>Systems!L137</f>
        <v>0.45900000000000002</v>
      </c>
      <c r="G2734" s="1" t="s">
        <v>23</v>
      </c>
      <c r="H2734" s="1" t="s">
        <v>445</v>
      </c>
    </row>
    <row r="2735" spans="1:8">
      <c r="A2735" s="1" t="s">
        <v>5034</v>
      </c>
      <c r="B2735" s="1" t="s">
        <v>26</v>
      </c>
      <c r="C2735" s="1" t="s">
        <v>17</v>
      </c>
      <c r="D2735" s="1" t="s">
        <v>20</v>
      </c>
      <c r="E2735" s="12">
        <f>F2735</f>
        <v>0.46007999999999999</v>
      </c>
      <c r="F2735" s="12">
        <f>Systems!L138</f>
        <v>0.46007999999999999</v>
      </c>
      <c r="G2735" s="1" t="s">
        <v>23</v>
      </c>
      <c r="H2735" s="1" t="s">
        <v>445</v>
      </c>
    </row>
    <row r="2736" spans="1:8">
      <c r="A2736" s="1" t="s">
        <v>2170</v>
      </c>
      <c r="B2736" s="1" t="s">
        <v>26</v>
      </c>
      <c r="C2736" s="1" t="s">
        <v>17</v>
      </c>
      <c r="D2736" s="1" t="s">
        <v>20</v>
      </c>
      <c r="E2736" s="12">
        <f>F2736/16</f>
        <v>2.8687500000000001E-2</v>
      </c>
      <c r="F2736" s="12">
        <f>Systems!L137</f>
        <v>0.45900000000000002</v>
      </c>
      <c r="G2736" s="1" t="s">
        <v>23</v>
      </c>
      <c r="H2736" s="1" t="s">
        <v>445</v>
      </c>
    </row>
    <row r="2737" spans="1:8">
      <c r="A2737" s="1" t="s">
        <v>2174</v>
      </c>
      <c r="B2737" s="1" t="s">
        <v>26</v>
      </c>
      <c r="C2737" s="1" t="s">
        <v>17</v>
      </c>
      <c r="D2737" s="1" t="s">
        <v>20</v>
      </c>
      <c r="E2737" s="12">
        <f>F2737/16</f>
        <v>2.8687500000000001E-2</v>
      </c>
      <c r="F2737" s="12">
        <f>Systems!L137</f>
        <v>0.45900000000000002</v>
      </c>
      <c r="G2737" s="1" t="s">
        <v>23</v>
      </c>
      <c r="H2737" s="1" t="s">
        <v>445</v>
      </c>
    </row>
    <row r="2738" spans="1:8">
      <c r="A2738" s="1" t="s">
        <v>2357</v>
      </c>
      <c r="B2738" s="1" t="s">
        <v>26</v>
      </c>
      <c r="C2738" s="1" t="s">
        <v>17</v>
      </c>
      <c r="D2738" s="1" t="s">
        <v>20</v>
      </c>
      <c r="E2738" s="12">
        <f>100*F2738</f>
        <v>45.9</v>
      </c>
      <c r="F2738" s="12">
        <f>Systems!L137</f>
        <v>0.45900000000000002</v>
      </c>
      <c r="G2738" s="1" t="s">
        <v>23</v>
      </c>
      <c r="H2738" s="1" t="s">
        <v>445</v>
      </c>
    </row>
    <row r="2739" spans="1:8">
      <c r="A2739" s="1" t="s">
        <v>2686</v>
      </c>
      <c r="B2739" s="1" t="s">
        <v>26</v>
      </c>
      <c r="C2739" s="1" t="s">
        <v>17</v>
      </c>
      <c r="D2739" s="1" t="s">
        <v>20</v>
      </c>
      <c r="E2739" s="12">
        <f>2000*F2739</f>
        <v>918</v>
      </c>
      <c r="F2739" s="12">
        <f>Systems!L137</f>
        <v>0.45900000000000002</v>
      </c>
      <c r="G2739" s="1" t="s">
        <v>23</v>
      </c>
      <c r="H2739" s="1" t="s">
        <v>445</v>
      </c>
    </row>
    <row r="2740" spans="1:8">
      <c r="A2740" s="248"/>
      <c r="B2740" s="248"/>
      <c r="C2740" s="248"/>
      <c r="D2740" s="248"/>
      <c r="E2740" s="250"/>
      <c r="F2740" s="250"/>
      <c r="G2740" s="248"/>
      <c r="H2740" s="248"/>
    </row>
    <row r="2741" spans="1:8">
      <c r="A2741" s="1" t="s">
        <v>5035</v>
      </c>
      <c r="B2741" s="1" t="s">
        <v>26</v>
      </c>
      <c r="C2741" s="1" t="s">
        <v>3033</v>
      </c>
      <c r="D2741" s="1" t="s">
        <v>19</v>
      </c>
      <c r="E2741" s="12">
        <f>20000*F2741</f>
        <v>6400</v>
      </c>
      <c r="F2741" s="12">
        <f>Systems!D139</f>
        <v>0.32</v>
      </c>
      <c r="G2741" s="1" t="s">
        <v>14</v>
      </c>
      <c r="H2741" s="1" t="s">
        <v>57</v>
      </c>
    </row>
    <row r="2742" spans="1:8">
      <c r="A2742" s="1" t="s">
        <v>2227</v>
      </c>
      <c r="B2742" s="1" t="s">
        <v>26</v>
      </c>
      <c r="C2742" s="1" t="s">
        <v>3033</v>
      </c>
      <c r="D2742" s="1" t="s">
        <v>19</v>
      </c>
      <c r="E2742" s="12">
        <f>F2742</f>
        <v>5486.4</v>
      </c>
      <c r="F2742" s="12">
        <f>Systems!D140</f>
        <v>5486.4</v>
      </c>
      <c r="G2742" s="1" t="s">
        <v>14</v>
      </c>
      <c r="H2742" s="1" t="s">
        <v>57</v>
      </c>
    </row>
    <row r="2743" spans="1:8">
      <c r="A2743" s="1" t="s">
        <v>1175</v>
      </c>
      <c r="B2743" s="1" t="s">
        <v>26</v>
      </c>
      <c r="C2743" s="1" t="s">
        <v>3033</v>
      </c>
      <c r="D2743" s="1" t="s">
        <v>19</v>
      </c>
      <c r="E2743" s="12">
        <f>F2743/16</f>
        <v>0.02</v>
      </c>
      <c r="F2743" s="12">
        <f>Systems!D139</f>
        <v>0.32</v>
      </c>
      <c r="G2743" s="1" t="s">
        <v>14</v>
      </c>
      <c r="H2743" s="1" t="s">
        <v>57</v>
      </c>
    </row>
    <row r="2744" spans="1:8">
      <c r="A2744" s="1" t="s">
        <v>1213</v>
      </c>
      <c r="B2744" s="1" t="s">
        <v>26</v>
      </c>
      <c r="C2744" s="1" t="s">
        <v>3033</v>
      </c>
      <c r="D2744" s="1" t="s">
        <v>19</v>
      </c>
      <c r="E2744" s="12">
        <f>F2744/16</f>
        <v>0.02</v>
      </c>
      <c r="F2744" s="12">
        <f>Systems!D139</f>
        <v>0.32</v>
      </c>
      <c r="G2744" s="1" t="s">
        <v>14</v>
      </c>
      <c r="H2744" s="1" t="s">
        <v>57</v>
      </c>
    </row>
    <row r="2745" spans="1:8">
      <c r="A2745" s="1" t="s">
        <v>1227</v>
      </c>
      <c r="B2745" s="1" t="s">
        <v>26</v>
      </c>
      <c r="C2745" s="1" t="s">
        <v>3033</v>
      </c>
      <c r="D2745" s="1" t="s">
        <v>19</v>
      </c>
      <c r="E2745" s="12">
        <f>3*F2745</f>
        <v>0.96</v>
      </c>
      <c r="F2745" s="12">
        <f>Systems!D139</f>
        <v>0.32</v>
      </c>
      <c r="G2745" s="1" t="s">
        <v>14</v>
      </c>
      <c r="H2745" s="1" t="s">
        <v>57</v>
      </c>
    </row>
    <row r="2746" spans="1:8">
      <c r="A2746" s="1" t="s">
        <v>1230</v>
      </c>
      <c r="B2746" s="1" t="s">
        <v>26</v>
      </c>
      <c r="C2746" s="1" t="s">
        <v>3033</v>
      </c>
      <c r="D2746" s="1" t="s">
        <v>19</v>
      </c>
      <c r="E2746" s="12">
        <f>2*F2746</f>
        <v>0.64</v>
      </c>
      <c r="F2746" s="12">
        <f>Systems!D139</f>
        <v>0.32</v>
      </c>
      <c r="G2746" s="1" t="s">
        <v>14</v>
      </c>
      <c r="H2746" s="1" t="s">
        <v>57</v>
      </c>
    </row>
    <row r="2747" spans="1:8">
      <c r="A2747" s="1" t="s">
        <v>1236</v>
      </c>
      <c r="B2747" s="1" t="s">
        <v>26</v>
      </c>
      <c r="C2747" s="1" t="s">
        <v>3033</v>
      </c>
      <c r="D2747" s="1" t="s">
        <v>19</v>
      </c>
      <c r="E2747" s="12">
        <f>600*F2747</f>
        <v>192</v>
      </c>
      <c r="F2747" s="12">
        <f>Systems!D139</f>
        <v>0.32</v>
      </c>
      <c r="G2747" s="1" t="s">
        <v>14</v>
      </c>
      <c r="H2747" s="1" t="s">
        <v>57</v>
      </c>
    </row>
    <row r="2748" spans="1:8">
      <c r="A2748" s="1" t="s">
        <v>1388</v>
      </c>
      <c r="B2748" s="1" t="s">
        <v>26</v>
      </c>
      <c r="C2748" s="1" t="s">
        <v>3033</v>
      </c>
      <c r="D2748" s="1" t="s">
        <v>19</v>
      </c>
      <c r="E2748" s="12">
        <f>F2748/24000</f>
        <v>0.2286</v>
      </c>
      <c r="F2748" s="12">
        <f>Systems!D140</f>
        <v>5486.4</v>
      </c>
      <c r="G2748" s="1" t="s">
        <v>14</v>
      </c>
      <c r="H2748" s="1" t="s">
        <v>57</v>
      </c>
    </row>
    <row r="2749" spans="1:8">
      <c r="A2749" s="1" t="s">
        <v>1394</v>
      </c>
      <c r="B2749" s="1" t="s">
        <v>26</v>
      </c>
      <c r="C2749" s="1" t="s">
        <v>3033</v>
      </c>
      <c r="D2749" s="1" t="s">
        <v>19</v>
      </c>
      <c r="E2749" s="12">
        <f>80*F2749</f>
        <v>25.6</v>
      </c>
      <c r="F2749" s="12">
        <f>Systems!D139</f>
        <v>0.32</v>
      </c>
      <c r="G2749" s="1" t="s">
        <v>14</v>
      </c>
      <c r="H2749" s="1" t="s">
        <v>57</v>
      </c>
    </row>
    <row r="2750" spans="1:8">
      <c r="A2750" s="1" t="s">
        <v>4400</v>
      </c>
      <c r="B2750" s="1" t="s">
        <v>26</v>
      </c>
      <c r="C2750" s="1" t="s">
        <v>3033</v>
      </c>
      <c r="D2750" s="1" t="s">
        <v>19</v>
      </c>
      <c r="E2750" s="12">
        <f>2*F2750</f>
        <v>0.64</v>
      </c>
      <c r="F2750" s="12">
        <f>Systems!D139</f>
        <v>0.32</v>
      </c>
      <c r="G2750" s="1" t="s">
        <v>14</v>
      </c>
      <c r="H2750" s="1" t="s">
        <v>57</v>
      </c>
    </row>
    <row r="2751" spans="1:8">
      <c r="A2751" s="1" t="s">
        <v>5036</v>
      </c>
      <c r="B2751" s="1" t="s">
        <v>26</v>
      </c>
      <c r="C2751" s="1" t="s">
        <v>3033</v>
      </c>
      <c r="D2751" s="1" t="s">
        <v>19</v>
      </c>
      <c r="E2751" s="12">
        <f>10*F2751</f>
        <v>3.2</v>
      </c>
      <c r="F2751" s="12">
        <f>Systems!D139</f>
        <v>0.32</v>
      </c>
      <c r="G2751" s="1" t="s">
        <v>14</v>
      </c>
      <c r="H2751" s="1" t="s">
        <v>57</v>
      </c>
    </row>
    <row r="2752" spans="1:8">
      <c r="A2752" s="1" t="s">
        <v>1567</v>
      </c>
      <c r="B2752" s="1" t="s">
        <v>26</v>
      </c>
      <c r="C2752" s="1" t="s">
        <v>3033</v>
      </c>
      <c r="D2752" s="1" t="s">
        <v>19</v>
      </c>
      <c r="E2752" s="12">
        <f>5*F2752/16</f>
        <v>0.1</v>
      </c>
      <c r="F2752" s="12">
        <f>Systems!D139</f>
        <v>0.32</v>
      </c>
      <c r="G2752" s="1" t="s">
        <v>14</v>
      </c>
      <c r="H2752" s="1" t="s">
        <v>57</v>
      </c>
    </row>
    <row r="2753" spans="1:8">
      <c r="A2753" s="1" t="s">
        <v>902</v>
      </c>
      <c r="B2753" s="1" t="s">
        <v>26</v>
      </c>
      <c r="C2753" s="1" t="s">
        <v>3033</v>
      </c>
      <c r="D2753" s="1" t="s">
        <v>19</v>
      </c>
      <c r="E2753" s="12">
        <f>F2753</f>
        <v>5486.4</v>
      </c>
      <c r="F2753" s="12">
        <f>Systems!D140</f>
        <v>5486.4</v>
      </c>
      <c r="G2753" s="1" t="s">
        <v>14</v>
      </c>
      <c r="H2753" s="1" t="s">
        <v>57</v>
      </c>
    </row>
    <row r="2754" spans="1:8">
      <c r="A2754" s="1" t="s">
        <v>1599</v>
      </c>
      <c r="B2754" s="1" t="s">
        <v>26</v>
      </c>
      <c r="C2754" s="1" t="s">
        <v>3033</v>
      </c>
      <c r="D2754" s="1" t="s">
        <v>19</v>
      </c>
      <c r="E2754" s="12">
        <f>20000*F2754</f>
        <v>6400</v>
      </c>
      <c r="F2754" s="12">
        <f>Systems!D139</f>
        <v>0.32</v>
      </c>
      <c r="G2754" s="1" t="s">
        <v>14</v>
      </c>
      <c r="H2754" s="1" t="s">
        <v>57</v>
      </c>
    </row>
    <row r="2755" spans="1:8">
      <c r="A2755" s="1" t="s">
        <v>1238</v>
      </c>
      <c r="B2755" s="1" t="s">
        <v>26</v>
      </c>
      <c r="C2755" s="1" t="s">
        <v>3033</v>
      </c>
      <c r="D2755" s="1" t="s">
        <v>19</v>
      </c>
      <c r="E2755" s="12">
        <f>F2755/16</f>
        <v>0.02</v>
      </c>
      <c r="F2755" s="12">
        <f>Systems!D139</f>
        <v>0.32</v>
      </c>
      <c r="G2755" s="1" t="s">
        <v>14</v>
      </c>
      <c r="H2755" s="1" t="s">
        <v>57</v>
      </c>
    </row>
    <row r="2756" spans="1:8">
      <c r="A2756" s="1" t="s">
        <v>200</v>
      </c>
      <c r="B2756" s="1" t="s">
        <v>6949</v>
      </c>
      <c r="C2756" s="1" t="s">
        <v>3033</v>
      </c>
      <c r="D2756" s="1" t="s">
        <v>19</v>
      </c>
      <c r="E2756" s="12">
        <f>F2756</f>
        <v>0.32</v>
      </c>
      <c r="F2756" s="12">
        <f>Systems!D139</f>
        <v>0.32</v>
      </c>
      <c r="G2756" s="1" t="s">
        <v>14</v>
      </c>
      <c r="H2756" s="1" t="s">
        <v>57</v>
      </c>
    </row>
    <row r="2757" spans="1:8">
      <c r="A2757" s="1" t="s">
        <v>1670</v>
      </c>
      <c r="B2757" s="1" t="s">
        <v>26</v>
      </c>
      <c r="C2757" s="1" t="s">
        <v>3033</v>
      </c>
      <c r="D2757" s="1" t="s">
        <v>19</v>
      </c>
      <c r="E2757" s="12">
        <f>F2757/6000</f>
        <v>0.91439999999999999</v>
      </c>
      <c r="F2757" s="12">
        <f>Systems!D140</f>
        <v>5486.4</v>
      </c>
      <c r="G2757" s="1" t="s">
        <v>14</v>
      </c>
      <c r="H2757" s="1" t="s">
        <v>57</v>
      </c>
    </row>
    <row r="2758" spans="1:8">
      <c r="A2758" s="1" t="s">
        <v>1672</v>
      </c>
      <c r="B2758" s="1" t="s">
        <v>26</v>
      </c>
      <c r="C2758" s="1" t="s">
        <v>3033</v>
      </c>
      <c r="D2758" s="1" t="s">
        <v>19</v>
      </c>
      <c r="E2758" s="12">
        <f>720*F2758</f>
        <v>230.4</v>
      </c>
      <c r="F2758" s="12">
        <f>Systems!D139</f>
        <v>0.32</v>
      </c>
      <c r="G2758" s="1" t="s">
        <v>14</v>
      </c>
      <c r="H2758" s="1" t="s">
        <v>57</v>
      </c>
    </row>
    <row r="2759" spans="1:8">
      <c r="A2759" s="1" t="s">
        <v>1681</v>
      </c>
      <c r="B2759" s="1" t="s">
        <v>26</v>
      </c>
      <c r="C2759" s="1" t="s">
        <v>3033</v>
      </c>
      <c r="D2759" s="1" t="s">
        <v>19</v>
      </c>
      <c r="E2759" s="12">
        <f>F2759/96000</f>
        <v>5.7149999999999999E-2</v>
      </c>
      <c r="F2759" s="12">
        <f>Systems!D140</f>
        <v>5486.4</v>
      </c>
      <c r="G2759" s="1" t="s">
        <v>14</v>
      </c>
      <c r="H2759" s="1" t="s">
        <v>57</v>
      </c>
    </row>
    <row r="2760" spans="1:8">
      <c r="A2760" s="1" t="s">
        <v>1699</v>
      </c>
      <c r="B2760" s="1" t="s">
        <v>26</v>
      </c>
      <c r="C2760" s="1" t="s">
        <v>3033</v>
      </c>
      <c r="D2760" s="1" t="s">
        <v>19</v>
      </c>
      <c r="E2760" s="12">
        <f>F2760/6000</f>
        <v>0.91439999999999999</v>
      </c>
      <c r="F2760" s="12">
        <f>Systems!D140</f>
        <v>5486.4</v>
      </c>
      <c r="G2760" s="1" t="s">
        <v>14</v>
      </c>
      <c r="H2760" s="1" t="s">
        <v>57</v>
      </c>
    </row>
    <row r="2761" spans="1:8">
      <c r="A2761" s="1" t="s">
        <v>5037</v>
      </c>
      <c r="B2761" s="1" t="s">
        <v>26</v>
      </c>
      <c r="C2761" s="1" t="s">
        <v>3033</v>
      </c>
      <c r="D2761" s="1" t="s">
        <v>19</v>
      </c>
      <c r="E2761" s="12">
        <f>15*F2761/8</f>
        <v>0.6</v>
      </c>
      <c r="F2761" s="12">
        <f>Systems!D139</f>
        <v>0.32</v>
      </c>
      <c r="G2761" s="1" t="s">
        <v>14</v>
      </c>
      <c r="H2761" s="1" t="s">
        <v>57</v>
      </c>
    </row>
    <row r="2762" spans="1:8">
      <c r="A2762" s="1" t="s">
        <v>2011</v>
      </c>
      <c r="B2762" s="1" t="s">
        <v>26</v>
      </c>
      <c r="C2762" s="1" t="s">
        <v>3033</v>
      </c>
      <c r="D2762" s="1" t="s">
        <v>19</v>
      </c>
      <c r="E2762" s="12">
        <f>80000*F2762</f>
        <v>25600</v>
      </c>
      <c r="F2762" s="12">
        <f>Systems!D139</f>
        <v>0.32</v>
      </c>
      <c r="G2762" s="1" t="s">
        <v>14</v>
      </c>
      <c r="H2762" s="1" t="s">
        <v>57</v>
      </c>
    </row>
    <row r="2763" spans="1:8">
      <c r="A2763" s="1" t="s">
        <v>2072</v>
      </c>
      <c r="B2763" s="1" t="s">
        <v>26</v>
      </c>
      <c r="C2763" s="1" t="s">
        <v>3033</v>
      </c>
      <c r="D2763" s="1" t="s">
        <v>19</v>
      </c>
      <c r="E2763" s="12">
        <f>5400*F2763</f>
        <v>1728</v>
      </c>
      <c r="F2763" s="12">
        <f>Systems!D139</f>
        <v>0.32</v>
      </c>
      <c r="G2763" s="1" t="s">
        <v>14</v>
      </c>
      <c r="H2763" s="1" t="s">
        <v>57</v>
      </c>
    </row>
    <row r="2764" spans="1:8">
      <c r="A2764" s="1" t="s">
        <v>1284</v>
      </c>
      <c r="B2764" s="1" t="s">
        <v>26</v>
      </c>
      <c r="C2764" s="1" t="s">
        <v>3033</v>
      </c>
      <c r="D2764" s="1" t="s">
        <v>19</v>
      </c>
      <c r="E2764" s="12">
        <f>6*F2764</f>
        <v>1.92</v>
      </c>
      <c r="F2764" s="12">
        <f>Systems!D139</f>
        <v>0.32</v>
      </c>
      <c r="G2764" s="1" t="s">
        <v>14</v>
      </c>
      <c r="H2764" s="1" t="s">
        <v>57</v>
      </c>
    </row>
    <row r="2765" spans="1:8">
      <c r="A2765" s="1" t="s">
        <v>1334</v>
      </c>
      <c r="B2765" s="1" t="s">
        <v>26</v>
      </c>
      <c r="C2765" s="1" t="s">
        <v>3033</v>
      </c>
      <c r="D2765" s="1" t="s">
        <v>19</v>
      </c>
      <c r="E2765" s="12">
        <f>F2765/4</f>
        <v>0.08</v>
      </c>
      <c r="F2765" s="12">
        <f>Systems!D139</f>
        <v>0.32</v>
      </c>
      <c r="G2765" s="1" t="s">
        <v>14</v>
      </c>
      <c r="H2765" s="1" t="s">
        <v>57</v>
      </c>
    </row>
    <row r="2766" spans="1:8">
      <c r="A2766" s="1" t="s">
        <v>2223</v>
      </c>
      <c r="B2766" s="1" t="s">
        <v>26</v>
      </c>
      <c r="C2766" s="1" t="s">
        <v>3033</v>
      </c>
      <c r="D2766" s="1" t="s">
        <v>19</v>
      </c>
      <c r="E2766" s="12">
        <f>75*F2766/16</f>
        <v>1.5</v>
      </c>
      <c r="F2766" s="12">
        <f>Systems!D139</f>
        <v>0.32</v>
      </c>
      <c r="G2766" s="1" t="s">
        <v>14</v>
      </c>
      <c r="H2766" s="1" t="s">
        <v>57</v>
      </c>
    </row>
    <row r="2767" spans="1:8">
      <c r="A2767" s="1" t="s">
        <v>5038</v>
      </c>
      <c r="B2767" s="1" t="s">
        <v>26</v>
      </c>
      <c r="C2767" s="1" t="s">
        <v>3033</v>
      </c>
      <c r="D2767" s="1" t="s">
        <v>19</v>
      </c>
      <c r="E2767" s="12">
        <f>25*F2767/16</f>
        <v>0.5</v>
      </c>
      <c r="F2767" s="12">
        <f>Systems!D139</f>
        <v>0.32</v>
      </c>
      <c r="G2767" s="1" t="s">
        <v>14</v>
      </c>
      <c r="H2767" s="1" t="s">
        <v>57</v>
      </c>
    </row>
    <row r="2768" spans="1:8">
      <c r="A2768" s="1" t="s">
        <v>2323</v>
      </c>
      <c r="B2768" s="1" t="s">
        <v>26</v>
      </c>
      <c r="C2768" s="1" t="s">
        <v>3033</v>
      </c>
      <c r="D2768" s="1" t="s">
        <v>19</v>
      </c>
      <c r="E2768" s="12">
        <f>12*F2768</f>
        <v>3.84</v>
      </c>
      <c r="F2768" s="12">
        <f>Systems!D139</f>
        <v>0.32</v>
      </c>
      <c r="G2768" s="1" t="s">
        <v>14</v>
      </c>
      <c r="H2768" s="1" t="s">
        <v>57</v>
      </c>
    </row>
    <row r="2769" spans="1:8">
      <c r="A2769" s="1" t="s">
        <v>2374</v>
      </c>
      <c r="B2769" s="1" t="s">
        <v>26</v>
      </c>
      <c r="C2769" s="1" t="s">
        <v>3033</v>
      </c>
      <c r="D2769" s="1" t="s">
        <v>19</v>
      </c>
      <c r="E2769" s="12">
        <f>5*F2769/4</f>
        <v>0.4</v>
      </c>
      <c r="F2769" s="12">
        <f>Systems!D139</f>
        <v>0.32</v>
      </c>
      <c r="G2769" s="1" t="s">
        <v>14</v>
      </c>
      <c r="H2769" s="1" t="s">
        <v>57</v>
      </c>
    </row>
    <row r="2770" spans="1:8">
      <c r="A2770" s="1" t="s">
        <v>2447</v>
      </c>
      <c r="B2770" s="1" t="s">
        <v>26</v>
      </c>
      <c r="C2770" s="1" t="s">
        <v>3033</v>
      </c>
      <c r="D2770" s="1" t="s">
        <v>19</v>
      </c>
      <c r="E2770" s="12">
        <f>21600*F2770</f>
        <v>6912</v>
      </c>
      <c r="F2770" s="12">
        <f>Systems!D139</f>
        <v>0.32</v>
      </c>
      <c r="G2770" s="1" t="s">
        <v>14</v>
      </c>
      <c r="H2770" s="1" t="s">
        <v>57</v>
      </c>
    </row>
    <row r="2771" spans="1:8">
      <c r="A2771" s="1" t="s">
        <v>5039</v>
      </c>
      <c r="B2771" s="1" t="s">
        <v>26</v>
      </c>
      <c r="C2771" s="1" t="s">
        <v>3033</v>
      </c>
      <c r="D2771" s="1" t="s">
        <v>19</v>
      </c>
      <c r="E2771" s="12">
        <f>15*F2771/8</f>
        <v>0.6</v>
      </c>
      <c r="F2771" s="12">
        <f>Systems!D139</f>
        <v>0.32</v>
      </c>
      <c r="G2771" s="1" t="s">
        <v>14</v>
      </c>
      <c r="H2771" s="1" t="s">
        <v>57</v>
      </c>
    </row>
    <row r="2772" spans="1:8">
      <c r="A2772" s="1" t="s">
        <v>2697</v>
      </c>
      <c r="B2772" s="1" t="s">
        <v>26</v>
      </c>
      <c r="C2772" s="1" t="s">
        <v>3033</v>
      </c>
      <c r="D2772" s="1" t="s">
        <v>19</v>
      </c>
      <c r="E2772" s="12">
        <f>15*F2772/16</f>
        <v>0.3</v>
      </c>
      <c r="F2772" s="12">
        <f>Systems!D139</f>
        <v>0.32</v>
      </c>
      <c r="G2772" s="1" t="s">
        <v>14</v>
      </c>
      <c r="H2772" s="1" t="s">
        <v>57</v>
      </c>
    </row>
    <row r="2773" spans="1:8">
      <c r="A2773" s="1" t="s">
        <v>2736</v>
      </c>
      <c r="B2773" s="1" t="s">
        <v>26</v>
      </c>
      <c r="C2773" s="1" t="s">
        <v>3033</v>
      </c>
      <c r="D2773" s="1" t="s">
        <v>19</v>
      </c>
      <c r="E2773" s="12">
        <f>2*F2773</f>
        <v>0.64</v>
      </c>
      <c r="F2773" s="12">
        <f>Systems!D139</f>
        <v>0.32</v>
      </c>
      <c r="G2773" s="1" t="s">
        <v>14</v>
      </c>
      <c r="H2773" s="1" t="s">
        <v>57</v>
      </c>
    </row>
    <row r="2774" spans="1:8">
      <c r="A2774" s="1" t="s">
        <v>2749</v>
      </c>
      <c r="B2774" s="1" t="s">
        <v>26</v>
      </c>
      <c r="C2774" s="1" t="s">
        <v>3033</v>
      </c>
      <c r="D2774" s="1" t="s">
        <v>19</v>
      </c>
      <c r="E2774" s="12">
        <f>F2774/48000</f>
        <v>0.1143</v>
      </c>
      <c r="F2774" s="12">
        <f>Systems!D140</f>
        <v>5486.4</v>
      </c>
      <c r="G2774" s="1" t="s">
        <v>14</v>
      </c>
      <c r="H2774" s="1" t="s">
        <v>57</v>
      </c>
    </row>
    <row r="2775" spans="1:8">
      <c r="A2775" s="1" t="s">
        <v>2817</v>
      </c>
      <c r="B2775" s="1" t="s">
        <v>26</v>
      </c>
      <c r="C2775" s="1" t="s">
        <v>3033</v>
      </c>
      <c r="D2775" s="1" t="s">
        <v>19</v>
      </c>
      <c r="E2775" s="12">
        <f>F2775/5275</f>
        <v>1.0400758293838861</v>
      </c>
      <c r="F2775" s="12">
        <f>Systems!D140</f>
        <v>5486.4</v>
      </c>
      <c r="G2775" s="1" t="s">
        <v>14</v>
      </c>
      <c r="H2775" s="1" t="s">
        <v>57</v>
      </c>
    </row>
    <row r="2776" spans="1:8">
      <c r="A2776" s="1" t="s">
        <v>800</v>
      </c>
      <c r="B2776" s="1" t="s">
        <v>26</v>
      </c>
      <c r="C2776" s="1" t="s">
        <v>3033</v>
      </c>
      <c r="D2776" s="1" t="s">
        <v>19</v>
      </c>
      <c r="E2776" s="12">
        <f>F2776</f>
        <v>0.32</v>
      </c>
      <c r="F2776" s="12">
        <f>Systems!D139</f>
        <v>0.32</v>
      </c>
      <c r="G2776" s="1" t="s">
        <v>14</v>
      </c>
      <c r="H2776" s="1" t="s">
        <v>57</v>
      </c>
    </row>
    <row r="2777" spans="1:8" ht="16.5">
      <c r="A2777" s="1" t="s">
        <v>1648</v>
      </c>
      <c r="B2777" s="1" t="s">
        <v>26</v>
      </c>
      <c r="C2777" s="1" t="s">
        <v>3034</v>
      </c>
      <c r="D2777" s="1" t="s">
        <v>38</v>
      </c>
      <c r="E2777" s="12">
        <f>100*F2777</f>
        <v>1474.56</v>
      </c>
      <c r="F2777" s="12">
        <f>Systems!H139</f>
        <v>14.7456</v>
      </c>
      <c r="G2777" s="1" t="s">
        <v>39</v>
      </c>
      <c r="H2777" s="1" t="s">
        <v>57</v>
      </c>
    </row>
    <row r="2778" spans="1:8" ht="16.5">
      <c r="A2778" s="1" t="s">
        <v>801</v>
      </c>
      <c r="B2778" s="1" t="s">
        <v>26</v>
      </c>
      <c r="C2778" s="1" t="s">
        <v>3034</v>
      </c>
      <c r="D2778" s="1" t="s">
        <v>38</v>
      </c>
      <c r="E2778" s="12">
        <f>F2778</f>
        <v>14.7456</v>
      </c>
      <c r="F2778" s="12">
        <f>Systems!H139</f>
        <v>14.7456</v>
      </c>
      <c r="G2778" s="1" t="s">
        <v>39</v>
      </c>
      <c r="H2778" s="1" t="s">
        <v>57</v>
      </c>
    </row>
    <row r="2779" spans="1:8" ht="16.5">
      <c r="A2779" s="1" t="s">
        <v>1701</v>
      </c>
      <c r="B2779" s="1" t="s">
        <v>26</v>
      </c>
      <c r="C2779" s="1" t="s">
        <v>3034</v>
      </c>
      <c r="D2779" s="1" t="s">
        <v>38</v>
      </c>
      <c r="E2779" s="12">
        <f>1000*F2779</f>
        <v>14745.6</v>
      </c>
      <c r="F2779" s="12">
        <f>Systems!H139</f>
        <v>14.7456</v>
      </c>
      <c r="G2779" s="1" t="s">
        <v>39</v>
      </c>
      <c r="H2779" s="1" t="s">
        <v>57</v>
      </c>
    </row>
    <row r="2780" spans="1:8" ht="16.5">
      <c r="A2780" s="1" t="s">
        <v>2631</v>
      </c>
      <c r="B2780" s="1" t="s">
        <v>26</v>
      </c>
      <c r="C2780" s="1" t="s">
        <v>3034</v>
      </c>
      <c r="D2780" s="1" t="s">
        <v>38</v>
      </c>
      <c r="E2780" s="12">
        <f>10*F2780</f>
        <v>147.45599999999999</v>
      </c>
      <c r="F2780" s="12">
        <f>Systems!H139</f>
        <v>14.7456</v>
      </c>
      <c r="G2780" s="1" t="s">
        <v>39</v>
      </c>
      <c r="H2780" s="1" t="s">
        <v>57</v>
      </c>
    </row>
    <row r="2781" spans="1:8" ht="16.5">
      <c r="A2781" s="1" t="s">
        <v>803</v>
      </c>
      <c r="B2781" s="1" t="s">
        <v>26</v>
      </c>
      <c r="C2781" s="1" t="s">
        <v>2936</v>
      </c>
      <c r="D2781" s="1" t="s">
        <v>32</v>
      </c>
      <c r="E2781" s="12">
        <f>F2781</f>
        <v>3.2599999999999997E-2</v>
      </c>
      <c r="F2781" s="12">
        <f>Systems!T139</f>
        <v>3.2599999999999997E-2</v>
      </c>
      <c r="G2781" s="1" t="s">
        <v>33</v>
      </c>
      <c r="H2781" s="1" t="s">
        <v>57</v>
      </c>
    </row>
    <row r="2782" spans="1:8" ht="16.5">
      <c r="A2782" s="1" t="s">
        <v>5040</v>
      </c>
      <c r="B2782" s="1" t="s">
        <v>26</v>
      </c>
      <c r="C2782" s="1" t="s">
        <v>2936</v>
      </c>
      <c r="D2782" s="1" t="s">
        <v>32</v>
      </c>
      <c r="E2782" s="12">
        <f>3*F2782</f>
        <v>9.7799999999999998E-2</v>
      </c>
      <c r="F2782" s="12">
        <f>Systems!T139</f>
        <v>3.2599999999999997E-2</v>
      </c>
      <c r="G2782" s="1" t="s">
        <v>33</v>
      </c>
      <c r="H2782" s="1" t="s">
        <v>57</v>
      </c>
    </row>
    <row r="2783" spans="1:8" ht="16.5">
      <c r="A2783" s="1" t="s">
        <v>5041</v>
      </c>
      <c r="B2783" s="1" t="s">
        <v>26</v>
      </c>
      <c r="C2783" s="1" t="s">
        <v>2936</v>
      </c>
      <c r="D2783" s="1" t="s">
        <v>32</v>
      </c>
      <c r="E2783" s="12">
        <f>2*F2783</f>
        <v>6.5199999999999994E-2</v>
      </c>
      <c r="F2783" s="12">
        <f>Systems!T139</f>
        <v>3.2599999999999997E-2</v>
      </c>
      <c r="G2783" s="1" t="s">
        <v>33</v>
      </c>
      <c r="H2783" s="1" t="s">
        <v>57</v>
      </c>
    </row>
    <row r="2784" spans="1:8" ht="16.5">
      <c r="A2784" s="1" t="s">
        <v>5042</v>
      </c>
      <c r="B2784" s="1" t="s">
        <v>26</v>
      </c>
      <c r="C2784" s="1" t="s">
        <v>2936</v>
      </c>
      <c r="D2784" s="1" t="s">
        <v>32</v>
      </c>
      <c r="E2784" s="12">
        <f>3*F2784/2</f>
        <v>4.8899999999999999E-2</v>
      </c>
      <c r="F2784" s="12">
        <f>Systems!T139</f>
        <v>3.2599999999999997E-2</v>
      </c>
      <c r="G2784" s="1" t="s">
        <v>33</v>
      </c>
      <c r="H2784" s="1" t="s">
        <v>57</v>
      </c>
    </row>
    <row r="2785" spans="1:8" ht="16.5">
      <c r="A2785" s="1" t="s">
        <v>1336</v>
      </c>
      <c r="B2785" s="1" t="s">
        <v>26</v>
      </c>
      <c r="C2785" s="1" t="s">
        <v>2936</v>
      </c>
      <c r="D2785" s="1" t="s">
        <v>32</v>
      </c>
      <c r="E2785" s="12">
        <f>F2785/32</f>
        <v>1.0187499999999999E-3</v>
      </c>
      <c r="F2785" s="12">
        <f>Systems!T139</f>
        <v>3.2599999999999997E-2</v>
      </c>
      <c r="G2785" s="1" t="s">
        <v>33</v>
      </c>
      <c r="H2785" s="1" t="s">
        <v>57</v>
      </c>
    </row>
    <row r="2786" spans="1:8" ht="16.5">
      <c r="A2786" s="1" t="s">
        <v>1654</v>
      </c>
      <c r="B2786" s="1" t="s">
        <v>26</v>
      </c>
      <c r="C2786" s="1" t="s">
        <v>2936</v>
      </c>
      <c r="D2786" s="1" t="s">
        <v>32</v>
      </c>
      <c r="E2786" s="12">
        <f>8*F2786</f>
        <v>0.26079999999999998</v>
      </c>
      <c r="F2786" s="12">
        <f>Systems!T139</f>
        <v>3.2599999999999997E-2</v>
      </c>
      <c r="G2786" s="1" t="s">
        <v>33</v>
      </c>
      <c r="H2786" s="1" t="s">
        <v>57</v>
      </c>
    </row>
    <row r="2787" spans="1:8" ht="16.5">
      <c r="A2787" s="1" t="s">
        <v>2003</v>
      </c>
      <c r="B2787" s="1" t="s">
        <v>26</v>
      </c>
      <c r="C2787" s="1" t="s">
        <v>2936</v>
      </c>
      <c r="D2787" s="1" t="s">
        <v>32</v>
      </c>
      <c r="E2787" s="12">
        <f>Factors!F2785/8</f>
        <v>4.0749999999999996E-3</v>
      </c>
      <c r="F2787" s="12">
        <f>Systems!T139</f>
        <v>3.2599999999999997E-2</v>
      </c>
      <c r="G2787" s="1" t="s">
        <v>33</v>
      </c>
      <c r="H2787" s="1" t="s">
        <v>57</v>
      </c>
    </row>
    <row r="2788" spans="1:8" ht="16.5">
      <c r="A2788" s="1" t="s">
        <v>5043</v>
      </c>
      <c r="B2788" s="1" t="s">
        <v>26</v>
      </c>
      <c r="C2788" s="1" t="s">
        <v>2936</v>
      </c>
      <c r="D2788" s="1" t="s">
        <v>32</v>
      </c>
      <c r="E2788" s="12">
        <f>F2788/2</f>
        <v>1.6299999999999999E-2</v>
      </c>
      <c r="F2788" s="12">
        <f>Systems!T139</f>
        <v>3.2599999999999997E-2</v>
      </c>
      <c r="G2788" s="1" t="s">
        <v>33</v>
      </c>
      <c r="H2788" s="1" t="s">
        <v>57</v>
      </c>
    </row>
    <row r="2789" spans="1:8" ht="16.5">
      <c r="A2789" s="1" t="s">
        <v>1233</v>
      </c>
      <c r="B2789" s="1" t="s">
        <v>26</v>
      </c>
      <c r="C2789" s="1" t="s">
        <v>2935</v>
      </c>
      <c r="D2789" s="1" t="s">
        <v>32</v>
      </c>
      <c r="E2789" s="12">
        <f>200*F2789</f>
        <v>6.6000000000000003E-2</v>
      </c>
      <c r="F2789" s="12">
        <f>Systems!P139</f>
        <v>3.3E-4</v>
      </c>
      <c r="G2789" s="1" t="s">
        <v>33</v>
      </c>
      <c r="H2789" s="1" t="s">
        <v>57</v>
      </c>
    </row>
    <row r="2790" spans="1:8" ht="16.5">
      <c r="A2790" s="14" t="s">
        <v>1357</v>
      </c>
      <c r="B2790" s="1" t="s">
        <v>26</v>
      </c>
      <c r="C2790" s="1" t="s">
        <v>2935</v>
      </c>
      <c r="D2790" s="1" t="s">
        <v>32</v>
      </c>
      <c r="E2790" s="12">
        <f>8*F2790</f>
        <v>2.64E-3</v>
      </c>
      <c r="F2790" s="12">
        <f>Systems!P139</f>
        <v>3.3E-4</v>
      </c>
      <c r="G2790" s="1" t="s">
        <v>33</v>
      </c>
      <c r="H2790" s="1" t="s">
        <v>57</v>
      </c>
    </row>
    <row r="2791" spans="1:8" ht="16.5">
      <c r="A2791" s="1" t="s">
        <v>906</v>
      </c>
      <c r="B2791" s="1" t="s">
        <v>26</v>
      </c>
      <c r="C2791" s="1" t="s">
        <v>2935</v>
      </c>
      <c r="D2791" s="1" t="s">
        <v>32</v>
      </c>
      <c r="E2791" s="12">
        <f>F2791</f>
        <v>1.32E-3</v>
      </c>
      <c r="F2791" s="12">
        <f>Systems!P140</f>
        <v>1.32E-3</v>
      </c>
      <c r="G2791" s="1" t="s">
        <v>33</v>
      </c>
      <c r="H2791" s="1" t="s">
        <v>57</v>
      </c>
    </row>
    <row r="2792" spans="1:8" ht="16.5">
      <c r="A2792" s="1" t="s">
        <v>1426</v>
      </c>
      <c r="B2792" s="1" t="s">
        <v>26</v>
      </c>
      <c r="C2792" s="1" t="s">
        <v>2935</v>
      </c>
      <c r="D2792" s="1" t="s">
        <v>32</v>
      </c>
      <c r="E2792" s="12">
        <f>25*F2792</f>
        <v>8.2500000000000004E-3</v>
      </c>
      <c r="F2792" s="12">
        <f>Systems!P139</f>
        <v>3.3E-4</v>
      </c>
      <c r="G2792" s="1" t="s">
        <v>33</v>
      </c>
      <c r="H2792" s="1" t="s">
        <v>57</v>
      </c>
    </row>
    <row r="2793" spans="1:8" ht="16.5">
      <c r="A2793" s="1" t="s">
        <v>1941</v>
      </c>
      <c r="B2793" s="1" t="s">
        <v>26</v>
      </c>
      <c r="C2793" s="1" t="s">
        <v>2935</v>
      </c>
      <c r="D2793" s="1" t="s">
        <v>32</v>
      </c>
      <c r="E2793" s="12">
        <f>120*F2793</f>
        <v>3.9599999999999996E-2</v>
      </c>
      <c r="F2793" s="12">
        <f>Systems!P139</f>
        <v>3.3E-4</v>
      </c>
      <c r="G2793" s="1" t="s">
        <v>33</v>
      </c>
      <c r="H2793" s="1" t="s">
        <v>57</v>
      </c>
    </row>
    <row r="2794" spans="1:8" ht="16.5">
      <c r="A2794" s="1" t="s">
        <v>2412</v>
      </c>
      <c r="B2794" s="1" t="s">
        <v>26</v>
      </c>
      <c r="C2794" s="1" t="s">
        <v>2935</v>
      </c>
      <c r="D2794" s="1" t="s">
        <v>32</v>
      </c>
      <c r="E2794" s="12">
        <f>22*F2794</f>
        <v>7.26E-3</v>
      </c>
      <c r="F2794" s="12">
        <f>Systems!P139</f>
        <v>3.3E-4</v>
      </c>
      <c r="G2794" s="1" t="s">
        <v>33</v>
      </c>
      <c r="H2794" s="1" t="s">
        <v>57</v>
      </c>
    </row>
    <row r="2795" spans="1:8" ht="16.5">
      <c r="A2795" s="1" t="s">
        <v>941</v>
      </c>
      <c r="B2795" s="1" t="s">
        <v>26</v>
      </c>
      <c r="C2795" s="1" t="s">
        <v>2935</v>
      </c>
      <c r="D2795" s="1" t="s">
        <v>32</v>
      </c>
      <c r="E2795" s="12">
        <f>F2795/4</f>
        <v>3.3E-4</v>
      </c>
      <c r="F2795" s="12">
        <f>Systems!P140</f>
        <v>1.32E-3</v>
      </c>
      <c r="G2795" s="1" t="s">
        <v>33</v>
      </c>
      <c r="H2795" s="1" t="s">
        <v>57</v>
      </c>
    </row>
    <row r="2796" spans="1:8">
      <c r="A2796" s="1" t="s">
        <v>1150</v>
      </c>
      <c r="B2796" s="1" t="s">
        <v>26</v>
      </c>
      <c r="C2796" s="1" t="s">
        <v>17</v>
      </c>
      <c r="D2796" s="1" t="s">
        <v>20</v>
      </c>
      <c r="E2796" s="12">
        <f>4*F2796/5</f>
        <v>0.36799999999999999</v>
      </c>
      <c r="F2796" s="12">
        <f>Systems!L140</f>
        <v>0.46</v>
      </c>
      <c r="G2796" s="1" t="s">
        <v>23</v>
      </c>
      <c r="H2796" s="1" t="s">
        <v>57</v>
      </c>
    </row>
    <row r="2797" spans="1:8">
      <c r="A2797" s="1" t="s">
        <v>5044</v>
      </c>
      <c r="B2797" s="1" t="s">
        <v>26</v>
      </c>
      <c r="C2797" s="1" t="s">
        <v>17</v>
      </c>
      <c r="D2797" s="1" t="s">
        <v>20</v>
      </c>
      <c r="E2797" s="12">
        <f>64*F2797/5</f>
        <v>5.8879999999999999</v>
      </c>
      <c r="F2797" s="12">
        <f>Systems!L140</f>
        <v>0.46</v>
      </c>
      <c r="G2797" s="1" t="s">
        <v>23</v>
      </c>
      <c r="H2797" s="1" t="s">
        <v>57</v>
      </c>
    </row>
    <row r="2798" spans="1:8">
      <c r="A2798" s="1" t="s">
        <v>5045</v>
      </c>
      <c r="B2798" s="1" t="s">
        <v>26</v>
      </c>
      <c r="C2798" s="1" t="s">
        <v>17</v>
      </c>
      <c r="D2798" s="1" t="s">
        <v>20</v>
      </c>
      <c r="E2798" s="12">
        <f>32*F2798/5</f>
        <v>2.944</v>
      </c>
      <c r="F2798" s="12">
        <f>Systems!L140</f>
        <v>0.46</v>
      </c>
      <c r="G2798" s="1" t="s">
        <v>23</v>
      </c>
      <c r="H2798" s="1" t="s">
        <v>57</v>
      </c>
    </row>
    <row r="2799" spans="1:8">
      <c r="A2799" s="1" t="s">
        <v>114</v>
      </c>
      <c r="B2799" s="1" t="s">
        <v>26</v>
      </c>
      <c r="C2799" s="1" t="s">
        <v>17</v>
      </c>
      <c r="D2799" s="1" t="s">
        <v>20</v>
      </c>
      <c r="E2799" s="12">
        <f>F2799/2400</f>
        <v>1.9166666666666667E-4</v>
      </c>
      <c r="F2799" s="12">
        <f>Systems!L140</f>
        <v>0.46</v>
      </c>
      <c r="G2799" s="1" t="s">
        <v>23</v>
      </c>
      <c r="H2799" s="1" t="s">
        <v>57</v>
      </c>
    </row>
    <row r="2800" spans="1:8">
      <c r="A2800" s="1" t="s">
        <v>1480</v>
      </c>
      <c r="B2800" s="1" t="s">
        <v>26</v>
      </c>
      <c r="C2800" s="1" t="s">
        <v>17</v>
      </c>
      <c r="D2800" s="1" t="s">
        <v>20</v>
      </c>
      <c r="E2800" s="12">
        <f>2*F2800/5</f>
        <v>0.184</v>
      </c>
      <c r="F2800" s="12">
        <f>Systems!L140</f>
        <v>0.46</v>
      </c>
      <c r="G2800" s="1" t="s">
        <v>23</v>
      </c>
      <c r="H2800" s="1" t="s">
        <v>57</v>
      </c>
    </row>
    <row r="2801" spans="1:8">
      <c r="A2801" s="1" t="s">
        <v>1486</v>
      </c>
      <c r="B2801" s="1" t="s">
        <v>26</v>
      </c>
      <c r="C2801" s="1" t="s">
        <v>17</v>
      </c>
      <c r="D2801" s="1" t="s">
        <v>20</v>
      </c>
      <c r="E2801" s="12">
        <f>F2801/450</f>
        <v>1.0222222222222223E-3</v>
      </c>
      <c r="F2801" s="12">
        <f>Systems!L140</f>
        <v>0.46</v>
      </c>
      <c r="G2801" s="1" t="s">
        <v>23</v>
      </c>
      <c r="H2801" s="1" t="s">
        <v>57</v>
      </c>
    </row>
    <row r="2802" spans="1:8">
      <c r="A2802" s="1" t="s">
        <v>1533</v>
      </c>
      <c r="B2802" s="1" t="s">
        <v>26</v>
      </c>
      <c r="C2802" s="1" t="s">
        <v>17</v>
      </c>
      <c r="D2802" s="1" t="s">
        <v>20</v>
      </c>
      <c r="E2802" s="12">
        <f>F2802/50</f>
        <v>9.1999999999999998E-3</v>
      </c>
      <c r="F2802" s="12">
        <f>Systems!L140</f>
        <v>0.46</v>
      </c>
      <c r="G2802" s="1" t="s">
        <v>23</v>
      </c>
      <c r="H2802" s="1" t="s">
        <v>57</v>
      </c>
    </row>
    <row r="2803" spans="1:8">
      <c r="A2803" s="1" t="s">
        <v>1548</v>
      </c>
      <c r="B2803" s="1" t="s">
        <v>26</v>
      </c>
      <c r="C2803" s="1" t="s">
        <v>17</v>
      </c>
      <c r="D2803" s="1" t="s">
        <v>20</v>
      </c>
      <c r="E2803" s="12">
        <f>F2803/10000</f>
        <v>3.2600000000000003E-3</v>
      </c>
      <c r="F2803" s="12">
        <f>Systems!L139</f>
        <v>32.6</v>
      </c>
      <c r="G2803" s="1" t="s">
        <v>23</v>
      </c>
      <c r="H2803" s="1" t="s">
        <v>57</v>
      </c>
    </row>
    <row r="2804" spans="1:8">
      <c r="A2804" s="1" t="s">
        <v>1564</v>
      </c>
      <c r="B2804" s="1" t="s">
        <v>26</v>
      </c>
      <c r="C2804" s="1" t="s">
        <v>17</v>
      </c>
      <c r="D2804" s="1" t="s">
        <v>20</v>
      </c>
      <c r="E2804" s="12">
        <f>F2804/600</f>
        <v>7.6666666666666669E-4</v>
      </c>
      <c r="F2804" s="12">
        <f>Systems!L140</f>
        <v>0.46</v>
      </c>
      <c r="G2804" s="1" t="s">
        <v>23</v>
      </c>
      <c r="H2804" s="1" t="s">
        <v>57</v>
      </c>
    </row>
    <row r="2805" spans="1:8">
      <c r="A2805" s="1" t="s">
        <v>6928</v>
      </c>
      <c r="B2805" s="1" t="s">
        <v>26</v>
      </c>
      <c r="C2805" s="1" t="s">
        <v>17</v>
      </c>
      <c r="D2805" s="1" t="s">
        <v>20</v>
      </c>
      <c r="E2805" s="12">
        <f>6400*F2805/5</f>
        <v>588.79999999999995</v>
      </c>
      <c r="F2805" s="12">
        <f>Systems!L140</f>
        <v>0.46</v>
      </c>
      <c r="G2805" s="1" t="s">
        <v>23</v>
      </c>
      <c r="H2805" s="1" t="s">
        <v>57</v>
      </c>
    </row>
    <row r="2806" spans="1:8">
      <c r="A2806" s="1" t="s">
        <v>2002</v>
      </c>
      <c r="B2806" s="1" t="s">
        <v>26</v>
      </c>
      <c r="C2806" s="1" t="s">
        <v>17</v>
      </c>
      <c r="D2806" s="1" t="s">
        <v>20</v>
      </c>
      <c r="E2806" s="12">
        <f>F2806/2400</f>
        <v>1.9166666666666667E-4</v>
      </c>
      <c r="F2806" s="12">
        <f>Systems!L140</f>
        <v>0.46</v>
      </c>
      <c r="G2806" s="1" t="s">
        <v>23</v>
      </c>
      <c r="H2806" s="1" t="s">
        <v>57</v>
      </c>
    </row>
    <row r="2807" spans="1:8">
      <c r="A2807" s="1" t="s">
        <v>1998</v>
      </c>
      <c r="B2807" s="1" t="s">
        <v>26</v>
      </c>
      <c r="C2807" s="1" t="s">
        <v>17</v>
      </c>
      <c r="D2807" s="1" t="s">
        <v>20</v>
      </c>
      <c r="E2807" s="12">
        <f>F2807/100</f>
        <v>0.32600000000000001</v>
      </c>
      <c r="F2807" s="12">
        <f>Systems!L139</f>
        <v>32.6</v>
      </c>
      <c r="G2807" s="1" t="s">
        <v>23</v>
      </c>
      <c r="H2807" s="1" t="s">
        <v>57</v>
      </c>
    </row>
    <row r="2808" spans="1:8">
      <c r="A2808" s="1" t="s">
        <v>2087</v>
      </c>
      <c r="B2808" s="1" t="s">
        <v>26</v>
      </c>
      <c r="C2808" s="1" t="s">
        <v>17</v>
      </c>
      <c r="D2808" s="1" t="s">
        <v>20</v>
      </c>
      <c r="E2808" s="12">
        <f>F2808/100</f>
        <v>4.5999999999999999E-3</v>
      </c>
      <c r="F2808" s="12">
        <f>Systems!L140</f>
        <v>0.46</v>
      </c>
      <c r="G2808" s="1" t="s">
        <v>23</v>
      </c>
      <c r="H2808" s="1" t="s">
        <v>57</v>
      </c>
    </row>
    <row r="2809" spans="1:8">
      <c r="A2809" s="1" t="s">
        <v>2269</v>
      </c>
      <c r="B2809" s="1" t="s">
        <v>26</v>
      </c>
      <c r="C2809" s="1" t="s">
        <v>17</v>
      </c>
      <c r="D2809" s="1" t="s">
        <v>20</v>
      </c>
      <c r="E2809" s="12">
        <f>8*F2809/25</f>
        <v>0.1472</v>
      </c>
      <c r="F2809" s="12">
        <f>Systems!L140</f>
        <v>0.46</v>
      </c>
      <c r="G2809" s="1" t="s">
        <v>23</v>
      </c>
      <c r="H2809" s="1" t="s">
        <v>57</v>
      </c>
    </row>
    <row r="2810" spans="1:8">
      <c r="A2810" s="1" t="s">
        <v>907</v>
      </c>
      <c r="B2810" s="1" t="s">
        <v>26</v>
      </c>
      <c r="C2810" s="1" t="s">
        <v>17</v>
      </c>
      <c r="D2810" s="1" t="s">
        <v>20</v>
      </c>
      <c r="E2810" s="12">
        <f>F2810</f>
        <v>0.46</v>
      </c>
      <c r="F2810" s="12">
        <f>Systems!L140</f>
        <v>0.46</v>
      </c>
      <c r="G2810" s="1" t="s">
        <v>23</v>
      </c>
      <c r="H2810" s="1" t="s">
        <v>57</v>
      </c>
    </row>
    <row r="2811" spans="1:8">
      <c r="A2811" s="1" t="s">
        <v>2417</v>
      </c>
      <c r="B2811" s="1" t="s">
        <v>26</v>
      </c>
      <c r="C2811" s="1" t="s">
        <v>17</v>
      </c>
      <c r="D2811" s="1" t="s">
        <v>20</v>
      </c>
      <c r="E2811" s="12">
        <f>16*F2811/5</f>
        <v>1.472</v>
      </c>
      <c r="F2811" s="12">
        <f>Systems!L140</f>
        <v>0.46</v>
      </c>
      <c r="G2811" s="1" t="s">
        <v>23</v>
      </c>
      <c r="H2811" s="1" t="s">
        <v>57</v>
      </c>
    </row>
    <row r="2812" spans="1:8">
      <c r="A2812" s="1" t="s">
        <v>2520</v>
      </c>
      <c r="B2812" s="1" t="s">
        <v>26</v>
      </c>
      <c r="C2812" s="1" t="s">
        <v>17</v>
      </c>
      <c r="D2812" s="1" t="s">
        <v>20</v>
      </c>
      <c r="E2812" s="12">
        <f>F2812/25</f>
        <v>1.84E-2</v>
      </c>
      <c r="F2812" s="12">
        <f>Systems!L140</f>
        <v>0.46</v>
      </c>
      <c r="G2812" s="1" t="s">
        <v>23</v>
      </c>
      <c r="H2812" s="1" t="s">
        <v>57</v>
      </c>
    </row>
    <row r="2813" spans="1:8">
      <c r="A2813" s="1" t="s">
        <v>802</v>
      </c>
      <c r="B2813" s="1" t="s">
        <v>26</v>
      </c>
      <c r="C2813" s="1" t="s">
        <v>17</v>
      </c>
      <c r="D2813" s="1" t="s">
        <v>20</v>
      </c>
      <c r="E2813" s="12">
        <f>F2813</f>
        <v>32.6</v>
      </c>
      <c r="F2813" s="12">
        <f>Systems!L139</f>
        <v>32.6</v>
      </c>
      <c r="G2813" s="1" t="s">
        <v>23</v>
      </c>
      <c r="H2813" s="1" t="s">
        <v>57</v>
      </c>
    </row>
    <row r="2814" spans="1:8">
      <c r="A2814" s="1" t="s">
        <v>2621</v>
      </c>
      <c r="B2814" s="1" t="s">
        <v>26</v>
      </c>
      <c r="C2814" s="1" t="s">
        <v>17</v>
      </c>
      <c r="D2814" s="1" t="s">
        <v>20</v>
      </c>
      <c r="E2814" s="12">
        <f>8*F2814/5</f>
        <v>0.73599999999999999</v>
      </c>
      <c r="F2814" s="12">
        <f>Systems!L140</f>
        <v>0.46</v>
      </c>
      <c r="G2814" s="1" t="s">
        <v>23</v>
      </c>
      <c r="H2814" s="1" t="s">
        <v>57</v>
      </c>
    </row>
    <row r="2815" spans="1:8">
      <c r="A2815" s="248"/>
      <c r="B2815" s="248"/>
      <c r="C2815" s="248"/>
      <c r="D2815" s="248"/>
      <c r="E2815" s="250"/>
      <c r="F2815" s="250"/>
      <c r="G2815" s="248"/>
      <c r="H2815" s="248"/>
    </row>
    <row r="2816" spans="1:8">
      <c r="A2816" s="1" t="s">
        <v>933</v>
      </c>
      <c r="B2816" s="1" t="s">
        <v>26</v>
      </c>
      <c r="C2816" s="1" t="s">
        <v>3033</v>
      </c>
      <c r="D2816" s="1" t="s">
        <v>19</v>
      </c>
      <c r="E2816" s="12">
        <f>F2816/3</f>
        <v>0.27865999999999996</v>
      </c>
      <c r="F2816" s="12">
        <f>Systems!D141</f>
        <v>0.83597999999999995</v>
      </c>
      <c r="G2816" s="1" t="s">
        <v>14</v>
      </c>
      <c r="H2816" s="1" t="s">
        <v>453</v>
      </c>
    </row>
    <row r="2817" spans="1:8">
      <c r="A2817" s="1" t="s">
        <v>821</v>
      </c>
      <c r="B2817" s="1" t="s">
        <v>26</v>
      </c>
      <c r="C2817" s="1" t="s">
        <v>3033</v>
      </c>
      <c r="D2817" s="1" t="s">
        <v>19</v>
      </c>
      <c r="E2817" s="12">
        <f>F2817</f>
        <v>0.83597999999999995</v>
      </c>
      <c r="F2817" s="12">
        <f>Systems!D141</f>
        <v>0.83597999999999995</v>
      </c>
      <c r="G2817" s="1" t="s">
        <v>14</v>
      </c>
      <c r="H2817" s="1" t="s">
        <v>453</v>
      </c>
    </row>
    <row r="2818" spans="1:8" ht="16.5">
      <c r="A2818" s="1" t="s">
        <v>934</v>
      </c>
      <c r="B2818" s="1" t="s">
        <v>26</v>
      </c>
      <c r="C2818" s="1" t="s">
        <v>3034</v>
      </c>
      <c r="D2818" s="1" t="s">
        <v>38</v>
      </c>
      <c r="E2818" s="12">
        <f>F2818</f>
        <v>3144.8815218</v>
      </c>
      <c r="F2818" s="12">
        <f>Systems!H141</f>
        <v>3144.8815218</v>
      </c>
      <c r="G2818" s="1" t="s">
        <v>39</v>
      </c>
      <c r="H2818" s="1" t="s">
        <v>453</v>
      </c>
    </row>
    <row r="2819" spans="1:8" ht="16.5">
      <c r="A2819" s="1" t="s">
        <v>4513</v>
      </c>
      <c r="B2819" s="1" t="s">
        <v>26</v>
      </c>
      <c r="C2819" s="1" t="s">
        <v>3034</v>
      </c>
      <c r="D2819" s="1" t="s">
        <v>38</v>
      </c>
      <c r="E2819" s="12">
        <f>F2819</f>
        <v>0.69886256039999994</v>
      </c>
      <c r="F2819" s="12">
        <f>POWER(Systems!D141,2)</f>
        <v>0.69886256039999994</v>
      </c>
      <c r="G2819" s="1" t="s">
        <v>39</v>
      </c>
      <c r="H2819" s="1" t="s">
        <v>453</v>
      </c>
    </row>
    <row r="2820" spans="1:8" ht="16.5">
      <c r="A2820" s="1" t="s">
        <v>935</v>
      </c>
      <c r="B2820" s="1" t="s">
        <v>26</v>
      </c>
      <c r="C2820" s="1" t="s">
        <v>3034</v>
      </c>
      <c r="D2820" s="1" t="s">
        <v>38</v>
      </c>
      <c r="E2820" s="12">
        <f>3872*F2820</f>
        <v>2705.9958338687998</v>
      </c>
      <c r="F2820" s="12">
        <f>POWER(Systems!D141,2)</f>
        <v>0.69886256039999994</v>
      </c>
      <c r="G2820" s="1" t="s">
        <v>39</v>
      </c>
      <c r="H2820" s="1" t="s">
        <v>453</v>
      </c>
    </row>
    <row r="2821" spans="1:8" ht="16.5">
      <c r="A2821" s="1" t="s">
        <v>4514</v>
      </c>
      <c r="B2821" s="1" t="s">
        <v>26</v>
      </c>
      <c r="C2821" s="1" t="s">
        <v>2936</v>
      </c>
      <c r="D2821" s="1" t="s">
        <v>32</v>
      </c>
      <c r="E2821" s="12">
        <f>F2821</f>
        <v>0.58423512324319193</v>
      </c>
      <c r="F2821" s="12">
        <f>Systems!T141</f>
        <v>0.58423512324319193</v>
      </c>
      <c r="G2821" s="1" t="s">
        <v>33</v>
      </c>
      <c r="H2821" s="1" t="s">
        <v>453</v>
      </c>
    </row>
    <row r="2822" spans="1:8" ht="16.5">
      <c r="A2822" s="1" t="s">
        <v>4514</v>
      </c>
      <c r="B2822" s="1" t="s">
        <v>26</v>
      </c>
      <c r="C2822" s="1" t="s">
        <v>2935</v>
      </c>
      <c r="D2822" s="1" t="s">
        <v>32</v>
      </c>
      <c r="E2822" s="12">
        <f>F2822</f>
        <v>0.58423512324319193</v>
      </c>
      <c r="F2822" s="12">
        <f>Systems!P141</f>
        <v>0.58423512324319193</v>
      </c>
      <c r="G2822" s="1" t="s">
        <v>33</v>
      </c>
      <c r="H2822" s="1" t="s">
        <v>453</v>
      </c>
    </row>
    <row r="2823" spans="1:8">
      <c r="A2823" s="1" t="s">
        <v>1018</v>
      </c>
      <c r="B2823" s="1" t="s">
        <v>26</v>
      </c>
      <c r="C2823" s="1" t="s">
        <v>17</v>
      </c>
      <c r="D2823" s="1" t="s">
        <v>20</v>
      </c>
      <c r="E2823" s="12">
        <f>25*F2823</f>
        <v>11.50225</v>
      </c>
      <c r="F2823" s="12">
        <f>Systems!L141</f>
        <v>0.46009</v>
      </c>
      <c r="G2823" s="1" t="s">
        <v>23</v>
      </c>
      <c r="H2823" s="1" t="s">
        <v>453</v>
      </c>
    </row>
    <row r="2824" spans="1:8">
      <c r="A2824" s="15" t="s">
        <v>1250</v>
      </c>
      <c r="B2824" s="1" t="s">
        <v>26</v>
      </c>
      <c r="C2824" s="1" t="s">
        <v>17</v>
      </c>
      <c r="D2824" s="1" t="s">
        <v>20</v>
      </c>
      <c r="E2824" s="17">
        <f>250*F2824</f>
        <v>113.3980925</v>
      </c>
      <c r="F2824" s="17">
        <f>Systems!L6</f>
        <v>0.45359237000000002</v>
      </c>
      <c r="G2824" s="1" t="s">
        <v>23</v>
      </c>
      <c r="H2824" s="1" t="s">
        <v>453</v>
      </c>
    </row>
    <row r="2825" spans="1:8">
      <c r="A2825" s="1" t="s">
        <v>823</v>
      </c>
      <c r="B2825" s="1" t="s">
        <v>26</v>
      </c>
      <c r="C2825" s="1" t="s">
        <v>17</v>
      </c>
      <c r="D2825" s="1" t="s">
        <v>20</v>
      </c>
      <c r="E2825" s="12">
        <f>140*F2825</f>
        <v>64.412599999999998</v>
      </c>
      <c r="F2825" s="12">
        <f>Systems!L141</f>
        <v>0.46009</v>
      </c>
      <c r="G2825" s="1" t="s">
        <v>23</v>
      </c>
      <c r="H2825" s="1" t="s">
        <v>453</v>
      </c>
    </row>
    <row r="2826" spans="1:8">
      <c r="A2826" s="1" t="s">
        <v>820</v>
      </c>
      <c r="B2826" s="1" t="s">
        <v>26</v>
      </c>
      <c r="C2826" s="1" t="s">
        <v>17</v>
      </c>
      <c r="D2826" s="1" t="s">
        <v>20</v>
      </c>
      <c r="E2826" s="12">
        <f>F2826</f>
        <v>0.46009</v>
      </c>
      <c r="F2826" s="12">
        <f>Systems!L141</f>
        <v>0.46009</v>
      </c>
      <c r="G2826" s="1" t="s">
        <v>23</v>
      </c>
      <c r="H2826" s="1" t="s">
        <v>453</v>
      </c>
    </row>
    <row r="2827" spans="1:8">
      <c r="A2827" s="1" t="s">
        <v>2357</v>
      </c>
      <c r="B2827" s="1" t="s">
        <v>26</v>
      </c>
      <c r="C2827" s="1" t="s">
        <v>17</v>
      </c>
      <c r="D2827" s="1" t="s">
        <v>20</v>
      </c>
      <c r="E2827" s="12">
        <f>100*F2827</f>
        <v>46.009</v>
      </c>
      <c r="F2827" s="12">
        <f>Systems!L141</f>
        <v>0.46009</v>
      </c>
      <c r="G2827" s="1" t="s">
        <v>23</v>
      </c>
      <c r="H2827" s="1" t="s">
        <v>453</v>
      </c>
    </row>
    <row r="2828" spans="1:8">
      <c r="A2828" s="248"/>
      <c r="B2828" s="248"/>
      <c r="C2828" s="248"/>
      <c r="D2828" s="248"/>
      <c r="E2828" s="250"/>
      <c r="F2828" s="250"/>
      <c r="G2828" s="248"/>
      <c r="H2828" s="248"/>
    </row>
    <row r="2829" spans="1:8">
      <c r="A2829" s="1" t="s">
        <v>1296</v>
      </c>
      <c r="B2829" s="1" t="s">
        <v>26</v>
      </c>
      <c r="C2829" s="1" t="s">
        <v>3033</v>
      </c>
      <c r="D2829" s="1" t="s">
        <v>19</v>
      </c>
      <c r="E2829" s="12">
        <f>4*F2829/3</f>
        <v>0.40640000000000004</v>
      </c>
      <c r="F2829" s="12">
        <f>Systems!D143</f>
        <v>0.30480000000000002</v>
      </c>
      <c r="G2829" s="1" t="s">
        <v>14</v>
      </c>
      <c r="H2829" s="1" t="s">
        <v>450</v>
      </c>
    </row>
    <row r="2830" spans="1:8">
      <c r="A2830" s="1" t="s">
        <v>1482</v>
      </c>
      <c r="B2830" s="1" t="s">
        <v>26</v>
      </c>
      <c r="C2830" s="1" t="s">
        <v>3033</v>
      </c>
      <c r="D2830" s="1" t="s">
        <v>19</v>
      </c>
      <c r="E2830" s="12">
        <f>2*F2830/3</f>
        <v>0.20320000000000002</v>
      </c>
      <c r="F2830" s="12">
        <f>Systems!D143</f>
        <v>0.30480000000000002</v>
      </c>
      <c r="G2830" s="1" t="s">
        <v>14</v>
      </c>
      <c r="H2830" s="1" t="s">
        <v>450</v>
      </c>
    </row>
    <row r="2831" spans="1:8">
      <c r="A2831" s="1" t="s">
        <v>1531</v>
      </c>
      <c r="B2831" s="4" t="s">
        <v>26</v>
      </c>
      <c r="C2831" s="1" t="s">
        <v>3033</v>
      </c>
      <c r="D2831" s="1" t="s">
        <v>19</v>
      </c>
      <c r="E2831" s="12">
        <f>17*F2831/3</f>
        <v>1.7272000000000001</v>
      </c>
      <c r="F2831" s="12">
        <f>Systems!D143</f>
        <v>0.30480000000000002</v>
      </c>
      <c r="G2831" s="1" t="s">
        <v>14</v>
      </c>
      <c r="H2831" s="1" t="s">
        <v>450</v>
      </c>
    </row>
    <row r="2832" spans="1:8">
      <c r="A2832" s="1" t="s">
        <v>2278</v>
      </c>
      <c r="B2832" s="1" t="s">
        <v>26</v>
      </c>
      <c r="C2832" s="1" t="s">
        <v>3033</v>
      </c>
      <c r="D2832" s="1" t="s">
        <v>19</v>
      </c>
      <c r="E2832" s="12">
        <f>F2832/24</f>
        <v>1.2700000000000001E-2</v>
      </c>
      <c r="F2832" s="12">
        <f>Systems!D143</f>
        <v>0.30480000000000002</v>
      </c>
      <c r="G2832" s="1" t="s">
        <v>14</v>
      </c>
      <c r="H2832" s="1" t="s">
        <v>450</v>
      </c>
    </row>
    <row r="2833" spans="1:8">
      <c r="A2833" s="1" t="s">
        <v>2431</v>
      </c>
      <c r="B2833" s="1" t="s">
        <v>26</v>
      </c>
      <c r="C2833" s="1" t="s">
        <v>3033</v>
      </c>
      <c r="D2833" s="1" t="s">
        <v>19</v>
      </c>
      <c r="E2833" s="12">
        <f>F2833/3</f>
        <v>0.10160000000000001</v>
      </c>
      <c r="F2833" s="12">
        <f>Systems!D143</f>
        <v>0.30480000000000002</v>
      </c>
      <c r="G2833" s="1" t="s">
        <v>14</v>
      </c>
      <c r="H2833" s="1" t="s">
        <v>450</v>
      </c>
    </row>
    <row r="2834" spans="1:8">
      <c r="A2834" s="1" t="s">
        <v>1011</v>
      </c>
      <c r="B2834" s="1" t="s">
        <v>26</v>
      </c>
      <c r="C2834" s="1" t="s">
        <v>3033</v>
      </c>
      <c r="D2834" s="1" t="s">
        <v>19</v>
      </c>
      <c r="E2834" s="12">
        <f>F2834</f>
        <v>0.30480000000000002</v>
      </c>
      <c r="F2834" s="12">
        <f>Systems!D143</f>
        <v>0.30480000000000002</v>
      </c>
      <c r="G2834" s="1" t="s">
        <v>14</v>
      </c>
      <c r="H2834" s="1" t="s">
        <v>450</v>
      </c>
    </row>
    <row r="2835" spans="1:8" ht="16.5">
      <c r="A2835" s="15" t="s">
        <v>924</v>
      </c>
      <c r="B2835" s="1" t="s">
        <v>26</v>
      </c>
      <c r="C2835" s="1" t="s">
        <v>3034</v>
      </c>
      <c r="D2835" s="1" t="s">
        <v>38</v>
      </c>
      <c r="E2835" s="12">
        <f>F2835</f>
        <v>2795</v>
      </c>
      <c r="F2835" s="12">
        <f>Systems!H143</f>
        <v>2795</v>
      </c>
      <c r="G2835" s="1" t="s">
        <v>39</v>
      </c>
      <c r="H2835" s="1" t="s">
        <v>450</v>
      </c>
    </row>
    <row r="2836" spans="1:8" ht="16.5">
      <c r="A2836" s="1" t="s">
        <v>1979</v>
      </c>
      <c r="B2836" s="1" t="s">
        <v>26</v>
      </c>
      <c r="C2836" s="1" t="s">
        <v>3034</v>
      </c>
      <c r="D2836" s="1" t="s">
        <v>38</v>
      </c>
      <c r="E2836" s="12">
        <f>F2836/10</f>
        <v>279.5</v>
      </c>
      <c r="F2836" s="12">
        <f>Systems!H143</f>
        <v>2795</v>
      </c>
      <c r="G2836" s="1" t="s">
        <v>39</v>
      </c>
      <c r="H2836" s="1" t="s">
        <v>450</v>
      </c>
    </row>
    <row r="2837" spans="1:8" ht="16.5">
      <c r="A2837" s="1" t="s">
        <v>2354</v>
      </c>
      <c r="B2837" s="1" t="s">
        <v>26</v>
      </c>
      <c r="C2837" s="1" t="s">
        <v>3034</v>
      </c>
      <c r="D2837" s="1" t="s">
        <v>38</v>
      </c>
      <c r="E2837" s="12">
        <f>10*F2837</f>
        <v>27950</v>
      </c>
      <c r="F2837" s="12">
        <f>Systems!H143</f>
        <v>2795</v>
      </c>
      <c r="G2837" s="1" t="s">
        <v>39</v>
      </c>
      <c r="H2837" s="1" t="s">
        <v>450</v>
      </c>
    </row>
    <row r="2838" spans="1:8" ht="16.5">
      <c r="A2838" s="1" t="s">
        <v>5046</v>
      </c>
      <c r="B2838" s="1" t="s">
        <v>26</v>
      </c>
      <c r="C2838" s="1" t="s">
        <v>2936</v>
      </c>
      <c r="D2838" s="1" t="s">
        <v>32</v>
      </c>
      <c r="E2838" s="12">
        <f>F2838</f>
        <v>2.8316846592000004E-2</v>
      </c>
      <c r="F2838" s="12">
        <f>Systems!T143</f>
        <v>2.8316846592000004E-2</v>
      </c>
      <c r="G2838" s="1" t="s">
        <v>33</v>
      </c>
      <c r="H2838" s="1" t="s">
        <v>450</v>
      </c>
    </row>
    <row r="2839" spans="1:8" ht="16.5">
      <c r="A2839" s="1" t="s">
        <v>1218</v>
      </c>
      <c r="B2839" s="1" t="s">
        <v>26</v>
      </c>
      <c r="C2839" s="1" t="s">
        <v>2935</v>
      </c>
      <c r="D2839" s="1" t="s">
        <v>32</v>
      </c>
      <c r="E2839" s="12">
        <f>F2839/100000</f>
        <v>9.9900000000000009E-7</v>
      </c>
      <c r="F2839" s="12">
        <f>Systems!P143</f>
        <v>9.9900000000000003E-2</v>
      </c>
      <c r="G2839" s="1" t="s">
        <v>33</v>
      </c>
      <c r="H2839" s="1" t="s">
        <v>450</v>
      </c>
    </row>
    <row r="2840" spans="1:8" ht="16.5">
      <c r="A2840" s="1" t="s">
        <v>1417</v>
      </c>
      <c r="B2840" s="1" t="s">
        <v>26</v>
      </c>
      <c r="C2840" s="1" t="s">
        <v>2935</v>
      </c>
      <c r="D2840" s="1" t="s">
        <v>32</v>
      </c>
      <c r="E2840" s="12">
        <f>F2840/25000</f>
        <v>3.9960000000000004E-6</v>
      </c>
      <c r="F2840" s="12">
        <f>Systems!P143</f>
        <v>9.9900000000000003E-2</v>
      </c>
      <c r="G2840" s="1" t="s">
        <v>33</v>
      </c>
      <c r="H2840" s="1" t="s">
        <v>450</v>
      </c>
    </row>
    <row r="2841" spans="1:8" ht="16.5">
      <c r="A2841" s="1" t="s">
        <v>1650</v>
      </c>
      <c r="B2841" s="1" t="s">
        <v>26</v>
      </c>
      <c r="C2841" s="1" t="s">
        <v>2935</v>
      </c>
      <c r="D2841" s="1" t="s">
        <v>32</v>
      </c>
      <c r="E2841" s="12">
        <f>F2841/25</f>
        <v>3.9960000000000004E-3</v>
      </c>
      <c r="F2841" s="12">
        <f>Systems!P143</f>
        <v>9.9900000000000003E-2</v>
      </c>
      <c r="G2841" s="1" t="s">
        <v>33</v>
      </c>
      <c r="H2841" s="1" t="s">
        <v>450</v>
      </c>
    </row>
    <row r="2842" spans="1:8" ht="16.5">
      <c r="A2842" s="1" t="s">
        <v>925</v>
      </c>
      <c r="B2842" s="1" t="s">
        <v>26</v>
      </c>
      <c r="C2842" s="1" t="s">
        <v>2935</v>
      </c>
      <c r="D2842" s="1" t="s">
        <v>32</v>
      </c>
      <c r="E2842" s="12">
        <f>F2842</f>
        <v>9.9900000000000003E-2</v>
      </c>
      <c r="F2842" s="12">
        <f>Systems!P143</f>
        <v>9.9900000000000003E-2</v>
      </c>
      <c r="G2842" s="1" t="s">
        <v>33</v>
      </c>
      <c r="H2842" s="1" t="s">
        <v>450</v>
      </c>
    </row>
    <row r="2843" spans="1:8" ht="16.5">
      <c r="A2843" s="1" t="s">
        <v>2008</v>
      </c>
      <c r="B2843" s="1" t="s">
        <v>26</v>
      </c>
      <c r="C2843" s="1" t="s">
        <v>2935</v>
      </c>
      <c r="D2843" s="1" t="s">
        <v>32</v>
      </c>
      <c r="E2843" s="12">
        <f>2*F2843/5</f>
        <v>4.0000000000000002E-4</v>
      </c>
      <c r="F2843" s="12">
        <f>'Physical Definitions'!E9</f>
        <v>1E-3</v>
      </c>
      <c r="G2843" s="1" t="s">
        <v>33</v>
      </c>
      <c r="H2843" s="1" t="s">
        <v>450</v>
      </c>
    </row>
    <row r="2844" spans="1:8" ht="16.5">
      <c r="A2844" s="1" t="s">
        <v>2424</v>
      </c>
      <c r="B2844" s="1" t="s">
        <v>26</v>
      </c>
      <c r="C2844" s="1" t="s">
        <v>2935</v>
      </c>
      <c r="D2844" s="1" t="s">
        <v>32</v>
      </c>
      <c r="E2844" s="12">
        <f>2*F2844/25</f>
        <v>8.0000000000000007E-5</v>
      </c>
      <c r="F2844" s="12">
        <f>'Physical Definitions'!E9</f>
        <v>1E-3</v>
      </c>
      <c r="G2844" s="1" t="s">
        <v>33</v>
      </c>
      <c r="H2844" s="1" t="s">
        <v>450</v>
      </c>
    </row>
    <row r="2845" spans="1:8" ht="16.5">
      <c r="A2845" s="1" t="s">
        <v>2433</v>
      </c>
      <c r="B2845" s="1" t="s">
        <v>26</v>
      </c>
      <c r="C2845" s="1" t="s">
        <v>2935</v>
      </c>
      <c r="D2845" s="1" t="s">
        <v>32</v>
      </c>
      <c r="E2845" s="12">
        <f>F2845/4</f>
        <v>2.5000000000000001E-4</v>
      </c>
      <c r="F2845" s="12">
        <f>'Physical Definitions'!E9</f>
        <v>1E-3</v>
      </c>
      <c r="G2845" s="1" t="s">
        <v>33</v>
      </c>
      <c r="H2845" s="1" t="s">
        <v>450</v>
      </c>
    </row>
    <row r="2846" spans="1:8">
      <c r="A2846" s="1" t="s">
        <v>1333</v>
      </c>
      <c r="B2846" s="1" t="s">
        <v>26</v>
      </c>
      <c r="C2846" s="1" t="s">
        <v>17</v>
      </c>
      <c r="D2846" s="1" t="s">
        <v>20</v>
      </c>
      <c r="E2846" s="12">
        <f>97*F2846</f>
        <v>58.199999999999996</v>
      </c>
      <c r="F2846" s="12">
        <f>Systems!L143</f>
        <v>0.6</v>
      </c>
      <c r="G2846" s="1" t="s">
        <v>23</v>
      </c>
      <c r="H2846" s="1" t="s">
        <v>450</v>
      </c>
    </row>
    <row r="2847" spans="1:8">
      <c r="A2847" s="1" t="s">
        <v>912</v>
      </c>
      <c r="B2847" s="1" t="s">
        <v>26</v>
      </c>
      <c r="C2847" s="1" t="s">
        <v>17</v>
      </c>
      <c r="D2847" s="1" t="s">
        <v>20</v>
      </c>
      <c r="E2847" s="12">
        <f>F2847</f>
        <v>0.6</v>
      </c>
      <c r="F2847" s="12">
        <f>Systems!L143</f>
        <v>0.6</v>
      </c>
      <c r="G2847" s="1" t="s">
        <v>23</v>
      </c>
      <c r="H2847" s="1" t="s">
        <v>450</v>
      </c>
    </row>
    <row r="2848" spans="1:8">
      <c r="A2848" s="1" t="s">
        <v>1402</v>
      </c>
      <c r="B2848" s="1" t="s">
        <v>26</v>
      </c>
      <c r="C2848" s="1" t="s">
        <v>17</v>
      </c>
      <c r="D2848" s="1" t="s">
        <v>20</v>
      </c>
      <c r="E2848" s="12">
        <f>10*F2848</f>
        <v>6</v>
      </c>
      <c r="F2848" s="12">
        <f>Systems!L143</f>
        <v>0.6</v>
      </c>
      <c r="G2848" s="1" t="s">
        <v>23</v>
      </c>
      <c r="H2848" s="1" t="s">
        <v>450</v>
      </c>
    </row>
    <row r="2849" spans="1:8">
      <c r="A2849" s="1" t="s">
        <v>1475</v>
      </c>
      <c r="B2849" s="1" t="s">
        <v>26</v>
      </c>
      <c r="C2849" s="1" t="s">
        <v>17</v>
      </c>
      <c r="D2849" s="1" t="s">
        <v>20</v>
      </c>
      <c r="E2849" s="12">
        <f>5*F2849/300</f>
        <v>0.01</v>
      </c>
      <c r="F2849" s="12">
        <f>Systems!L143</f>
        <v>0.6</v>
      </c>
      <c r="G2849" s="1" t="s">
        <v>23</v>
      </c>
      <c r="H2849" s="1" t="s">
        <v>450</v>
      </c>
    </row>
    <row r="2850" spans="1:8">
      <c r="A2850" s="1" t="s">
        <v>1660</v>
      </c>
      <c r="B2850" s="1" t="s">
        <v>26</v>
      </c>
      <c r="C2850" s="1" t="s">
        <v>17</v>
      </c>
      <c r="D2850" s="1" t="s">
        <v>20</v>
      </c>
      <c r="E2850" s="12">
        <f>5*F2850/3</f>
        <v>1</v>
      </c>
      <c r="F2850" s="12">
        <f>Systems!L143</f>
        <v>0.6</v>
      </c>
      <c r="G2850" s="1" t="s">
        <v>23</v>
      </c>
      <c r="H2850" s="1" t="s">
        <v>450</v>
      </c>
    </row>
    <row r="2851" spans="1:8">
      <c r="A2851" s="1" t="s">
        <v>1700</v>
      </c>
      <c r="B2851" s="1" t="s">
        <v>26</v>
      </c>
      <c r="C2851" s="1" t="s">
        <v>17</v>
      </c>
      <c r="D2851" s="1" t="s">
        <v>20</v>
      </c>
      <c r="E2851" s="12">
        <f>5*F2851/30</f>
        <v>0.1</v>
      </c>
      <c r="F2851" s="12">
        <f>Systems!L143</f>
        <v>0.6</v>
      </c>
      <c r="G2851" s="1" t="s">
        <v>23</v>
      </c>
      <c r="H2851" s="1" t="s">
        <v>450</v>
      </c>
    </row>
    <row r="2852" spans="1:8">
      <c r="A2852" s="1" t="s">
        <v>925</v>
      </c>
      <c r="B2852" s="1" t="s">
        <v>26</v>
      </c>
      <c r="C2852" s="1" t="s">
        <v>17</v>
      </c>
      <c r="D2852" s="1" t="s">
        <v>20</v>
      </c>
      <c r="E2852" s="12">
        <f>125*F2852/3</f>
        <v>25</v>
      </c>
      <c r="F2852" s="12">
        <f>Systems!L143</f>
        <v>0.6</v>
      </c>
      <c r="G2852" s="1" t="s">
        <v>23</v>
      </c>
      <c r="H2852" s="1" t="s">
        <v>450</v>
      </c>
    </row>
    <row r="2853" spans="1:8">
      <c r="A2853" s="1" t="s">
        <v>1793</v>
      </c>
      <c r="B2853" s="1" t="s">
        <v>26</v>
      </c>
      <c r="C2853" s="1" t="s">
        <v>17</v>
      </c>
      <c r="D2853" s="1" t="s">
        <v>20</v>
      </c>
      <c r="E2853" s="12">
        <f>5*F2853/6</f>
        <v>0.5</v>
      </c>
      <c r="F2853" s="12">
        <f>Systems!L143</f>
        <v>0.6</v>
      </c>
      <c r="G2853" s="1" t="s">
        <v>23</v>
      </c>
      <c r="H2853" s="1" t="s">
        <v>450</v>
      </c>
    </row>
    <row r="2854" spans="1:8">
      <c r="A2854" s="1" t="s">
        <v>1896</v>
      </c>
      <c r="B2854" s="1" t="s">
        <v>26</v>
      </c>
      <c r="C2854" s="1" t="s">
        <v>17</v>
      </c>
      <c r="D2854" s="1" t="s">
        <v>20</v>
      </c>
      <c r="E2854" s="12">
        <f>F2854/120</f>
        <v>5.0000000000000001E-3</v>
      </c>
      <c r="F2854" s="12">
        <f>Systems!L143</f>
        <v>0.6</v>
      </c>
      <c r="G2854" s="1" t="s">
        <v>23</v>
      </c>
      <c r="H2854" s="1" t="s">
        <v>450</v>
      </c>
    </row>
    <row r="2855" spans="1:8">
      <c r="A2855" s="1" t="s">
        <v>1921</v>
      </c>
      <c r="B2855" s="1" t="s">
        <v>26</v>
      </c>
      <c r="C2855" s="1" t="s">
        <v>17</v>
      </c>
      <c r="D2855" s="1" t="s">
        <v>20</v>
      </c>
      <c r="E2855" s="12">
        <f>48*F2855</f>
        <v>28.799999999999997</v>
      </c>
      <c r="F2855" s="12">
        <f>Systems!L143</f>
        <v>0.6</v>
      </c>
      <c r="G2855" s="1" t="s">
        <v>23</v>
      </c>
      <c r="H2855" s="1" t="s">
        <v>450</v>
      </c>
    </row>
    <row r="2856" spans="1:8">
      <c r="A2856" s="1" t="s">
        <v>2242</v>
      </c>
      <c r="B2856" s="1" t="s">
        <v>26</v>
      </c>
      <c r="C2856" s="1" t="s">
        <v>17</v>
      </c>
      <c r="D2856" s="1" t="s">
        <v>20</v>
      </c>
      <c r="E2856" s="12">
        <f>100*F2856</f>
        <v>60</v>
      </c>
      <c r="F2856" s="12">
        <f>Systems!L143</f>
        <v>0.6</v>
      </c>
      <c r="G2856" s="1" t="s">
        <v>23</v>
      </c>
      <c r="H2856" s="1" t="s">
        <v>450</v>
      </c>
    </row>
    <row r="2857" spans="1:8">
      <c r="A2857" s="1" t="s">
        <v>2314</v>
      </c>
      <c r="B2857" s="1" t="s">
        <v>26</v>
      </c>
      <c r="C2857" s="1" t="s">
        <v>17</v>
      </c>
      <c r="D2857" s="1" t="s">
        <v>20</v>
      </c>
      <c r="E2857" s="12">
        <f>F2857/3</f>
        <v>0.19999999999999998</v>
      </c>
      <c r="F2857" s="12">
        <f>Systems!L143</f>
        <v>0.6</v>
      </c>
      <c r="G2857" s="1" t="s">
        <v>23</v>
      </c>
      <c r="H2857" s="1" t="s">
        <v>450</v>
      </c>
    </row>
    <row r="2858" spans="1:8">
      <c r="A2858" s="248"/>
      <c r="B2858" s="248"/>
      <c r="C2858" s="248"/>
      <c r="D2858" s="248"/>
      <c r="E2858" s="250"/>
      <c r="F2858" s="250"/>
      <c r="G2858" s="248"/>
      <c r="H2858" s="248"/>
    </row>
    <row r="2859" spans="1:8">
      <c r="A2859" s="1" t="s">
        <v>5047</v>
      </c>
      <c r="B2859" s="1" t="s">
        <v>26</v>
      </c>
      <c r="C2859" s="1" t="s">
        <v>3033</v>
      </c>
      <c r="D2859" s="1" t="s">
        <v>19</v>
      </c>
      <c r="E2859" s="12">
        <f>F2859/12</f>
        <v>1.9636666666666667E-2</v>
      </c>
      <c r="F2859" s="12">
        <f>Systems!D146</f>
        <v>0.23563999999999999</v>
      </c>
      <c r="G2859" s="1" t="s">
        <v>14</v>
      </c>
      <c r="H2859" s="1" t="s">
        <v>490</v>
      </c>
    </row>
    <row r="2860" spans="1:8">
      <c r="A2860" s="1" t="s">
        <v>5048</v>
      </c>
      <c r="B2860" s="1" t="s">
        <v>26</v>
      </c>
      <c r="C2860" s="1" t="s">
        <v>3033</v>
      </c>
      <c r="D2860" s="1" t="s">
        <v>19</v>
      </c>
      <c r="E2860" s="12">
        <f>F2860/12</f>
        <v>2.3999999999999997E-2</v>
      </c>
      <c r="F2860" s="12">
        <f>Systems!D144</f>
        <v>0.28799999999999998</v>
      </c>
      <c r="G2860" s="1" t="s">
        <v>14</v>
      </c>
      <c r="H2860" s="1" t="s">
        <v>490</v>
      </c>
    </row>
    <row r="2861" spans="1:8">
      <c r="A2861" s="1" t="s">
        <v>5049</v>
      </c>
      <c r="B2861" s="1" t="s">
        <v>26</v>
      </c>
      <c r="C2861" s="1" t="s">
        <v>3033</v>
      </c>
      <c r="D2861" s="1" t="s">
        <v>19</v>
      </c>
      <c r="E2861" s="12">
        <f>F2861/12</f>
        <v>2.4816666666666667E-2</v>
      </c>
      <c r="F2861" s="12">
        <f>Systems!D145</f>
        <v>0.29780000000000001</v>
      </c>
      <c r="G2861" s="1" t="s">
        <v>14</v>
      </c>
      <c r="H2861" s="1" t="s">
        <v>490</v>
      </c>
    </row>
    <row r="2862" spans="1:8">
      <c r="A2862" s="1" t="s">
        <v>5050</v>
      </c>
      <c r="B2862" s="1" t="s">
        <v>26</v>
      </c>
      <c r="C2862" s="1" t="s">
        <v>3033</v>
      </c>
      <c r="D2862" s="1" t="s">
        <v>19</v>
      </c>
      <c r="E2862" s="12">
        <f>F2862/144</f>
        <v>1.6363888888888888E-3</v>
      </c>
      <c r="F2862" s="12">
        <f>Systems!D146</f>
        <v>0.23563999999999999</v>
      </c>
      <c r="G2862" s="1" t="s">
        <v>14</v>
      </c>
      <c r="H2862" s="1" t="s">
        <v>490</v>
      </c>
    </row>
    <row r="2863" spans="1:8">
      <c r="A2863" s="1" t="s">
        <v>5051</v>
      </c>
      <c r="B2863" s="1" t="s">
        <v>26</v>
      </c>
      <c r="C2863" s="1" t="s">
        <v>3033</v>
      </c>
      <c r="D2863" s="1" t="s">
        <v>19</v>
      </c>
      <c r="E2863" s="12">
        <f>F2863/144</f>
        <v>2E-3</v>
      </c>
      <c r="F2863" s="12">
        <f>Systems!D144</f>
        <v>0.28799999999999998</v>
      </c>
      <c r="G2863" s="1" t="s">
        <v>14</v>
      </c>
      <c r="H2863" s="1" t="s">
        <v>490</v>
      </c>
    </row>
    <row r="2864" spans="1:8">
      <c r="A2864" s="1" t="s">
        <v>5052</v>
      </c>
      <c r="B2864" s="1" t="s">
        <v>26</v>
      </c>
      <c r="C2864" s="1" t="s">
        <v>3033</v>
      </c>
      <c r="D2864" s="1" t="s">
        <v>19</v>
      </c>
      <c r="E2864" s="12">
        <f>F2864/144</f>
        <v>2.0680555555555556E-3</v>
      </c>
      <c r="F2864" s="12">
        <f>Systems!D145</f>
        <v>0.29780000000000001</v>
      </c>
      <c r="G2864" s="1" t="s">
        <v>14</v>
      </c>
      <c r="H2864" s="1" t="s">
        <v>490</v>
      </c>
    </row>
    <row r="2865" spans="1:8">
      <c r="A2865" s="1" t="s">
        <v>5053</v>
      </c>
      <c r="B2865" s="1" t="s">
        <v>26</v>
      </c>
      <c r="C2865" s="1" t="s">
        <v>3033</v>
      </c>
      <c r="D2865" s="1" t="s">
        <v>19</v>
      </c>
      <c r="E2865" s="12">
        <f>F2865/2</f>
        <v>0.11781999999999999</v>
      </c>
      <c r="F2865" s="12">
        <f>Systems!D146</f>
        <v>0.23563999999999999</v>
      </c>
      <c r="G2865" s="1" t="s">
        <v>14</v>
      </c>
      <c r="H2865" s="1" t="s">
        <v>490</v>
      </c>
    </row>
    <row r="2866" spans="1:8">
      <c r="A2866" s="1" t="s">
        <v>5054</v>
      </c>
      <c r="B2866" s="1" t="s">
        <v>26</v>
      </c>
      <c r="C2866" s="1" t="s">
        <v>3033</v>
      </c>
      <c r="D2866" s="1" t="s">
        <v>19</v>
      </c>
      <c r="E2866" s="12">
        <f>F2866/2</f>
        <v>0.14399999999999999</v>
      </c>
      <c r="F2866" s="12">
        <f>Systems!D144</f>
        <v>0.28799999999999998</v>
      </c>
      <c r="G2866" s="1" t="s">
        <v>14</v>
      </c>
      <c r="H2866" s="1" t="s">
        <v>490</v>
      </c>
    </row>
    <row r="2867" spans="1:8">
      <c r="A2867" s="1" t="s">
        <v>5055</v>
      </c>
      <c r="B2867" s="1" t="s">
        <v>26</v>
      </c>
      <c r="C2867" s="1" t="s">
        <v>3033</v>
      </c>
      <c r="D2867" s="1" t="s">
        <v>19</v>
      </c>
      <c r="E2867" s="12">
        <f>F2867/2</f>
        <v>0.1489</v>
      </c>
      <c r="F2867" s="12">
        <f>Systems!D145</f>
        <v>0.29780000000000001</v>
      </c>
      <c r="G2867" s="1" t="s">
        <v>14</v>
      </c>
      <c r="H2867" s="1" t="s">
        <v>490</v>
      </c>
    </row>
    <row r="2868" spans="1:8">
      <c r="A2868" s="1" t="s">
        <v>5056</v>
      </c>
      <c r="B2868" s="1" t="s">
        <v>26</v>
      </c>
      <c r="C2868" s="1" t="s">
        <v>3033</v>
      </c>
      <c r="D2868" s="1" t="s">
        <v>19</v>
      </c>
      <c r="E2868" s="12">
        <f>15*F2868</f>
        <v>3.5345999999999997</v>
      </c>
      <c r="F2868" s="12">
        <f>Systems!D146</f>
        <v>0.23563999999999999</v>
      </c>
      <c r="G2868" s="1" t="s">
        <v>14</v>
      </c>
      <c r="H2868" s="1" t="s">
        <v>490</v>
      </c>
    </row>
    <row r="2869" spans="1:8">
      <c r="A2869" s="1" t="s">
        <v>5057</v>
      </c>
      <c r="B2869" s="1" t="s">
        <v>26</v>
      </c>
      <c r="C2869" s="1" t="s">
        <v>3033</v>
      </c>
      <c r="D2869" s="1" t="s">
        <v>19</v>
      </c>
      <c r="E2869" s="12">
        <f>15*F2869</f>
        <v>4.3199999999999994</v>
      </c>
      <c r="F2869" s="12">
        <f>Systems!D144</f>
        <v>0.28799999999999998</v>
      </c>
      <c r="G2869" s="1" t="s">
        <v>14</v>
      </c>
      <c r="H2869" s="1" t="s">
        <v>490</v>
      </c>
    </row>
    <row r="2870" spans="1:8">
      <c r="A2870" s="1" t="s">
        <v>5058</v>
      </c>
      <c r="B2870" s="1" t="s">
        <v>26</v>
      </c>
      <c r="C2870" s="1" t="s">
        <v>3033</v>
      </c>
      <c r="D2870" s="1" t="s">
        <v>19</v>
      </c>
      <c r="E2870" s="12">
        <f>15*F2870</f>
        <v>4.4670000000000005</v>
      </c>
      <c r="F2870" s="12">
        <f>Systems!D145</f>
        <v>0.29780000000000001</v>
      </c>
      <c r="G2870" s="1" t="s">
        <v>14</v>
      </c>
      <c r="H2870" s="1" t="s">
        <v>490</v>
      </c>
    </row>
    <row r="2871" spans="1:8">
      <c r="A2871" s="1" t="s">
        <v>5059</v>
      </c>
      <c r="B2871" s="1" t="s">
        <v>26</v>
      </c>
      <c r="C2871" s="1" t="s">
        <v>3033</v>
      </c>
      <c r="D2871" s="1" t="s">
        <v>19</v>
      </c>
      <c r="E2871" s="12">
        <f>6*F2871</f>
        <v>1.41384</v>
      </c>
      <c r="F2871" s="12">
        <f>Systems!D146</f>
        <v>0.23563999999999999</v>
      </c>
      <c r="G2871" s="1" t="s">
        <v>14</v>
      </c>
      <c r="H2871" s="1" t="s">
        <v>490</v>
      </c>
    </row>
    <row r="2872" spans="1:8">
      <c r="A2872" s="1" t="s">
        <v>5060</v>
      </c>
      <c r="B2872" s="1" t="s">
        <v>26</v>
      </c>
      <c r="C2872" s="1" t="s">
        <v>3033</v>
      </c>
      <c r="D2872" s="1" t="s">
        <v>19</v>
      </c>
      <c r="E2872" s="12">
        <f>6*F2872</f>
        <v>1.7279999999999998</v>
      </c>
      <c r="F2872" s="12">
        <f>Systems!D144</f>
        <v>0.28799999999999998</v>
      </c>
      <c r="G2872" s="1" t="s">
        <v>14</v>
      </c>
      <c r="H2872" s="1" t="s">
        <v>490</v>
      </c>
    </row>
    <row r="2873" spans="1:8">
      <c r="A2873" s="1" t="s">
        <v>5061</v>
      </c>
      <c r="B2873" s="1" t="s">
        <v>26</v>
      </c>
      <c r="C2873" s="1" t="s">
        <v>3033</v>
      </c>
      <c r="D2873" s="1" t="s">
        <v>19</v>
      </c>
      <c r="E2873" s="12">
        <f>6*F2873</f>
        <v>1.7867999999999999</v>
      </c>
      <c r="F2873" s="12">
        <f>Systems!D145</f>
        <v>0.29780000000000001</v>
      </c>
      <c r="G2873" s="1" t="s">
        <v>14</v>
      </c>
      <c r="H2873" s="1" t="s">
        <v>490</v>
      </c>
    </row>
    <row r="2874" spans="1:8">
      <c r="A2874" s="1" t="s">
        <v>5062</v>
      </c>
      <c r="B2874" s="1" t="s">
        <v>26</v>
      </c>
      <c r="C2874" s="1" t="s">
        <v>3033</v>
      </c>
      <c r="D2874" s="1" t="s">
        <v>19</v>
      </c>
      <c r="E2874" s="12">
        <f>F2874</f>
        <v>0.23563999999999999</v>
      </c>
      <c r="F2874" s="12">
        <f>Systems!D146</f>
        <v>0.23563999999999999</v>
      </c>
      <c r="G2874" s="1" t="s">
        <v>14</v>
      </c>
      <c r="H2874" s="1" t="s">
        <v>490</v>
      </c>
    </row>
    <row r="2875" spans="1:8">
      <c r="A2875" s="1" t="s">
        <v>5063</v>
      </c>
      <c r="B2875" s="1" t="s">
        <v>26</v>
      </c>
      <c r="C2875" s="1" t="s">
        <v>3033</v>
      </c>
      <c r="D2875" s="1" t="s">
        <v>19</v>
      </c>
      <c r="E2875" s="12">
        <f>F2875</f>
        <v>0.28799999999999998</v>
      </c>
      <c r="F2875" s="12">
        <f>Systems!D144</f>
        <v>0.28799999999999998</v>
      </c>
      <c r="G2875" s="1" t="s">
        <v>14</v>
      </c>
      <c r="H2875" s="1" t="s">
        <v>490</v>
      </c>
    </row>
    <row r="2876" spans="1:8">
      <c r="A2876" s="1" t="s">
        <v>5064</v>
      </c>
      <c r="B2876" s="1" t="s">
        <v>26</v>
      </c>
      <c r="C2876" s="1" t="s">
        <v>3033</v>
      </c>
      <c r="D2876" s="1" t="s">
        <v>19</v>
      </c>
      <c r="E2876" s="12">
        <f>F2876</f>
        <v>0.29780000000000001</v>
      </c>
      <c r="F2876" s="12">
        <f>Systems!D145</f>
        <v>0.29780000000000001</v>
      </c>
      <c r="G2876" s="1" t="s">
        <v>14</v>
      </c>
      <c r="H2876" s="1" t="s">
        <v>490</v>
      </c>
    </row>
    <row r="2877" spans="1:8" ht="16.5">
      <c r="A2877" s="1" t="s">
        <v>5065</v>
      </c>
      <c r="B2877" s="1" t="s">
        <v>26</v>
      </c>
      <c r="C2877" s="1" t="s">
        <v>3034</v>
      </c>
      <c r="D2877" s="1" t="s">
        <v>38</v>
      </c>
      <c r="E2877" s="12">
        <f>67500*F2877</f>
        <v>3748.0191479999994</v>
      </c>
      <c r="F2877" s="12">
        <f>Systems!H146</f>
        <v>5.5526209599999994E-2</v>
      </c>
      <c r="G2877" s="1" t="s">
        <v>39</v>
      </c>
      <c r="H2877" s="1" t="s">
        <v>490</v>
      </c>
    </row>
    <row r="2878" spans="1:8" ht="16.5">
      <c r="A2878" s="1" t="s">
        <v>5066</v>
      </c>
      <c r="B2878" s="1" t="s">
        <v>26</v>
      </c>
      <c r="C2878" s="1" t="s">
        <v>3034</v>
      </c>
      <c r="D2878" s="1" t="s">
        <v>38</v>
      </c>
      <c r="E2878" s="12">
        <f>67500*F2878</f>
        <v>5598.7199999999993</v>
      </c>
      <c r="F2878" s="12">
        <f>Systems!H144</f>
        <v>8.294399999999999E-2</v>
      </c>
      <c r="G2878" s="1" t="s">
        <v>39</v>
      </c>
      <c r="H2878" s="1" t="s">
        <v>490</v>
      </c>
    </row>
    <row r="2879" spans="1:8" ht="16.5">
      <c r="A2879" s="1" t="s">
        <v>5067</v>
      </c>
      <c r="B2879" s="1" t="s">
        <v>26</v>
      </c>
      <c r="C2879" s="1" t="s">
        <v>3034</v>
      </c>
      <c r="D2879" s="1" t="s">
        <v>38</v>
      </c>
      <c r="E2879" s="12">
        <f>67500*F2879</f>
        <v>5986.2267000000002</v>
      </c>
      <c r="F2879" s="12">
        <f>Systems!H145</f>
        <v>8.8684840000000001E-2</v>
      </c>
      <c r="G2879" s="1" t="s">
        <v>39</v>
      </c>
      <c r="H2879" s="1" t="s">
        <v>490</v>
      </c>
    </row>
    <row r="2880" spans="1:8" ht="16.5">
      <c r="A2880" s="1" t="s">
        <v>5068</v>
      </c>
      <c r="B2880" s="1" t="s">
        <v>26</v>
      </c>
      <c r="C2880" s="1" t="s">
        <v>3034</v>
      </c>
      <c r="D2880" s="1" t="s">
        <v>38</v>
      </c>
      <c r="E2880" s="12">
        <f>225*F2880</f>
        <v>12.493397159999999</v>
      </c>
      <c r="F2880" s="12">
        <f>POWER(Systems!D146,2)</f>
        <v>5.5526209599999994E-2</v>
      </c>
      <c r="G2880" s="1" t="s">
        <v>39</v>
      </c>
      <c r="H2880" s="1" t="s">
        <v>490</v>
      </c>
    </row>
    <row r="2881" spans="1:8" ht="16.5">
      <c r="A2881" s="1" t="s">
        <v>5069</v>
      </c>
      <c r="B2881" s="1" t="s">
        <v>26</v>
      </c>
      <c r="C2881" s="1" t="s">
        <v>3034</v>
      </c>
      <c r="D2881" s="1" t="s">
        <v>38</v>
      </c>
      <c r="E2881" s="12">
        <f>225*F2881</f>
        <v>18.662399999999998</v>
      </c>
      <c r="F2881" s="12">
        <f>POWER(Systems!D144,2)</f>
        <v>8.294399999999999E-2</v>
      </c>
      <c r="G2881" s="1" t="s">
        <v>39</v>
      </c>
      <c r="H2881" s="1" t="s">
        <v>490</v>
      </c>
    </row>
    <row r="2882" spans="1:8" ht="16.5">
      <c r="A2882" s="1" t="s">
        <v>5070</v>
      </c>
      <c r="B2882" s="1" t="s">
        <v>26</v>
      </c>
      <c r="C2882" s="1" t="s">
        <v>3034</v>
      </c>
      <c r="D2882" s="1" t="s">
        <v>38</v>
      </c>
      <c r="E2882" s="12">
        <f>225*F2882</f>
        <v>19.954089</v>
      </c>
      <c r="F2882" s="12">
        <f>POWER(Systems!D145,2)</f>
        <v>8.8684840000000001E-2</v>
      </c>
      <c r="G2882" s="1" t="s">
        <v>39</v>
      </c>
      <c r="H2882" s="1" t="s">
        <v>490</v>
      </c>
    </row>
    <row r="2883" spans="1:8" ht="16.5">
      <c r="A2883" s="1" t="s">
        <v>5071</v>
      </c>
      <c r="B2883" s="1" t="s">
        <v>26</v>
      </c>
      <c r="C2883" s="1" t="s">
        <v>3034</v>
      </c>
      <c r="D2883" s="1" t="s">
        <v>38</v>
      </c>
      <c r="E2883" s="12">
        <f>F2883</f>
        <v>5.5526209599999994E-2</v>
      </c>
      <c r="F2883" s="12">
        <f>POWER(Systems!D146,2)</f>
        <v>5.5526209599999994E-2</v>
      </c>
      <c r="G2883" s="1" t="s">
        <v>39</v>
      </c>
      <c r="H2883" s="1" t="s">
        <v>490</v>
      </c>
    </row>
    <row r="2884" spans="1:8" ht="16.5">
      <c r="A2884" s="1" t="s">
        <v>5072</v>
      </c>
      <c r="B2884" s="1" t="s">
        <v>26</v>
      </c>
      <c r="C2884" s="1" t="s">
        <v>3034</v>
      </c>
      <c r="D2884" s="1" t="s">
        <v>38</v>
      </c>
      <c r="E2884" s="12">
        <f>F2884</f>
        <v>8.294399999999999E-2</v>
      </c>
      <c r="F2884" s="12">
        <f>POWER(Systems!D144,2)</f>
        <v>8.294399999999999E-2</v>
      </c>
      <c r="G2884" s="1" t="s">
        <v>39</v>
      </c>
      <c r="H2884" s="1" t="s">
        <v>490</v>
      </c>
    </row>
    <row r="2885" spans="1:8" ht="16.5">
      <c r="A2885" s="1" t="s">
        <v>5073</v>
      </c>
      <c r="B2885" s="1" t="s">
        <v>26</v>
      </c>
      <c r="C2885" s="1" t="s">
        <v>3034</v>
      </c>
      <c r="D2885" s="1" t="s">
        <v>38</v>
      </c>
      <c r="E2885" s="12">
        <f>F2885</f>
        <v>8.8684840000000001E-2</v>
      </c>
      <c r="F2885" s="12">
        <f>POWER(Systems!D145,2)</f>
        <v>8.8684840000000001E-2</v>
      </c>
      <c r="G2885" s="1" t="s">
        <v>39</v>
      </c>
      <c r="H2885" s="1" t="s">
        <v>490</v>
      </c>
    </row>
    <row r="2886" spans="1:8" ht="16.5">
      <c r="A2886" s="1" t="s">
        <v>5074</v>
      </c>
      <c r="B2886" s="1" t="s">
        <v>26</v>
      </c>
      <c r="C2886" s="1" t="s">
        <v>3034</v>
      </c>
      <c r="D2886" s="1" t="s">
        <v>38</v>
      </c>
      <c r="E2886" s="12">
        <f>2025000*F2886</f>
        <v>112440.57443999998</v>
      </c>
      <c r="F2886" s="12">
        <f>POWER(Systems!D146,2)</f>
        <v>5.5526209599999994E-2</v>
      </c>
      <c r="G2886" s="1" t="s">
        <v>39</v>
      </c>
      <c r="H2886" s="1" t="s">
        <v>490</v>
      </c>
    </row>
    <row r="2887" spans="1:8" ht="16.5">
      <c r="A2887" s="1" t="s">
        <v>5075</v>
      </c>
      <c r="B2887" s="1" t="s">
        <v>26</v>
      </c>
      <c r="C2887" s="1" t="s">
        <v>3034</v>
      </c>
      <c r="D2887" s="1" t="s">
        <v>38</v>
      </c>
      <c r="E2887" s="12">
        <f>2025000*F2887</f>
        <v>167961.59999999998</v>
      </c>
      <c r="F2887" s="12">
        <f>POWER(Systems!D144,2)</f>
        <v>8.294399999999999E-2</v>
      </c>
      <c r="G2887" s="1" t="s">
        <v>39</v>
      </c>
      <c r="H2887" s="1" t="s">
        <v>490</v>
      </c>
    </row>
    <row r="2888" spans="1:8" ht="16.5">
      <c r="A2888" s="1" t="s">
        <v>5076</v>
      </c>
      <c r="B2888" s="1" t="s">
        <v>26</v>
      </c>
      <c r="C2888" s="1" t="s">
        <v>3034</v>
      </c>
      <c r="D2888" s="1" t="s">
        <v>38</v>
      </c>
      <c r="E2888" s="12">
        <f>2025000*F2888</f>
        <v>179586.80100000001</v>
      </c>
      <c r="F2888" s="12">
        <f>POWER(Systems!D145,2)</f>
        <v>8.8684840000000001E-2</v>
      </c>
      <c r="G2888" s="1" t="s">
        <v>39</v>
      </c>
      <c r="H2888" s="1" t="s">
        <v>490</v>
      </c>
    </row>
    <row r="2889" spans="1:8" ht="16.5">
      <c r="A2889" s="1" t="s">
        <v>5077</v>
      </c>
      <c r="B2889" s="1" t="s">
        <v>26</v>
      </c>
      <c r="C2889" s="1" t="s">
        <v>2936</v>
      </c>
      <c r="D2889" s="1" t="s">
        <v>32</v>
      </c>
      <c r="E2889" s="12">
        <f>F2889</f>
        <v>2.3887871999999994E-2</v>
      </c>
      <c r="F2889" s="12">
        <f>Systems!T144</f>
        <v>2.3887871999999994E-2</v>
      </c>
      <c r="G2889" s="1" t="s">
        <v>33</v>
      </c>
      <c r="H2889" s="1" t="s">
        <v>490</v>
      </c>
    </row>
    <row r="2890" spans="1:8" ht="16.5">
      <c r="A2890" s="1" t="s">
        <v>1469</v>
      </c>
      <c r="B2890" s="1" t="s">
        <v>26</v>
      </c>
      <c r="C2890" s="1" t="s">
        <v>2935</v>
      </c>
      <c r="D2890" s="1" t="s">
        <v>32</v>
      </c>
      <c r="E2890" s="12">
        <f>32*F2890</f>
        <v>3.2000000000000001E-2</v>
      </c>
      <c r="F2890" s="12">
        <f>Systems!P144</f>
        <v>1E-3</v>
      </c>
      <c r="G2890" s="1" t="s">
        <v>33</v>
      </c>
      <c r="H2890" s="1" t="s">
        <v>490</v>
      </c>
    </row>
    <row r="2891" spans="1:8" ht="16.5">
      <c r="A2891" s="1" t="s">
        <v>1656</v>
      </c>
      <c r="B2891" s="1" t="s">
        <v>26</v>
      </c>
      <c r="C2891" s="1" t="s">
        <v>2935</v>
      </c>
      <c r="D2891" s="1" t="s">
        <v>32</v>
      </c>
      <c r="E2891" s="12">
        <f>4*F2891</f>
        <v>4.0000000000000001E-3</v>
      </c>
      <c r="F2891" s="12">
        <f>Systems!P144</f>
        <v>1E-3</v>
      </c>
      <c r="G2891" s="1" t="s">
        <v>33</v>
      </c>
      <c r="H2891" s="1" t="s">
        <v>490</v>
      </c>
    </row>
    <row r="2892" spans="1:8" ht="16.5">
      <c r="A2892" s="1" t="s">
        <v>1879</v>
      </c>
      <c r="B2892" s="1" t="s">
        <v>26</v>
      </c>
      <c r="C2892" s="1" t="s">
        <v>2935</v>
      </c>
      <c r="D2892" s="1" t="s">
        <v>32</v>
      </c>
      <c r="E2892" s="12">
        <f>128*F2892</f>
        <v>0.128</v>
      </c>
      <c r="F2892" s="12">
        <f>Systems!P144</f>
        <v>1E-3</v>
      </c>
      <c r="G2892" s="1" t="s">
        <v>33</v>
      </c>
      <c r="H2892" s="1" t="s">
        <v>490</v>
      </c>
    </row>
    <row r="2893" spans="1:8" ht="16.5">
      <c r="A2893" s="1" t="s">
        <v>860</v>
      </c>
      <c r="B2893" s="1" t="s">
        <v>26</v>
      </c>
      <c r="C2893" s="1" t="s">
        <v>2935</v>
      </c>
      <c r="D2893" s="1" t="s">
        <v>32</v>
      </c>
      <c r="E2893" s="12">
        <f>F2893</f>
        <v>1E-3</v>
      </c>
      <c r="F2893" s="12">
        <f>Systems!P144</f>
        <v>1E-3</v>
      </c>
      <c r="G2893" s="1" t="s">
        <v>33</v>
      </c>
      <c r="H2893" s="1" t="s">
        <v>490</v>
      </c>
    </row>
    <row r="2894" spans="1:8" ht="16.5">
      <c r="A2894" s="1" t="s">
        <v>1908</v>
      </c>
      <c r="B2894" s="1" t="s">
        <v>26</v>
      </c>
      <c r="C2894" s="1" t="s">
        <v>2935</v>
      </c>
      <c r="D2894" s="1" t="s">
        <v>32</v>
      </c>
      <c r="E2894" s="12">
        <f>F2894/4</f>
        <v>2.5000000000000001E-4</v>
      </c>
      <c r="F2894" s="12">
        <f>Systems!P144</f>
        <v>1E-3</v>
      </c>
      <c r="G2894" s="1" t="s">
        <v>33</v>
      </c>
      <c r="H2894" s="1" t="s">
        <v>490</v>
      </c>
    </row>
    <row r="2895" spans="1:8">
      <c r="A2895" s="1" t="s">
        <v>1375</v>
      </c>
      <c r="B2895" s="1" t="s">
        <v>26</v>
      </c>
      <c r="C2895" s="1" t="s">
        <v>17</v>
      </c>
      <c r="D2895" s="1" t="s">
        <v>20</v>
      </c>
      <c r="E2895" s="12">
        <f>100*F2895</f>
        <v>40.550399999999996</v>
      </c>
      <c r="F2895" s="12">
        <f>Systems!L144</f>
        <v>0.40550399999999998</v>
      </c>
      <c r="G2895" s="1" t="s">
        <v>23</v>
      </c>
      <c r="H2895" s="1" t="s">
        <v>490</v>
      </c>
    </row>
    <row r="2896" spans="1:8">
      <c r="A2896" s="1" t="s">
        <v>1549</v>
      </c>
      <c r="B2896" s="1" t="s">
        <v>26</v>
      </c>
      <c r="C2896" s="1" t="s">
        <v>17</v>
      </c>
      <c r="D2896" s="1" t="s">
        <v>20</v>
      </c>
      <c r="E2896" s="12">
        <f>F2896/128</f>
        <v>3.1679999999999998E-3</v>
      </c>
      <c r="F2896" s="12">
        <f>Systems!L144</f>
        <v>0.40550399999999998</v>
      </c>
      <c r="G2896" s="1" t="s">
        <v>23</v>
      </c>
      <c r="H2896" s="1" t="s">
        <v>490</v>
      </c>
    </row>
    <row r="2897" spans="1:8">
      <c r="A2897" s="1" t="s">
        <v>859</v>
      </c>
      <c r="B2897" s="1" t="s">
        <v>26</v>
      </c>
      <c r="C2897" s="1" t="s">
        <v>17</v>
      </c>
      <c r="D2897" s="1" t="s">
        <v>20</v>
      </c>
      <c r="E2897" s="12">
        <f>F2897</f>
        <v>0.40550399999999998</v>
      </c>
      <c r="F2897" s="12">
        <f>Systems!L144</f>
        <v>0.40550399999999998</v>
      </c>
      <c r="G2897" s="1" t="s">
        <v>23</v>
      </c>
      <c r="H2897" s="1" t="s">
        <v>490</v>
      </c>
    </row>
    <row r="2898" spans="1:8">
      <c r="A2898" s="1" t="s">
        <v>1692</v>
      </c>
      <c r="B2898" s="1" t="s">
        <v>26</v>
      </c>
      <c r="C2898" s="1" t="s">
        <v>17</v>
      </c>
      <c r="D2898" s="1" t="s">
        <v>20</v>
      </c>
      <c r="E2898" s="12">
        <f>F2898/9216</f>
        <v>4.3999999999999999E-5</v>
      </c>
      <c r="F2898" s="12">
        <f>Systems!L144</f>
        <v>0.40550399999999998</v>
      </c>
      <c r="G2898" s="1" t="s">
        <v>23</v>
      </c>
      <c r="H2898" s="1" t="s">
        <v>490</v>
      </c>
    </row>
    <row r="2899" spans="1:8">
      <c r="A2899" s="1" t="s">
        <v>1795</v>
      </c>
      <c r="B2899" s="1" t="s">
        <v>26</v>
      </c>
      <c r="C2899" s="1" t="s">
        <v>17</v>
      </c>
      <c r="D2899" s="1" t="s">
        <v>20</v>
      </c>
      <c r="E2899" s="12">
        <f>25*F2899</f>
        <v>10.137599999999999</v>
      </c>
      <c r="F2899" s="12">
        <f>Systems!L144</f>
        <v>0.40550399999999998</v>
      </c>
      <c r="G2899" s="1" t="s">
        <v>23</v>
      </c>
      <c r="H2899" s="1" t="s">
        <v>490</v>
      </c>
    </row>
    <row r="2900" spans="1:8">
      <c r="A2900" s="1" t="s">
        <v>1994</v>
      </c>
      <c r="B2900" s="1" t="s">
        <v>26</v>
      </c>
      <c r="C2900" s="1" t="s">
        <v>17</v>
      </c>
      <c r="D2900" s="1" t="s">
        <v>20</v>
      </c>
      <c r="E2900" s="12">
        <f>F2900/32</f>
        <v>1.2671999999999999E-2</v>
      </c>
      <c r="F2900" s="12">
        <f>Systems!L144</f>
        <v>0.40550399999999998</v>
      </c>
      <c r="G2900" s="1" t="s">
        <v>23</v>
      </c>
      <c r="H2900" s="1" t="s">
        <v>490</v>
      </c>
    </row>
    <row r="2901" spans="1:8">
      <c r="A2901" s="1" t="s">
        <v>2531</v>
      </c>
      <c r="B2901" s="1" t="s">
        <v>26</v>
      </c>
      <c r="C2901" s="1" t="s">
        <v>17</v>
      </c>
      <c r="D2901" s="1" t="s">
        <v>20</v>
      </c>
      <c r="E2901" s="12">
        <f>F2901/384</f>
        <v>1.0559999999999999E-3</v>
      </c>
      <c r="F2901" s="12">
        <f>Systems!L144</f>
        <v>0.40550399999999998</v>
      </c>
      <c r="G2901" s="1" t="s">
        <v>23</v>
      </c>
      <c r="H2901" s="1" t="s">
        <v>490</v>
      </c>
    </row>
    <row r="2902" spans="1:8">
      <c r="A2902" s="1" t="s">
        <v>2740</v>
      </c>
      <c r="B2902" s="1" t="s">
        <v>26</v>
      </c>
      <c r="C2902" s="1" t="s">
        <v>17</v>
      </c>
      <c r="D2902" s="1" t="s">
        <v>20</v>
      </c>
      <c r="E2902" s="12">
        <f>F2902/16</f>
        <v>2.5343999999999998E-2</v>
      </c>
      <c r="F2902" s="12">
        <f>Systems!L144</f>
        <v>0.40550399999999998</v>
      </c>
      <c r="G2902" s="1" t="s">
        <v>23</v>
      </c>
      <c r="H2902" s="1" t="s">
        <v>490</v>
      </c>
    </row>
    <row r="2903" spans="1:8">
      <c r="A2903" s="248"/>
      <c r="B2903" s="248"/>
      <c r="C2903" s="248"/>
      <c r="D2903" s="248"/>
      <c r="E2903" s="250"/>
      <c r="F2903" s="250"/>
      <c r="G2903" s="248"/>
      <c r="H2903" s="248"/>
    </row>
    <row r="2904" spans="1:8">
      <c r="A2904" s="1" t="s">
        <v>1311</v>
      </c>
      <c r="B2904" s="1" t="s">
        <v>26</v>
      </c>
      <c r="C2904" s="1" t="s">
        <v>3033</v>
      </c>
      <c r="D2904" s="1" t="s">
        <v>19</v>
      </c>
      <c r="E2904" s="12">
        <f>20*F2904/3</f>
        <v>2.19</v>
      </c>
      <c r="F2904" s="12">
        <f>Systems!D147</f>
        <v>0.32850000000000001</v>
      </c>
      <c r="G2904" s="1" t="s">
        <v>14</v>
      </c>
      <c r="H2904" s="1" t="s">
        <v>52</v>
      </c>
    </row>
    <row r="2905" spans="1:8">
      <c r="A2905" s="1" t="s">
        <v>1444</v>
      </c>
      <c r="B2905" s="1" t="s">
        <v>26</v>
      </c>
      <c r="C2905" s="1" t="s">
        <v>3033</v>
      </c>
      <c r="D2905" s="1" t="s">
        <v>19</v>
      </c>
      <c r="E2905" s="12">
        <f>2*F2905</f>
        <v>0.65700000000000003</v>
      </c>
      <c r="F2905" s="12">
        <f>Systems!D147</f>
        <v>0.32850000000000001</v>
      </c>
      <c r="G2905" s="1" t="s">
        <v>14</v>
      </c>
      <c r="H2905" s="1" t="s">
        <v>52</v>
      </c>
    </row>
    <row r="2906" spans="1:8">
      <c r="A2906" s="1" t="s">
        <v>1445</v>
      </c>
      <c r="B2906" s="1" t="s">
        <v>26</v>
      </c>
      <c r="C2906" s="1" t="s">
        <v>3033</v>
      </c>
      <c r="D2906" s="1" t="s">
        <v>19</v>
      </c>
      <c r="E2906" s="12">
        <f>2*F2906</f>
        <v>0.65700000000000003</v>
      </c>
      <c r="F2906" s="12">
        <f>Systems!D147</f>
        <v>0.32850000000000001</v>
      </c>
      <c r="G2906" s="1" t="s">
        <v>14</v>
      </c>
      <c r="H2906" s="1" t="s">
        <v>52</v>
      </c>
    </row>
    <row r="2907" spans="1:8">
      <c r="A2907" s="1" t="s">
        <v>1584</v>
      </c>
      <c r="B2907" s="1" t="s">
        <v>26</v>
      </c>
      <c r="C2907" s="1" t="s">
        <v>3033</v>
      </c>
      <c r="D2907" s="1" t="s">
        <v>19</v>
      </c>
      <c r="E2907" s="12">
        <f>2360*F2907/3</f>
        <v>258.42</v>
      </c>
      <c r="F2907" s="12">
        <f>Systems!D147</f>
        <v>0.32850000000000001</v>
      </c>
      <c r="G2907" s="1" t="s">
        <v>14</v>
      </c>
      <c r="H2907" s="1" t="s">
        <v>52</v>
      </c>
    </row>
    <row r="2908" spans="1:8">
      <c r="A2908" s="1" t="s">
        <v>200</v>
      </c>
      <c r="B2908" s="1" t="s">
        <v>6949</v>
      </c>
      <c r="C2908" s="1" t="s">
        <v>3033</v>
      </c>
      <c r="D2908" s="1" t="s">
        <v>19</v>
      </c>
      <c r="E2908" s="12">
        <f>F2908</f>
        <v>0.32850000000000001</v>
      </c>
      <c r="F2908" s="12">
        <f>Systems!D147</f>
        <v>0.32850000000000001</v>
      </c>
      <c r="G2908" s="1" t="s">
        <v>14</v>
      </c>
      <c r="H2908" s="1" t="s">
        <v>52</v>
      </c>
    </row>
    <row r="2909" spans="1:8">
      <c r="A2909" s="1" t="s">
        <v>1944</v>
      </c>
      <c r="B2909" s="1" t="s">
        <v>26</v>
      </c>
      <c r="C2909" s="1" t="s">
        <v>3033</v>
      </c>
      <c r="D2909" s="1" t="s">
        <v>19</v>
      </c>
      <c r="E2909" s="12">
        <f>18880*F2909</f>
        <v>6202.08</v>
      </c>
      <c r="F2909" s="12">
        <f>Systems!D147</f>
        <v>0.32850000000000001</v>
      </c>
      <c r="G2909" s="1" t="s">
        <v>14</v>
      </c>
      <c r="H2909" s="1" t="s">
        <v>52</v>
      </c>
    </row>
    <row r="2910" spans="1:8">
      <c r="A2910" s="1" t="s">
        <v>1966</v>
      </c>
      <c r="B2910" s="1" t="s">
        <v>26</v>
      </c>
      <c r="C2910" s="1" t="s">
        <v>3033</v>
      </c>
      <c r="D2910" s="1" t="s">
        <v>19</v>
      </c>
      <c r="E2910" s="12">
        <f>F2910/144</f>
        <v>2.2812500000000003E-3</v>
      </c>
      <c r="F2910" s="12">
        <f>Systems!D147</f>
        <v>0.32850000000000001</v>
      </c>
      <c r="G2910" s="1" t="s">
        <v>14</v>
      </c>
      <c r="H2910" s="1" t="s">
        <v>52</v>
      </c>
    </row>
    <row r="2911" spans="1:8">
      <c r="A2911" s="1" t="s">
        <v>2068</v>
      </c>
      <c r="B2911" s="1" t="s">
        <v>26</v>
      </c>
      <c r="C2911" s="1" t="s">
        <v>3033</v>
      </c>
      <c r="D2911" s="1" t="s">
        <v>19</v>
      </c>
      <c r="E2911" s="12">
        <f>18880*F2911/3</f>
        <v>2067.36</v>
      </c>
      <c r="F2911" s="12">
        <f>Systems!D147</f>
        <v>0.32850000000000001</v>
      </c>
      <c r="G2911" s="1" t="s">
        <v>14</v>
      </c>
      <c r="H2911" s="1" t="s">
        <v>52</v>
      </c>
    </row>
    <row r="2912" spans="1:8">
      <c r="A2912" s="1" t="s">
        <v>2215</v>
      </c>
      <c r="B2912" s="1" t="s">
        <v>26</v>
      </c>
      <c r="C2912" s="1" t="s">
        <v>3033</v>
      </c>
      <c r="D2912" s="1" t="s">
        <v>19</v>
      </c>
      <c r="E2912" s="12">
        <f>2*F2912/3</f>
        <v>0.219</v>
      </c>
      <c r="F2912" s="12">
        <f>Systems!D147</f>
        <v>0.32850000000000001</v>
      </c>
      <c r="G2912" s="1" t="s">
        <v>14</v>
      </c>
      <c r="H2912" s="1" t="s">
        <v>52</v>
      </c>
    </row>
    <row r="2913" spans="1:8">
      <c r="A2913" s="1" t="s">
        <v>4421</v>
      </c>
      <c r="B2913" s="1" t="s">
        <v>26</v>
      </c>
      <c r="C2913" s="1" t="s">
        <v>3033</v>
      </c>
      <c r="D2913" s="1" t="s">
        <v>19</v>
      </c>
      <c r="E2913" s="12">
        <f>5*F2913</f>
        <v>1.6425000000000001</v>
      </c>
      <c r="F2913" s="12">
        <f>Systems!D147</f>
        <v>0.32850000000000001</v>
      </c>
      <c r="G2913" s="1" t="s">
        <v>14</v>
      </c>
      <c r="H2913" s="1" t="s">
        <v>52</v>
      </c>
    </row>
    <row r="2914" spans="1:8">
      <c r="A2914" s="1" t="s">
        <v>824</v>
      </c>
      <c r="B2914" s="1" t="s">
        <v>26</v>
      </c>
      <c r="C2914" s="1" t="s">
        <v>3033</v>
      </c>
      <c r="D2914" s="1" t="s">
        <v>19</v>
      </c>
      <c r="E2914" s="12">
        <f>F2914</f>
        <v>0.32850000000000001</v>
      </c>
      <c r="F2914" s="12">
        <f>Systems!D147</f>
        <v>0.32850000000000001</v>
      </c>
      <c r="G2914" s="1" t="s">
        <v>14</v>
      </c>
      <c r="H2914" s="1" t="s">
        <v>52</v>
      </c>
    </row>
    <row r="2915" spans="1:8">
      <c r="A2915" s="1" t="s">
        <v>2286</v>
      </c>
      <c r="B2915" s="1" t="s">
        <v>26</v>
      </c>
      <c r="C2915" s="1" t="s">
        <v>3033</v>
      </c>
      <c r="D2915" s="1" t="s">
        <v>19</v>
      </c>
      <c r="E2915" s="12">
        <f>F2915/12</f>
        <v>2.7375E-2</v>
      </c>
      <c r="F2915" s="12">
        <f>Systems!D147</f>
        <v>0.32850000000000001</v>
      </c>
      <c r="G2915" s="1" t="s">
        <v>14</v>
      </c>
      <c r="H2915" s="1" t="s">
        <v>52</v>
      </c>
    </row>
    <row r="2916" spans="1:8">
      <c r="A2916" s="1" t="s">
        <v>2287</v>
      </c>
      <c r="B2916" s="1" t="s">
        <v>26</v>
      </c>
      <c r="C2916" s="1" t="s">
        <v>3033</v>
      </c>
      <c r="D2916" s="1" t="s">
        <v>19</v>
      </c>
      <c r="E2916" s="12">
        <f>F2916/12</f>
        <v>2.7375E-2</v>
      </c>
      <c r="F2916" s="12">
        <f>Systems!D147</f>
        <v>0.32850000000000001</v>
      </c>
      <c r="G2916" s="1" t="s">
        <v>14</v>
      </c>
      <c r="H2916" s="1" t="s">
        <v>52</v>
      </c>
    </row>
    <row r="2917" spans="1:8">
      <c r="A2917" s="1" t="s">
        <v>2291</v>
      </c>
      <c r="B2917" s="1" t="s">
        <v>26</v>
      </c>
      <c r="C2917" s="1" t="s">
        <v>3033</v>
      </c>
      <c r="D2917" s="1" t="s">
        <v>19</v>
      </c>
      <c r="E2917" s="12">
        <f>F2917/1728</f>
        <v>1.9010416666666668E-4</v>
      </c>
      <c r="F2917" s="12">
        <f>Systems!D147</f>
        <v>0.32850000000000001</v>
      </c>
      <c r="G2917" s="1" t="s">
        <v>14</v>
      </c>
      <c r="H2917" s="1" t="s">
        <v>52</v>
      </c>
    </row>
    <row r="2918" spans="1:8">
      <c r="A2918" s="1" t="s">
        <v>2671</v>
      </c>
      <c r="B2918" s="1" t="s">
        <v>26</v>
      </c>
      <c r="C2918" s="1" t="s">
        <v>3033</v>
      </c>
      <c r="D2918" s="1" t="s">
        <v>19</v>
      </c>
      <c r="E2918" s="12">
        <f>6*F2918</f>
        <v>1.9710000000000001</v>
      </c>
      <c r="F2918" s="12">
        <f>Systems!D147</f>
        <v>0.32850000000000001</v>
      </c>
      <c r="G2918" s="1" t="s">
        <v>14</v>
      </c>
      <c r="H2918" s="1" t="s">
        <v>52</v>
      </c>
    </row>
    <row r="2919" spans="1:8">
      <c r="A2919" s="1" t="s">
        <v>821</v>
      </c>
      <c r="B2919" s="1" t="s">
        <v>26</v>
      </c>
      <c r="C2919" s="1" t="s">
        <v>3033</v>
      </c>
      <c r="D2919" s="1" t="s">
        <v>19</v>
      </c>
      <c r="E2919" s="12">
        <f>10*F2919/3</f>
        <v>1.095</v>
      </c>
      <c r="F2919" s="12">
        <f>Systems!D147</f>
        <v>0.32850000000000001</v>
      </c>
      <c r="G2919" s="1" t="s">
        <v>14</v>
      </c>
      <c r="H2919" s="1" t="s">
        <v>52</v>
      </c>
    </row>
    <row r="2920" spans="1:8" ht="16.5">
      <c r="A2920" s="1" t="s">
        <v>1611</v>
      </c>
      <c r="B2920" s="1" t="s">
        <v>26</v>
      </c>
      <c r="C2920" s="1" t="s">
        <v>3034</v>
      </c>
      <c r="D2920" s="1" t="s">
        <v>38</v>
      </c>
      <c r="E2920" s="12">
        <f>605*F2920</f>
        <v>725.41012499999999</v>
      </c>
      <c r="F2920" s="12">
        <f>Systems!H147</f>
        <v>1.199025</v>
      </c>
      <c r="G2920" s="1" t="s">
        <v>39</v>
      </c>
      <c r="H2920" s="1" t="s">
        <v>52</v>
      </c>
    </row>
    <row r="2921" spans="1:8" ht="16.5">
      <c r="A2921" s="1" t="s">
        <v>1665</v>
      </c>
      <c r="B2921" s="1" t="s">
        <v>26</v>
      </c>
      <c r="C2921" s="1" t="s">
        <v>3034</v>
      </c>
      <c r="D2921" s="1" t="s">
        <v>38</v>
      </c>
      <c r="E2921" s="12">
        <f>4840*F2921</f>
        <v>5803.2809999999999</v>
      </c>
      <c r="F2921" s="12">
        <f>Systems!H147</f>
        <v>1.199025</v>
      </c>
      <c r="G2921" s="1" t="s">
        <v>39</v>
      </c>
      <c r="H2921" s="1" t="s">
        <v>52</v>
      </c>
    </row>
    <row r="2922" spans="1:8" ht="16.5">
      <c r="A2922" s="1" t="s">
        <v>4513</v>
      </c>
      <c r="B2922" s="1" t="s">
        <v>26</v>
      </c>
      <c r="C2922" s="1" t="s">
        <v>3034</v>
      </c>
      <c r="D2922" s="1" t="s">
        <v>38</v>
      </c>
      <c r="E2922" s="12">
        <f>F2922</f>
        <v>1.199025</v>
      </c>
      <c r="F2922" s="12">
        <f>Systems!H147</f>
        <v>1.199025</v>
      </c>
      <c r="G2922" s="1" t="s">
        <v>39</v>
      </c>
      <c r="H2922" s="1" t="s">
        <v>52</v>
      </c>
    </row>
    <row r="2923" spans="1:8" ht="16.5">
      <c r="A2923" s="1" t="s">
        <v>825</v>
      </c>
      <c r="B2923" s="1" t="s">
        <v>26</v>
      </c>
      <c r="C2923" s="1" t="s">
        <v>2936</v>
      </c>
      <c r="D2923" s="1" t="s">
        <v>32</v>
      </c>
      <c r="E2923" s="12">
        <f>F2923</f>
        <v>1.6500000000000001E-2</v>
      </c>
      <c r="F2923" s="12">
        <f>Systems!P147</f>
        <v>1.6500000000000001E-2</v>
      </c>
      <c r="G2923" s="1" t="s">
        <v>33</v>
      </c>
      <c r="H2923" s="1" t="s">
        <v>52</v>
      </c>
    </row>
    <row r="2924" spans="1:8" ht="16.5">
      <c r="A2924" s="1" t="s">
        <v>1204</v>
      </c>
      <c r="B2924" s="1" t="s">
        <v>26</v>
      </c>
      <c r="C2924" s="1" t="s">
        <v>2936</v>
      </c>
      <c r="D2924" s="1" t="s">
        <v>32</v>
      </c>
      <c r="E2924" s="12">
        <f>F2924/4</f>
        <v>1.35E-2</v>
      </c>
      <c r="F2924" s="12">
        <f>Systems!T147</f>
        <v>5.3999999999999999E-2</v>
      </c>
      <c r="G2924" s="1" t="s">
        <v>33</v>
      </c>
      <c r="H2924" s="1" t="s">
        <v>52</v>
      </c>
    </row>
    <row r="2925" spans="1:8" ht="16.5">
      <c r="A2925" s="1" t="s">
        <v>826</v>
      </c>
      <c r="B2925" s="1" t="s">
        <v>26</v>
      </c>
      <c r="C2925" s="1" t="s">
        <v>2936</v>
      </c>
      <c r="D2925" s="1" t="s">
        <v>32</v>
      </c>
      <c r="E2925" s="12">
        <f>F2925</f>
        <v>5.3999999999999999E-2</v>
      </c>
      <c r="F2925" s="12">
        <f>Systems!T147</f>
        <v>5.3999999999999999E-2</v>
      </c>
      <c r="G2925" s="1" t="s">
        <v>33</v>
      </c>
      <c r="H2925" s="1" t="s">
        <v>52</v>
      </c>
    </row>
    <row r="2926" spans="1:8" ht="16.5">
      <c r="A2926" s="1" t="s">
        <v>2045</v>
      </c>
      <c r="B2926" s="1" t="s">
        <v>26</v>
      </c>
      <c r="C2926" s="1" t="s">
        <v>2936</v>
      </c>
      <c r="D2926" s="1" t="s">
        <v>32</v>
      </c>
      <c r="E2926" s="12">
        <f>F2926/8</f>
        <v>6.7499999999999999E-3</v>
      </c>
      <c r="F2926" s="12">
        <f>Systems!T147</f>
        <v>5.3999999999999999E-2</v>
      </c>
      <c r="G2926" s="1" t="s">
        <v>33</v>
      </c>
      <c r="H2926" s="1" t="s">
        <v>52</v>
      </c>
    </row>
    <row r="2927" spans="1:8" ht="16.5">
      <c r="A2927" s="1" t="s">
        <v>2099</v>
      </c>
      <c r="B2927" s="1" t="s">
        <v>26</v>
      </c>
      <c r="C2927" s="1" t="s">
        <v>2936</v>
      </c>
      <c r="D2927" s="1" t="s">
        <v>32</v>
      </c>
      <c r="E2927" s="12">
        <f>15*F2927</f>
        <v>0.80999999999999994</v>
      </c>
      <c r="F2927" s="12">
        <f>Systems!T147</f>
        <v>5.3999999999999999E-2</v>
      </c>
      <c r="G2927" s="1" t="s">
        <v>33</v>
      </c>
      <c r="H2927" s="1" t="s">
        <v>52</v>
      </c>
    </row>
    <row r="2928" spans="1:8" ht="16.5">
      <c r="A2928" s="1" t="s">
        <v>2192</v>
      </c>
      <c r="B2928" s="1" t="s">
        <v>26</v>
      </c>
      <c r="C2928" s="1" t="s">
        <v>2936</v>
      </c>
      <c r="D2928" s="1" t="s">
        <v>32</v>
      </c>
      <c r="E2928" s="12">
        <f>F2928/32</f>
        <v>1.6875E-3</v>
      </c>
      <c r="F2928" s="12">
        <f>Systems!T147</f>
        <v>5.3999999999999999E-2</v>
      </c>
      <c r="G2928" s="1" t="s">
        <v>33</v>
      </c>
      <c r="H2928" s="1" t="s">
        <v>52</v>
      </c>
    </row>
    <row r="2929" spans="1:8" ht="16.5">
      <c r="A2929" s="1" t="s">
        <v>2347</v>
      </c>
      <c r="B2929" s="1" t="s">
        <v>26</v>
      </c>
      <c r="C2929" s="1" t="s">
        <v>2936</v>
      </c>
      <c r="D2929" s="1" t="s">
        <v>32</v>
      </c>
      <c r="E2929" s="12">
        <f>F2929/16</f>
        <v>3.375E-3</v>
      </c>
      <c r="F2929" s="12">
        <f>Systems!T147</f>
        <v>5.3999999999999999E-2</v>
      </c>
      <c r="G2929" s="1" t="s">
        <v>33</v>
      </c>
      <c r="H2929" s="1" t="s">
        <v>52</v>
      </c>
    </row>
    <row r="2930" spans="1:8" ht="16.5">
      <c r="A2930" s="1" t="s">
        <v>1204</v>
      </c>
      <c r="B2930" s="1" t="s">
        <v>26</v>
      </c>
      <c r="C2930" s="1" t="s">
        <v>2935</v>
      </c>
      <c r="D2930" s="1" t="s">
        <v>32</v>
      </c>
      <c r="E2930" s="12">
        <f>F2930/6</f>
        <v>2.7500000000000003E-3</v>
      </c>
      <c r="F2930" s="12">
        <f>Systems!P147</f>
        <v>1.6500000000000001E-2</v>
      </c>
      <c r="G2930" s="1" t="s">
        <v>33</v>
      </c>
      <c r="H2930" s="1" t="s">
        <v>52</v>
      </c>
    </row>
    <row r="2931" spans="1:8" ht="16.5">
      <c r="A2931" s="1" t="s">
        <v>1305</v>
      </c>
      <c r="B2931" s="1" t="s">
        <v>26</v>
      </c>
      <c r="C2931" s="1" t="s">
        <v>2935</v>
      </c>
      <c r="D2931" s="1" t="s">
        <v>32</v>
      </c>
      <c r="E2931" s="12">
        <f>26*F2931</f>
        <v>0.42900000000000005</v>
      </c>
      <c r="F2931" s="12">
        <f>Systems!P147</f>
        <v>1.6500000000000001E-2</v>
      </c>
      <c r="G2931" s="1" t="s">
        <v>33</v>
      </c>
      <c r="H2931" s="1" t="s">
        <v>52</v>
      </c>
    </row>
    <row r="2932" spans="1:8" ht="16.5">
      <c r="A2932" s="1" t="s">
        <v>1347</v>
      </c>
      <c r="B2932" s="1" t="s">
        <v>26</v>
      </c>
      <c r="C2932" s="1" t="s">
        <v>2935</v>
      </c>
      <c r="D2932" s="1" t="s">
        <v>32</v>
      </c>
      <c r="E2932" s="12">
        <f>F2932/12</f>
        <v>1.3750000000000001E-3</v>
      </c>
      <c r="F2932" s="12">
        <f>Systems!P147</f>
        <v>1.6500000000000001E-2</v>
      </c>
      <c r="G2932" s="1" t="s">
        <v>33</v>
      </c>
      <c r="H2932" s="1" t="s">
        <v>52</v>
      </c>
    </row>
    <row r="2933" spans="1:8" ht="16.5">
      <c r="A2933" s="1" t="s">
        <v>2045</v>
      </c>
      <c r="B2933" s="1" t="s">
        <v>26</v>
      </c>
      <c r="C2933" s="1" t="s">
        <v>2935</v>
      </c>
      <c r="D2933" s="1" t="s">
        <v>32</v>
      </c>
      <c r="E2933" s="12">
        <f>F2933/24</f>
        <v>6.8750000000000007E-4</v>
      </c>
      <c r="F2933" s="12">
        <f>Systems!P147</f>
        <v>1.6500000000000001E-2</v>
      </c>
      <c r="G2933" s="1" t="s">
        <v>33</v>
      </c>
      <c r="H2933" s="1" t="s">
        <v>52</v>
      </c>
    </row>
    <row r="2934" spans="1:8" ht="16.5">
      <c r="A2934" s="1" t="s">
        <v>2277</v>
      </c>
      <c r="B2934" s="1" t="s">
        <v>26</v>
      </c>
      <c r="C2934" s="1" t="s">
        <v>2935</v>
      </c>
      <c r="D2934" s="1" t="s">
        <v>32</v>
      </c>
      <c r="E2934" s="12">
        <f>26*F2934</f>
        <v>0.42900000000000005</v>
      </c>
      <c r="F2934" s="12">
        <f>Systems!P147</f>
        <v>1.6500000000000001E-2</v>
      </c>
      <c r="G2934" s="1" t="s">
        <v>33</v>
      </c>
      <c r="H2934" s="1" t="s">
        <v>52</v>
      </c>
    </row>
    <row r="2935" spans="1:8" ht="16.5">
      <c r="A2935" s="1" t="s">
        <v>2294</v>
      </c>
      <c r="B2935" s="1" t="s">
        <v>26</v>
      </c>
      <c r="C2935" s="1" t="s">
        <v>2935</v>
      </c>
      <c r="D2935" s="1" t="s">
        <v>32</v>
      </c>
      <c r="E2935" s="12">
        <f>F2935/2</f>
        <v>8.2500000000000004E-3</v>
      </c>
      <c r="F2935" s="12">
        <f>Systems!P147</f>
        <v>1.6500000000000001E-2</v>
      </c>
      <c r="G2935" s="1" t="s">
        <v>33</v>
      </c>
      <c r="H2935" s="1" t="s">
        <v>52</v>
      </c>
    </row>
    <row r="2936" spans="1:8" ht="16.5">
      <c r="A2936" s="1" t="s">
        <v>2345</v>
      </c>
      <c r="B2936" s="1" t="s">
        <v>26</v>
      </c>
      <c r="C2936" s="1" t="s">
        <v>2935</v>
      </c>
      <c r="D2936" s="1" t="s">
        <v>32</v>
      </c>
      <c r="E2936" s="12">
        <f>F2936/48</f>
        <v>3.4375000000000003E-4</v>
      </c>
      <c r="F2936" s="12">
        <f>Systems!P147</f>
        <v>1.6500000000000001E-2</v>
      </c>
      <c r="G2936" s="1" t="s">
        <v>33</v>
      </c>
      <c r="H2936" s="1" t="s">
        <v>52</v>
      </c>
    </row>
    <row r="2937" spans="1:8" ht="16.5">
      <c r="A2937" s="1" t="s">
        <v>2346</v>
      </c>
      <c r="B2937" s="1" t="s">
        <v>26</v>
      </c>
      <c r="C2937" s="1" t="s">
        <v>2935</v>
      </c>
      <c r="D2937" s="1" t="s">
        <v>32</v>
      </c>
      <c r="E2937" s="12">
        <f>F2937/48</f>
        <v>3.4375000000000003E-4</v>
      </c>
      <c r="F2937" s="12">
        <f>Systems!P147</f>
        <v>1.6500000000000001E-2</v>
      </c>
      <c r="G2937" s="1" t="s">
        <v>33</v>
      </c>
      <c r="H2937" s="1" t="s">
        <v>52</v>
      </c>
    </row>
    <row r="2938" spans="1:8" ht="16.5">
      <c r="A2938" s="1" t="s">
        <v>2681</v>
      </c>
      <c r="B2938" s="1" t="s">
        <v>26</v>
      </c>
      <c r="C2938" s="1" t="s">
        <v>2935</v>
      </c>
      <c r="D2938" s="1" t="s">
        <v>32</v>
      </c>
      <c r="E2938" s="12">
        <f>50*F2938</f>
        <v>0.82500000000000007</v>
      </c>
      <c r="F2938" s="12">
        <f>Systems!P147</f>
        <v>1.6500000000000001E-2</v>
      </c>
      <c r="G2938" s="1" t="s">
        <v>33</v>
      </c>
      <c r="H2938" s="1" t="s">
        <v>52</v>
      </c>
    </row>
    <row r="2939" spans="1:8" ht="16.5">
      <c r="A2939" s="1" t="s">
        <v>2686</v>
      </c>
      <c r="B2939" s="1" t="s">
        <v>26</v>
      </c>
      <c r="C2939" s="1" t="s">
        <v>2935</v>
      </c>
      <c r="D2939" s="1" t="s">
        <v>32</v>
      </c>
      <c r="E2939" s="12">
        <f>52*F2939</f>
        <v>0.8580000000000001</v>
      </c>
      <c r="F2939" s="12">
        <f>Systems!P147</f>
        <v>1.6500000000000001E-2</v>
      </c>
      <c r="G2939" s="1" t="s">
        <v>33</v>
      </c>
      <c r="H2939" s="1" t="s">
        <v>52</v>
      </c>
    </row>
    <row r="2940" spans="1:8">
      <c r="A2940" s="1" t="s">
        <v>1229</v>
      </c>
      <c r="B2940" s="1" t="s">
        <v>26</v>
      </c>
      <c r="C2940" s="1" t="s">
        <v>17</v>
      </c>
      <c r="D2940" s="1" t="s">
        <v>20</v>
      </c>
      <c r="E2940" s="12">
        <f>F2940</f>
        <v>0.45900000000000002</v>
      </c>
      <c r="F2940" s="12">
        <f>Systems!L147</f>
        <v>0.45900000000000002</v>
      </c>
      <c r="G2940" s="1" t="s">
        <v>23</v>
      </c>
      <c r="H2940" s="1" t="s">
        <v>52</v>
      </c>
    </row>
    <row r="2941" spans="1:8">
      <c r="A2941" s="1" t="s">
        <v>1018</v>
      </c>
      <c r="B2941" s="1" t="s">
        <v>26</v>
      </c>
      <c r="C2941" s="1" t="s">
        <v>17</v>
      </c>
      <c r="D2941" s="1" t="s">
        <v>20</v>
      </c>
      <c r="E2941" s="12">
        <f>32*F2941</f>
        <v>14.688000000000001</v>
      </c>
      <c r="F2941" s="12">
        <f>Systems!L147</f>
        <v>0.45900000000000002</v>
      </c>
      <c r="G2941" s="1" t="s">
        <v>23</v>
      </c>
      <c r="H2941" s="1" t="s">
        <v>52</v>
      </c>
    </row>
    <row r="2942" spans="1:8">
      <c r="A2942" s="1" t="s">
        <v>1581</v>
      </c>
      <c r="B2942" s="1" t="s">
        <v>26</v>
      </c>
      <c r="C2942" s="1" t="s">
        <v>17</v>
      </c>
      <c r="D2942" s="1" t="s">
        <v>20</v>
      </c>
      <c r="E2942" s="12">
        <f>F2942/384</f>
        <v>1.1953125E-3</v>
      </c>
      <c r="F2942" s="12">
        <f>Systems!L147</f>
        <v>0.45900000000000002</v>
      </c>
      <c r="G2942" s="1" t="s">
        <v>23</v>
      </c>
      <c r="H2942" s="1" t="s">
        <v>52</v>
      </c>
    </row>
    <row r="2943" spans="1:8">
      <c r="A2943" s="1" t="s">
        <v>1582</v>
      </c>
      <c r="B2943" s="1" t="s">
        <v>26</v>
      </c>
      <c r="C2943" s="1" t="s">
        <v>17</v>
      </c>
      <c r="D2943" s="1" t="s">
        <v>20</v>
      </c>
      <c r="E2943" s="12">
        <f>F2943/384</f>
        <v>1.1953125E-3</v>
      </c>
      <c r="F2943" s="12">
        <f>Systems!L147</f>
        <v>0.45900000000000002</v>
      </c>
      <c r="G2943" s="1" t="s">
        <v>23</v>
      </c>
      <c r="H2943" s="1" t="s">
        <v>52</v>
      </c>
    </row>
    <row r="2944" spans="1:8">
      <c r="A2944" s="1" t="s">
        <v>1696</v>
      </c>
      <c r="B2944" s="1" t="s">
        <v>26</v>
      </c>
      <c r="C2944" s="1" t="s">
        <v>17</v>
      </c>
      <c r="D2944" s="1" t="s">
        <v>20</v>
      </c>
      <c r="E2944" s="12">
        <f>F2944/9216</f>
        <v>4.9804687500000004E-5</v>
      </c>
      <c r="F2944" s="12">
        <f>Systems!L147</f>
        <v>0.45900000000000002</v>
      </c>
      <c r="G2944" s="1" t="s">
        <v>23</v>
      </c>
      <c r="H2944" s="1" t="s">
        <v>52</v>
      </c>
    </row>
    <row r="2945" spans="1:8">
      <c r="A2945" s="1" t="s">
        <v>822</v>
      </c>
      <c r="B2945" s="1" t="s">
        <v>26</v>
      </c>
      <c r="C2945" s="1" t="s">
        <v>17</v>
      </c>
      <c r="D2945" s="1" t="s">
        <v>20</v>
      </c>
      <c r="E2945" s="12">
        <f>F2945</f>
        <v>0.45900000000000002</v>
      </c>
      <c r="F2945" s="12">
        <f>Systems!L147</f>
        <v>0.45900000000000002</v>
      </c>
      <c r="G2945" s="1" t="s">
        <v>23</v>
      </c>
      <c r="H2945" s="1" t="s">
        <v>52</v>
      </c>
    </row>
    <row r="2946" spans="1:8">
      <c r="A2946" s="1" t="s">
        <v>2016</v>
      </c>
      <c r="B2946" s="1" t="s">
        <v>26</v>
      </c>
      <c r="C2946" s="1" t="s">
        <v>17</v>
      </c>
      <c r="D2946" s="1" t="s">
        <v>20</v>
      </c>
      <c r="E2946" s="12">
        <f>F2946/2</f>
        <v>0.22950000000000001</v>
      </c>
      <c r="F2946" s="12">
        <f>Systems!L147</f>
        <v>0.45900000000000002</v>
      </c>
      <c r="G2946" s="1" t="s">
        <v>23</v>
      </c>
      <c r="H2946" s="1" t="s">
        <v>52</v>
      </c>
    </row>
    <row r="2947" spans="1:8">
      <c r="A2947" s="1" t="s">
        <v>2045</v>
      </c>
      <c r="B2947" s="1" t="s">
        <v>26</v>
      </c>
      <c r="C2947" s="1" t="s">
        <v>17</v>
      </c>
      <c r="D2947" s="1" t="s">
        <v>20</v>
      </c>
      <c r="E2947" s="12">
        <f>F2947/2</f>
        <v>0.22950000000000001</v>
      </c>
      <c r="F2947" s="12">
        <f>Systems!L147</f>
        <v>0.45900000000000002</v>
      </c>
      <c r="G2947" s="1" t="s">
        <v>23</v>
      </c>
      <c r="H2947" s="1" t="s">
        <v>52</v>
      </c>
    </row>
    <row r="2948" spans="1:8">
      <c r="A2948" s="1" t="s">
        <v>2161</v>
      </c>
      <c r="B2948" s="1" t="s">
        <v>26</v>
      </c>
      <c r="C2948" s="1" t="s">
        <v>17</v>
      </c>
      <c r="D2948" s="1" t="s">
        <v>20</v>
      </c>
      <c r="E2948" s="12">
        <f>F2948/128</f>
        <v>3.5859375000000001E-3</v>
      </c>
      <c r="F2948" s="12">
        <f>Systems!L147</f>
        <v>0.45900000000000002</v>
      </c>
      <c r="G2948" s="1" t="s">
        <v>23</v>
      </c>
      <c r="H2948" s="1" t="s">
        <v>52</v>
      </c>
    </row>
    <row r="2949" spans="1:8">
      <c r="A2949" s="1" t="s">
        <v>2169</v>
      </c>
      <c r="B2949" s="1" t="s">
        <v>26</v>
      </c>
      <c r="C2949" s="1" t="s">
        <v>17</v>
      </c>
      <c r="D2949" s="1" t="s">
        <v>20</v>
      </c>
      <c r="E2949" s="12">
        <f>F2949/16</f>
        <v>2.8687500000000001E-2</v>
      </c>
      <c r="F2949" s="12">
        <f>Systems!L147</f>
        <v>0.45900000000000002</v>
      </c>
      <c r="G2949" s="1" t="s">
        <v>23</v>
      </c>
      <c r="H2949" s="1" t="s">
        <v>52</v>
      </c>
    </row>
    <row r="2950" spans="1:8">
      <c r="A2950" s="1" t="s">
        <v>2192</v>
      </c>
      <c r="B2950" s="1" t="s">
        <v>26</v>
      </c>
      <c r="C2950" s="1" t="s">
        <v>17</v>
      </c>
      <c r="D2950" s="1" t="s">
        <v>20</v>
      </c>
      <c r="E2950" s="12">
        <f>F2950/128</f>
        <v>3.5859375000000001E-3</v>
      </c>
      <c r="F2950" s="12">
        <f>Systems!L147</f>
        <v>0.45900000000000002</v>
      </c>
      <c r="G2950" s="1" t="s">
        <v>23</v>
      </c>
      <c r="H2950" s="1" t="s">
        <v>52</v>
      </c>
    </row>
    <row r="2951" spans="1:8">
      <c r="A2951" s="1" t="s">
        <v>2335</v>
      </c>
      <c r="B2951" s="1" t="s">
        <v>26</v>
      </c>
      <c r="C2951" s="1" t="s">
        <v>17</v>
      </c>
      <c r="D2951" s="1" t="s">
        <v>20</v>
      </c>
      <c r="E2951" s="12">
        <f>F2951/4</f>
        <v>0.11475</v>
      </c>
      <c r="F2951" s="12">
        <f>Systems!L147</f>
        <v>0.45900000000000002</v>
      </c>
      <c r="G2951" s="1" t="s">
        <v>23</v>
      </c>
      <c r="H2951" s="1" t="s">
        <v>52</v>
      </c>
    </row>
    <row r="2952" spans="1:8">
      <c r="A2952" s="1" t="s">
        <v>2357</v>
      </c>
      <c r="B2952" s="1" t="s">
        <v>26</v>
      </c>
      <c r="C2952" s="1" t="s">
        <v>17</v>
      </c>
      <c r="D2952" s="1" t="s">
        <v>20</v>
      </c>
      <c r="E2952" s="12">
        <f>128*F2952</f>
        <v>58.752000000000002</v>
      </c>
      <c r="F2952" s="12">
        <f>Systems!L147</f>
        <v>0.45900000000000002</v>
      </c>
      <c r="G2952" s="1" t="s">
        <v>23</v>
      </c>
      <c r="H2952" s="1" t="s">
        <v>52</v>
      </c>
    </row>
    <row r="2953" spans="1:8">
      <c r="A2953" s="1" t="s">
        <v>2682</v>
      </c>
      <c r="B2953" s="1" t="s">
        <v>26</v>
      </c>
      <c r="C2953" s="1" t="s">
        <v>17</v>
      </c>
      <c r="D2953" s="1" t="s">
        <v>20</v>
      </c>
      <c r="E2953" s="12">
        <f>1728*F2953</f>
        <v>793.15200000000004</v>
      </c>
      <c r="F2953" s="12">
        <f>Systems!L147</f>
        <v>0.45900000000000002</v>
      </c>
      <c r="G2953" s="1" t="s">
        <v>23</v>
      </c>
      <c r="H2953" s="1" t="s">
        <v>52</v>
      </c>
    </row>
    <row r="2954" spans="1:8">
      <c r="A2954" s="248"/>
      <c r="B2954" s="248"/>
      <c r="C2954" s="248"/>
      <c r="D2954" s="248"/>
      <c r="E2954" s="250"/>
      <c r="F2954" s="250"/>
      <c r="G2954" s="248"/>
      <c r="H2954" s="248"/>
    </row>
    <row r="2955" spans="1:8" ht="16.5">
      <c r="A2955" s="1" t="s">
        <v>1331</v>
      </c>
      <c r="B2955" s="1" t="s">
        <v>26</v>
      </c>
      <c r="C2955" s="1" t="s">
        <v>3034</v>
      </c>
      <c r="D2955" s="1" t="s">
        <v>38</v>
      </c>
      <c r="E2955" s="12">
        <f>200*F2955</f>
        <v>786079.125</v>
      </c>
      <c r="F2955" s="12">
        <f>Systems!H148</f>
        <v>3930.3956250000001</v>
      </c>
      <c r="G2955" s="1" t="s">
        <v>39</v>
      </c>
      <c r="H2955" s="1" t="s">
        <v>7425</v>
      </c>
    </row>
    <row r="2956" spans="1:8" ht="16.5">
      <c r="A2956" s="1" t="s">
        <v>955</v>
      </c>
      <c r="B2956" s="1" t="s">
        <v>26</v>
      </c>
      <c r="C2956" s="1" t="s">
        <v>3034</v>
      </c>
      <c r="D2956" s="1" t="s">
        <v>38</v>
      </c>
      <c r="E2956" s="12">
        <f>F2956</f>
        <v>3930.3956250000001</v>
      </c>
      <c r="F2956" s="12">
        <f>Systems!H148</f>
        <v>3930.3956250000001</v>
      </c>
      <c r="G2956" s="1" t="s">
        <v>39</v>
      </c>
      <c r="H2956" s="1" t="s">
        <v>7425</v>
      </c>
    </row>
    <row r="2957" spans="1:8">
      <c r="A2957" s="248"/>
      <c r="B2957" s="248"/>
      <c r="C2957" s="248"/>
      <c r="D2957" s="248"/>
      <c r="E2957" s="250"/>
      <c r="F2957" s="250"/>
      <c r="G2957" s="248"/>
      <c r="H2957" s="248"/>
    </row>
    <row r="2958" spans="1:8">
      <c r="A2958" s="1" t="s">
        <v>1162</v>
      </c>
      <c r="B2958" s="1" t="s">
        <v>26</v>
      </c>
      <c r="C2958" s="1" t="s">
        <v>3033</v>
      </c>
      <c r="D2958" s="1" t="s">
        <v>19</v>
      </c>
      <c r="E2958" s="12">
        <f>F2958*120</f>
        <v>35.328000000000003</v>
      </c>
      <c r="F2958" s="12">
        <f>Systems!D149</f>
        <v>0.2944</v>
      </c>
      <c r="G2958" s="1" t="s">
        <v>14</v>
      </c>
      <c r="H2958" s="1" t="s">
        <v>40</v>
      </c>
    </row>
    <row r="2959" spans="1:8">
      <c r="A2959" s="1" t="s">
        <v>1457</v>
      </c>
      <c r="B2959" s="1" t="s">
        <v>26</v>
      </c>
      <c r="C2959" s="1" t="s">
        <v>3033</v>
      </c>
      <c r="D2959" s="1" t="s">
        <v>19</v>
      </c>
      <c r="E2959" s="12">
        <f>3*F2959/2</f>
        <v>0.44159999999999999</v>
      </c>
      <c r="F2959" s="12">
        <f>Systems!D149</f>
        <v>0.2944</v>
      </c>
      <c r="G2959" s="1" t="s">
        <v>14</v>
      </c>
      <c r="H2959" s="1" t="s">
        <v>40</v>
      </c>
    </row>
    <row r="2960" spans="1:8">
      <c r="A2960" s="1" t="s">
        <v>1458</v>
      </c>
      <c r="B2960" s="1" t="s">
        <v>26</v>
      </c>
      <c r="C2960" s="1" t="s">
        <v>3033</v>
      </c>
      <c r="D2960" s="1" t="s">
        <v>19</v>
      </c>
      <c r="E2960" s="12">
        <f>3*F2960/2</f>
        <v>0.44159999999999999</v>
      </c>
      <c r="F2960" s="12">
        <f>Systems!D149</f>
        <v>0.2944</v>
      </c>
      <c r="G2960" s="1" t="s">
        <v>14</v>
      </c>
      <c r="H2960" s="1" t="s">
        <v>40</v>
      </c>
    </row>
    <row r="2961" spans="1:8">
      <c r="A2961" s="1" t="s">
        <v>1421</v>
      </c>
      <c r="B2961" s="1" t="s">
        <v>26</v>
      </c>
      <c r="C2961" s="1" t="s">
        <v>3033</v>
      </c>
      <c r="D2961" s="1" t="s">
        <v>19</v>
      </c>
      <c r="E2961" s="12">
        <f>3*F2961/2</f>
        <v>0.44159999999999999</v>
      </c>
      <c r="F2961" s="12">
        <f>Systems!D149</f>
        <v>0.2944</v>
      </c>
      <c r="G2961" s="1" t="s">
        <v>14</v>
      </c>
      <c r="H2961" s="1" t="s">
        <v>40</v>
      </c>
    </row>
    <row r="2962" spans="1:8">
      <c r="A2962" s="1" t="s">
        <v>1493</v>
      </c>
      <c r="B2962" s="1" t="s">
        <v>26</v>
      </c>
      <c r="C2962" s="1" t="s">
        <v>3033</v>
      </c>
      <c r="D2962" s="1" t="s">
        <v>19</v>
      </c>
      <c r="E2962" s="12">
        <f>10*F2962</f>
        <v>2.944</v>
      </c>
      <c r="F2962" s="12">
        <f>Systems!D149</f>
        <v>0.2944</v>
      </c>
      <c r="G2962" s="1" t="s">
        <v>14</v>
      </c>
      <c r="H2962" s="1" t="s">
        <v>40</v>
      </c>
    </row>
    <row r="2963" spans="1:8">
      <c r="A2963" s="1" t="s">
        <v>5078</v>
      </c>
      <c r="B2963" s="1" t="s">
        <v>26</v>
      </c>
      <c r="C2963" s="1" t="s">
        <v>3033</v>
      </c>
      <c r="D2963" s="1" t="s">
        <v>19</v>
      </c>
      <c r="E2963" s="12">
        <f>10*F2963</f>
        <v>2.944</v>
      </c>
      <c r="F2963" s="12">
        <f>Systems!D149</f>
        <v>0.2944</v>
      </c>
      <c r="G2963" s="1" t="s">
        <v>14</v>
      </c>
      <c r="H2963" s="1" t="s">
        <v>40</v>
      </c>
    </row>
    <row r="2964" spans="1:8">
      <c r="A2964" s="1" t="s">
        <v>1527</v>
      </c>
      <c r="B2964" s="1" t="s">
        <v>26</v>
      </c>
      <c r="C2964" s="1" t="s">
        <v>3033</v>
      </c>
      <c r="D2964" s="1" t="s">
        <v>19</v>
      </c>
      <c r="E2964" s="12">
        <f>F2964/16</f>
        <v>1.84E-2</v>
      </c>
      <c r="F2964" s="12">
        <f>Systems!D149</f>
        <v>0.2944</v>
      </c>
      <c r="G2964" s="1" t="s">
        <v>14</v>
      </c>
      <c r="H2964" s="1" t="s">
        <v>40</v>
      </c>
    </row>
    <row r="2965" spans="1:8">
      <c r="A2965" s="1" t="s">
        <v>1238</v>
      </c>
      <c r="B2965" s="1" t="s">
        <v>26</v>
      </c>
      <c r="C2965" s="1" t="s">
        <v>3033</v>
      </c>
      <c r="D2965" s="1" t="s">
        <v>19</v>
      </c>
      <c r="E2965" s="12">
        <f>F2965/16</f>
        <v>1.84E-2</v>
      </c>
      <c r="F2965" s="12">
        <f>Systems!D149</f>
        <v>0.2944</v>
      </c>
      <c r="G2965" s="1" t="s">
        <v>14</v>
      </c>
      <c r="H2965" s="1" t="s">
        <v>40</v>
      </c>
    </row>
    <row r="2966" spans="1:8">
      <c r="A2966" s="1" t="s">
        <v>200</v>
      </c>
      <c r="B2966" s="1" t="s">
        <v>6949</v>
      </c>
      <c r="C2966" s="1" t="s">
        <v>3033</v>
      </c>
      <c r="D2966" s="1" t="s">
        <v>19</v>
      </c>
      <c r="E2966" s="12">
        <f>F2966</f>
        <v>0.2944</v>
      </c>
      <c r="F2966" s="12">
        <f>Systems!D149</f>
        <v>0.2944</v>
      </c>
      <c r="G2966" s="1" t="s">
        <v>14</v>
      </c>
      <c r="H2966" s="1" t="s">
        <v>40</v>
      </c>
    </row>
    <row r="2967" spans="1:8">
      <c r="A2967" s="1" t="s">
        <v>1691</v>
      </c>
      <c r="B2967" s="1" t="s">
        <v>26</v>
      </c>
      <c r="C2967" s="1" t="s">
        <v>3033</v>
      </c>
      <c r="D2967" s="1" t="s">
        <v>19</v>
      </c>
      <c r="E2967" s="12">
        <f>5*F2967/2</f>
        <v>0.73599999999999999</v>
      </c>
      <c r="F2967" s="12">
        <f>Systems!D149</f>
        <v>0.2944</v>
      </c>
      <c r="G2967" s="1" t="s">
        <v>14</v>
      </c>
      <c r="H2967" s="1" t="s">
        <v>40</v>
      </c>
    </row>
    <row r="2968" spans="1:8">
      <c r="A2968" s="1" t="s">
        <v>5079</v>
      </c>
      <c r="B2968" s="1" t="s">
        <v>26</v>
      </c>
      <c r="C2968" s="1" t="s">
        <v>3033</v>
      </c>
      <c r="D2968" s="1" t="s">
        <v>19</v>
      </c>
      <c r="E2968" s="12">
        <f>5*F2968/2</f>
        <v>0.73599999999999999</v>
      </c>
      <c r="F2968" s="12">
        <f>Systems!D149</f>
        <v>0.2944</v>
      </c>
      <c r="G2968" s="1" t="s">
        <v>14</v>
      </c>
      <c r="H2968" s="1" t="s">
        <v>40</v>
      </c>
    </row>
    <row r="2969" spans="1:8">
      <c r="A2969" s="1" t="s">
        <v>1945</v>
      </c>
      <c r="B2969" s="1" t="s">
        <v>26</v>
      </c>
      <c r="C2969" s="1" t="s">
        <v>3033</v>
      </c>
      <c r="D2969" s="1" t="s">
        <v>19</v>
      </c>
      <c r="E2969" s="12">
        <f>7500*F2969</f>
        <v>2221.5</v>
      </c>
      <c r="F2969" s="12">
        <f>Systems!D150</f>
        <v>0.29620000000000002</v>
      </c>
      <c r="G2969" s="1" t="s">
        <v>14</v>
      </c>
      <c r="H2969" s="1" t="s">
        <v>40</v>
      </c>
    </row>
    <row r="2970" spans="1:8">
      <c r="A2970" s="1" t="s">
        <v>1951</v>
      </c>
      <c r="B2970" s="1" t="s">
        <v>26</v>
      </c>
      <c r="C2970" s="1" t="s">
        <v>3033</v>
      </c>
      <c r="D2970" s="1" t="s">
        <v>19</v>
      </c>
      <c r="E2970" s="12">
        <f>7500*F2970</f>
        <v>2208</v>
      </c>
      <c r="F2970" s="12">
        <f>Systems!D149</f>
        <v>0.2944</v>
      </c>
      <c r="G2970" s="1" t="s">
        <v>14</v>
      </c>
      <c r="H2970" s="1" t="s">
        <v>40</v>
      </c>
    </row>
    <row r="2971" spans="1:8">
      <c r="A2971" s="1" t="s">
        <v>1952</v>
      </c>
      <c r="B2971" s="1" t="s">
        <v>26</v>
      </c>
      <c r="C2971" s="1" t="s">
        <v>3033</v>
      </c>
      <c r="D2971" s="1" t="s">
        <v>19</v>
      </c>
      <c r="E2971" s="12">
        <f>7500*F2971</f>
        <v>2208</v>
      </c>
      <c r="F2971" s="12">
        <f>Systems!D149</f>
        <v>0.2944</v>
      </c>
      <c r="G2971" s="1" t="s">
        <v>14</v>
      </c>
      <c r="H2971" s="1" t="s">
        <v>40</v>
      </c>
    </row>
    <row r="2972" spans="1:8">
      <c r="A2972" s="1" t="s">
        <v>5080</v>
      </c>
      <c r="B2972" s="1" t="s">
        <v>26</v>
      </c>
      <c r="C2972" s="1" t="s">
        <v>3033</v>
      </c>
      <c r="D2972" s="1" t="s">
        <v>19</v>
      </c>
      <c r="E2972" s="12">
        <f>5000*F2972</f>
        <v>1472</v>
      </c>
      <c r="F2972" s="12">
        <f>Systems!D149</f>
        <v>0.2944</v>
      </c>
      <c r="G2972" s="1" t="s">
        <v>14</v>
      </c>
      <c r="H2972" s="1" t="s">
        <v>40</v>
      </c>
    </row>
    <row r="2973" spans="1:8">
      <c r="A2973" s="1" t="s">
        <v>5081</v>
      </c>
      <c r="B2973" s="1" t="s">
        <v>26</v>
      </c>
      <c r="C2973" s="1" t="s">
        <v>3033</v>
      </c>
      <c r="D2973" s="1" t="s">
        <v>19</v>
      </c>
      <c r="E2973" s="12">
        <f>5000*F2973</f>
        <v>1472</v>
      </c>
      <c r="F2973" s="12">
        <f>Systems!D149</f>
        <v>0.2944</v>
      </c>
      <c r="G2973" s="1" t="s">
        <v>14</v>
      </c>
      <c r="H2973" s="1" t="s">
        <v>40</v>
      </c>
    </row>
    <row r="2974" spans="1:8">
      <c r="A2974" s="1" t="s">
        <v>2074</v>
      </c>
      <c r="B2974" s="1" t="s">
        <v>26</v>
      </c>
      <c r="C2974" s="1" t="s">
        <v>3033</v>
      </c>
      <c r="D2974" s="1" t="s">
        <v>19</v>
      </c>
      <c r="E2974" s="12">
        <f>5000*F2974</f>
        <v>1472</v>
      </c>
      <c r="F2974" s="12">
        <f>Systems!D149</f>
        <v>0.2944</v>
      </c>
      <c r="G2974" s="1" t="s">
        <v>14</v>
      </c>
      <c r="H2974" s="1" t="s">
        <v>40</v>
      </c>
    </row>
    <row r="2975" spans="1:8">
      <c r="A2975" s="1" t="s">
        <v>2214</v>
      </c>
      <c r="B2975" s="1" t="s">
        <v>26</v>
      </c>
      <c r="C2975" s="1" t="s">
        <v>3033</v>
      </c>
      <c r="D2975" s="1" t="s">
        <v>19</v>
      </c>
      <c r="E2975" s="12">
        <f>5*F2975/4</f>
        <v>0.36799999999999999</v>
      </c>
      <c r="F2975" s="12">
        <f>Systems!D149</f>
        <v>0.2944</v>
      </c>
      <c r="G2975" s="1" t="s">
        <v>14</v>
      </c>
      <c r="H2975" s="1" t="s">
        <v>40</v>
      </c>
    </row>
    <row r="2976" spans="1:8">
      <c r="A2976" s="1" t="s">
        <v>2217</v>
      </c>
      <c r="B2976" s="1" t="s">
        <v>26</v>
      </c>
      <c r="C2976" s="1" t="s">
        <v>3033</v>
      </c>
      <c r="D2976" s="1" t="s">
        <v>19</v>
      </c>
      <c r="E2976" s="12">
        <f>F2976/4</f>
        <v>7.3599999999999999E-2</v>
      </c>
      <c r="F2976" s="12">
        <f>Systems!D149</f>
        <v>0.2944</v>
      </c>
      <c r="G2976" s="1" t="s">
        <v>14</v>
      </c>
      <c r="H2976" s="1" t="s">
        <v>40</v>
      </c>
    </row>
    <row r="2977" spans="1:8">
      <c r="A2977" s="1" t="s">
        <v>5082</v>
      </c>
      <c r="B2977" s="1" t="s">
        <v>26</v>
      </c>
      <c r="C2977" s="1" t="s">
        <v>3033</v>
      </c>
      <c r="D2977" s="1" t="s">
        <v>19</v>
      </c>
      <c r="E2977" s="12">
        <f>3*F2977/4</f>
        <v>0.2208</v>
      </c>
      <c r="F2977" s="12">
        <f>Systems!D149</f>
        <v>0.2944</v>
      </c>
      <c r="G2977" s="1" t="s">
        <v>14</v>
      </c>
      <c r="H2977" s="1" t="s">
        <v>40</v>
      </c>
    </row>
    <row r="2978" spans="1:8">
      <c r="A2978" s="1" t="s">
        <v>2235</v>
      </c>
      <c r="B2978" s="1" t="s">
        <v>26</v>
      </c>
      <c r="C2978" s="1" t="s">
        <v>3033</v>
      </c>
      <c r="D2978" s="1" t="s">
        <v>19</v>
      </c>
      <c r="E2978" s="12">
        <f>5*F2978</f>
        <v>1.472</v>
      </c>
      <c r="F2978" s="12">
        <f>Systems!D149</f>
        <v>0.2944</v>
      </c>
      <c r="G2978" s="1" t="s">
        <v>14</v>
      </c>
      <c r="H2978" s="1" t="s">
        <v>40</v>
      </c>
    </row>
    <row r="2979" spans="1:8">
      <c r="A2979" s="1" t="s">
        <v>2249</v>
      </c>
      <c r="B2979" s="1" t="s">
        <v>26</v>
      </c>
      <c r="C2979" s="1" t="s">
        <v>3033</v>
      </c>
      <c r="D2979" s="1" t="s">
        <v>19</v>
      </c>
      <c r="E2979" s="12">
        <f>F2979</f>
        <v>0.2944</v>
      </c>
      <c r="F2979" s="12">
        <f>Systems!D149</f>
        <v>0.2944</v>
      </c>
      <c r="G2979" s="1" t="s">
        <v>14</v>
      </c>
      <c r="H2979" s="1" t="s">
        <v>40</v>
      </c>
    </row>
    <row r="2980" spans="1:8">
      <c r="A2980" s="1" t="s">
        <v>5083</v>
      </c>
      <c r="B2980" s="1" t="s">
        <v>26</v>
      </c>
      <c r="C2980" s="1" t="s">
        <v>3033</v>
      </c>
      <c r="D2980" s="1" t="s">
        <v>19</v>
      </c>
      <c r="E2980" s="12">
        <f>F2980</f>
        <v>0.29620000000000002</v>
      </c>
      <c r="F2980" s="12">
        <f>Systems!D150</f>
        <v>0.29620000000000002</v>
      </c>
      <c r="G2980" s="1" t="s">
        <v>14</v>
      </c>
      <c r="H2980" s="1" t="s">
        <v>40</v>
      </c>
    </row>
    <row r="2981" spans="1:8">
      <c r="A2981" s="1" t="s">
        <v>5084</v>
      </c>
      <c r="B2981" s="1" t="s">
        <v>26</v>
      </c>
      <c r="C2981" s="1" t="s">
        <v>3033</v>
      </c>
      <c r="D2981" s="1" t="s">
        <v>19</v>
      </c>
      <c r="E2981" s="12">
        <f>F2981</f>
        <v>0.29670000000000002</v>
      </c>
      <c r="F2981" s="12">
        <f>Systems!D151</f>
        <v>0.29670000000000002</v>
      </c>
      <c r="G2981" s="1" t="s">
        <v>14</v>
      </c>
      <c r="H2981" s="1" t="s">
        <v>40</v>
      </c>
    </row>
    <row r="2982" spans="1:8">
      <c r="A2982" s="1" t="s">
        <v>5085</v>
      </c>
      <c r="B2982" s="1" t="s">
        <v>26</v>
      </c>
      <c r="C2982" s="1" t="s">
        <v>3033</v>
      </c>
      <c r="D2982" s="1" t="s">
        <v>19</v>
      </c>
      <c r="E2982" s="12">
        <f>F2982</f>
        <v>0.3196</v>
      </c>
      <c r="F2982" s="12">
        <f>Systems!D152</f>
        <v>0.3196</v>
      </c>
      <c r="G2982" s="1" t="s">
        <v>14</v>
      </c>
      <c r="H2982" s="1" t="s">
        <v>40</v>
      </c>
    </row>
    <row r="2983" spans="1:8">
      <c r="A2983" s="1" t="s">
        <v>2288</v>
      </c>
      <c r="B2983" s="1" t="s">
        <v>26</v>
      </c>
      <c r="C2983" s="1" t="s">
        <v>3033</v>
      </c>
      <c r="D2983" s="1" t="s">
        <v>19</v>
      </c>
      <c r="E2983" s="12">
        <f>F2983/12</f>
        <v>2.4533333333333334E-2</v>
      </c>
      <c r="F2983" s="12">
        <f>Systems!D149</f>
        <v>0.2944</v>
      </c>
      <c r="G2983" s="1" t="s">
        <v>14</v>
      </c>
      <c r="H2983" s="1" t="s">
        <v>40</v>
      </c>
    </row>
    <row r="2984" spans="1:8">
      <c r="A2984" s="1" t="s">
        <v>2448</v>
      </c>
      <c r="B2984" s="1" t="s">
        <v>26</v>
      </c>
      <c r="C2984" s="1" t="s">
        <v>3033</v>
      </c>
      <c r="D2984" s="1" t="s">
        <v>19</v>
      </c>
      <c r="E2984" s="12">
        <f>20000*F2984</f>
        <v>5924</v>
      </c>
      <c r="F2984" s="12">
        <f>Systems!D150</f>
        <v>0.29620000000000002</v>
      </c>
      <c r="G2984" s="1" t="s">
        <v>14</v>
      </c>
      <c r="H2984" s="1" t="s">
        <v>40</v>
      </c>
    </row>
    <row r="2985" spans="1:8">
      <c r="A2985" s="1" t="s">
        <v>2554</v>
      </c>
      <c r="B2985" s="1" t="s">
        <v>26</v>
      </c>
      <c r="C2985" s="1" t="s">
        <v>3033</v>
      </c>
      <c r="D2985" s="1" t="s">
        <v>19</v>
      </c>
      <c r="E2985" s="12">
        <f>625*F2985</f>
        <v>199.75</v>
      </c>
      <c r="F2985" s="12">
        <f>Systems!D152</f>
        <v>0.3196</v>
      </c>
      <c r="G2985" s="1" t="s">
        <v>14</v>
      </c>
      <c r="H2985" s="1" t="s">
        <v>40</v>
      </c>
    </row>
    <row r="2986" spans="1:8">
      <c r="A2986" s="1" t="s">
        <v>2739</v>
      </c>
      <c r="B2986" s="1" t="s">
        <v>26</v>
      </c>
      <c r="C2986" s="1" t="s">
        <v>3033</v>
      </c>
      <c r="D2986" s="1" t="s">
        <v>19</v>
      </c>
      <c r="E2986" s="12">
        <f>F2986/12</f>
        <v>2.4533333333333334E-2</v>
      </c>
      <c r="F2986" s="12">
        <f>Systems!D149</f>
        <v>0.2944</v>
      </c>
      <c r="G2986" s="1" t="s">
        <v>14</v>
      </c>
      <c r="H2986" s="1" t="s">
        <v>40</v>
      </c>
    </row>
    <row r="2987" spans="1:8" ht="16.5">
      <c r="A2987" s="1" t="s">
        <v>1161</v>
      </c>
      <c r="B2987" s="1" t="s">
        <v>26</v>
      </c>
      <c r="C2987" s="1" t="s">
        <v>3034</v>
      </c>
      <c r="D2987" s="1" t="s">
        <v>38</v>
      </c>
      <c r="E2987" s="12">
        <f>F2987*14400</f>
        <v>1263.3759360000001</v>
      </c>
      <c r="F2987" s="12">
        <f>Systems!H150</f>
        <v>8.7734440000000011E-2</v>
      </c>
      <c r="G2987" s="1" t="s">
        <v>39</v>
      </c>
      <c r="H2987" s="1" t="s">
        <v>40</v>
      </c>
    </row>
    <row r="2988" spans="1:8" ht="16.5">
      <c r="A2988" s="1" t="s">
        <v>5086</v>
      </c>
      <c r="B2988" s="1" t="s">
        <v>26</v>
      </c>
      <c r="C2988" s="1" t="s">
        <v>3034</v>
      </c>
      <c r="D2988" s="1" t="s">
        <v>38</v>
      </c>
      <c r="E2988" s="12">
        <f>F2988*14400</f>
        <v>1263.3759360000001</v>
      </c>
      <c r="F2988" s="12">
        <f>Systems!H150</f>
        <v>8.7734440000000011E-2</v>
      </c>
      <c r="G2988" s="1" t="s">
        <v>39</v>
      </c>
      <c r="H2988" s="1" t="s">
        <v>40</v>
      </c>
    </row>
    <row r="2989" spans="1:8" ht="16.5">
      <c r="A2989" s="1" t="s">
        <v>5087</v>
      </c>
      <c r="B2989" s="1" t="s">
        <v>26</v>
      </c>
      <c r="C2989" s="1" t="s">
        <v>3034</v>
      </c>
      <c r="D2989" s="1" t="s">
        <v>38</v>
      </c>
      <c r="E2989" s="12">
        <f>F2989*480</f>
        <v>42.112531200000006</v>
      </c>
      <c r="F2989" s="12">
        <f>Systems!H150</f>
        <v>8.7734440000000011E-2</v>
      </c>
      <c r="G2989" s="1" t="s">
        <v>39</v>
      </c>
      <c r="H2989" s="1" t="s">
        <v>40</v>
      </c>
    </row>
    <row r="2990" spans="1:8" ht="16.5">
      <c r="A2990" s="1" t="s">
        <v>1289</v>
      </c>
      <c r="B2990" s="1" t="s">
        <v>26</v>
      </c>
      <c r="C2990" s="1" t="s">
        <v>3034</v>
      </c>
      <c r="D2990" s="1" t="s">
        <v>38</v>
      </c>
      <c r="E2990" s="12">
        <f>19200*F2990</f>
        <v>1684.5012480000003</v>
      </c>
      <c r="F2990" s="12">
        <f>Systems!H150</f>
        <v>8.7734440000000011E-2</v>
      </c>
      <c r="G2990" s="1" t="s">
        <v>39</v>
      </c>
      <c r="H2990" s="1" t="s">
        <v>40</v>
      </c>
    </row>
    <row r="2991" spans="1:8" ht="16.5">
      <c r="A2991" s="1" t="s">
        <v>1377</v>
      </c>
      <c r="B2991" s="1" t="s">
        <v>26</v>
      </c>
      <c r="C2991" s="1" t="s">
        <v>3034</v>
      </c>
      <c r="D2991" s="1" t="s">
        <v>38</v>
      </c>
      <c r="E2991" s="12">
        <f>5760000*F2991</f>
        <v>505350.37440000009</v>
      </c>
      <c r="F2991" s="12">
        <f>Systems!H150</f>
        <v>8.7734440000000011E-2</v>
      </c>
      <c r="G2991" s="1" t="s">
        <v>39</v>
      </c>
      <c r="H2991" s="1" t="s">
        <v>40</v>
      </c>
    </row>
    <row r="2992" spans="1:8" ht="16.5">
      <c r="A2992" s="1" t="s">
        <v>1378</v>
      </c>
      <c r="B2992" s="1" t="s">
        <v>26</v>
      </c>
      <c r="C2992" s="1" t="s">
        <v>3034</v>
      </c>
      <c r="D2992" s="1" t="s">
        <v>38</v>
      </c>
      <c r="E2992" s="12">
        <f>5760000*F2992</f>
        <v>505350.37440000009</v>
      </c>
      <c r="F2992" s="12">
        <f>Systems!H150</f>
        <v>8.7734440000000011E-2</v>
      </c>
      <c r="G2992" s="1" t="s">
        <v>39</v>
      </c>
      <c r="H2992" s="1" t="s">
        <v>40</v>
      </c>
    </row>
    <row r="2993" spans="1:8" ht="16.5">
      <c r="A2993" s="1" t="s">
        <v>1418</v>
      </c>
      <c r="B2993" s="1" t="s">
        <v>26</v>
      </c>
      <c r="C2993" s="1" t="s">
        <v>3034</v>
      </c>
      <c r="D2993" s="1" t="s">
        <v>38</v>
      </c>
      <c r="E2993" s="12">
        <f>3600*F2993</f>
        <v>315.84398400000003</v>
      </c>
      <c r="F2993" s="12">
        <f>Systems!H150</f>
        <v>8.7734440000000011E-2</v>
      </c>
      <c r="G2993" s="1" t="s">
        <v>39</v>
      </c>
      <c r="H2993" s="1" t="s">
        <v>40</v>
      </c>
    </row>
    <row r="2994" spans="1:8" ht="16.5">
      <c r="A2994" s="1" t="s">
        <v>5088</v>
      </c>
      <c r="B2994" s="1" t="s">
        <v>26</v>
      </c>
      <c r="C2994" s="1" t="s">
        <v>3034</v>
      </c>
      <c r="D2994" s="1" t="s">
        <v>38</v>
      </c>
      <c r="E2994" s="12">
        <f>100*F2994</f>
        <v>8.6671360000000011</v>
      </c>
      <c r="F2994" s="12">
        <f>Systems!H149</f>
        <v>8.6671360000000003E-2</v>
      </c>
      <c r="G2994" s="1" t="s">
        <v>39</v>
      </c>
      <c r="H2994" s="1" t="s">
        <v>40</v>
      </c>
    </row>
    <row r="2995" spans="1:8" ht="16.5">
      <c r="A2995" s="1" t="s">
        <v>1512</v>
      </c>
      <c r="B2995" s="1" t="s">
        <v>26</v>
      </c>
      <c r="C2995" s="1" t="s">
        <v>3034</v>
      </c>
      <c r="D2995" s="1" t="s">
        <v>38</v>
      </c>
      <c r="E2995" s="12">
        <f>26400*F2995</f>
        <v>2316.1892160000002</v>
      </c>
      <c r="F2995" s="12">
        <f>Systems!H150</f>
        <v>8.7734440000000011E-2</v>
      </c>
      <c r="G2995" s="1" t="s">
        <v>39</v>
      </c>
      <c r="H2995" s="1" t="s">
        <v>40</v>
      </c>
    </row>
    <row r="2996" spans="1:8" ht="16.5">
      <c r="A2996" s="1" t="s">
        <v>1513</v>
      </c>
      <c r="B2996" s="1" t="s">
        <v>26</v>
      </c>
      <c r="C2996" s="1" t="s">
        <v>3034</v>
      </c>
      <c r="D2996" s="1" t="s">
        <v>38</v>
      </c>
      <c r="E2996" s="12">
        <f>24000*F2996</f>
        <v>2105.6265600000002</v>
      </c>
      <c r="F2996" s="12">
        <f>Systems!H150</f>
        <v>8.7734440000000011E-2</v>
      </c>
      <c r="G2996" s="1" t="s">
        <v>39</v>
      </c>
      <c r="H2996" s="1" t="s">
        <v>40</v>
      </c>
    </row>
    <row r="2997" spans="1:8" ht="16.5">
      <c r="A2997" s="1" t="s">
        <v>5089</v>
      </c>
      <c r="B2997" s="1" t="s">
        <v>26</v>
      </c>
      <c r="C2997" s="1" t="s">
        <v>3034</v>
      </c>
      <c r="D2997" s="1" t="s">
        <v>38</v>
      </c>
      <c r="E2997" s="12">
        <f>50*F2997</f>
        <v>4.3867220000000007</v>
      </c>
      <c r="F2997" s="12">
        <f>Systems!H150</f>
        <v>8.7734440000000011E-2</v>
      </c>
      <c r="G2997" s="1" t="s">
        <v>39</v>
      </c>
      <c r="H2997" s="1" t="s">
        <v>40</v>
      </c>
    </row>
    <row r="2998" spans="1:8" ht="16.5">
      <c r="A2998" s="1" t="s">
        <v>1537</v>
      </c>
      <c r="B2998" s="1" t="s">
        <v>26</v>
      </c>
      <c r="C2998" s="1" t="s">
        <v>3034</v>
      </c>
      <c r="D2998" s="1" t="s">
        <v>38</v>
      </c>
      <c r="E2998" s="12">
        <f>21600*F2998</f>
        <v>1895.0639040000003</v>
      </c>
      <c r="F2998" s="12">
        <f>Systems!H150</f>
        <v>8.7734440000000011E-2</v>
      </c>
      <c r="G2998" s="1" t="s">
        <v>39</v>
      </c>
      <c r="H2998" s="1" t="s">
        <v>40</v>
      </c>
    </row>
    <row r="2999" spans="1:8" ht="16.5">
      <c r="A2999" s="1" t="s">
        <v>5090</v>
      </c>
      <c r="B2999" s="1" t="s">
        <v>26</v>
      </c>
      <c r="C2999" s="1" t="s">
        <v>3034</v>
      </c>
      <c r="D2999" s="1" t="s">
        <v>38</v>
      </c>
      <c r="E2999" s="12">
        <f>200*F2999</f>
        <v>17.546888000000003</v>
      </c>
      <c r="F2999" s="12">
        <f>Systems!H150</f>
        <v>8.7734440000000011E-2</v>
      </c>
      <c r="G2999" s="1" t="s">
        <v>39</v>
      </c>
      <c r="H2999" s="1" t="s">
        <v>40</v>
      </c>
    </row>
    <row r="3000" spans="1:8" ht="16.5">
      <c r="A3000" s="1" t="s">
        <v>1739</v>
      </c>
      <c r="B3000" s="1" t="s">
        <v>26</v>
      </c>
      <c r="C3000" s="1" t="s">
        <v>3034</v>
      </c>
      <c r="D3000" s="1" t="s">
        <v>38</v>
      </c>
      <c r="E3000" s="12">
        <f>57600*F3000</f>
        <v>5053.5037440000006</v>
      </c>
      <c r="F3000" s="12">
        <f>Systems!H150</f>
        <v>8.7734440000000011E-2</v>
      </c>
      <c r="G3000" s="1" t="s">
        <v>39</v>
      </c>
      <c r="H3000" s="1" t="s">
        <v>40</v>
      </c>
    </row>
    <row r="3001" spans="1:8" ht="16.5">
      <c r="A3001" s="1" t="s">
        <v>1781</v>
      </c>
      <c r="B3001" s="1" t="s">
        <v>26</v>
      </c>
      <c r="C3001" s="1" t="s">
        <v>3034</v>
      </c>
      <c r="D3001" s="1" t="s">
        <v>38</v>
      </c>
      <c r="E3001" s="12">
        <f>28800*F3001</f>
        <v>2526.7518720000003</v>
      </c>
      <c r="F3001" s="12">
        <f>Systems!H150</f>
        <v>8.7734440000000011E-2</v>
      </c>
      <c r="G3001" s="1" t="s">
        <v>39</v>
      </c>
      <c r="H3001" s="1" t="s">
        <v>40</v>
      </c>
    </row>
    <row r="3002" spans="1:8" ht="16.5">
      <c r="A3002" s="1" t="s">
        <v>2331</v>
      </c>
      <c r="B3002" s="1" t="s">
        <v>26</v>
      </c>
      <c r="C3002" s="1" t="s">
        <v>3034</v>
      </c>
      <c r="D3002" s="1" t="s">
        <v>38</v>
      </c>
      <c r="E3002" s="12">
        <f>7200*F3002</f>
        <v>631.68796800000007</v>
      </c>
      <c r="F3002" s="12">
        <f>Systems!H150</f>
        <v>8.7734440000000011E-2</v>
      </c>
      <c r="G3002" s="1" t="s">
        <v>39</v>
      </c>
      <c r="H3002" s="1" t="s">
        <v>40</v>
      </c>
    </row>
    <row r="3003" spans="1:8" ht="16.5">
      <c r="A3003" s="1" t="s">
        <v>5092</v>
      </c>
      <c r="B3003" s="1" t="s">
        <v>26</v>
      </c>
      <c r="C3003" s="1" t="s">
        <v>3034</v>
      </c>
      <c r="D3003" s="1" t="s">
        <v>38</v>
      </c>
      <c r="E3003" s="12">
        <f>F3003</f>
        <v>8.7734440000000011E-2</v>
      </c>
      <c r="F3003" s="12">
        <f>Systems!H150</f>
        <v>8.7734440000000011E-2</v>
      </c>
      <c r="G3003" s="1" t="s">
        <v>39</v>
      </c>
      <c r="H3003" s="1" t="s">
        <v>40</v>
      </c>
    </row>
    <row r="3004" spans="1:8" ht="16.5">
      <c r="A3004" s="1" t="s">
        <v>5091</v>
      </c>
      <c r="B3004" s="1" t="s">
        <v>26</v>
      </c>
      <c r="C3004" s="1" t="s">
        <v>3034</v>
      </c>
      <c r="D3004" s="1" t="s">
        <v>38</v>
      </c>
      <c r="E3004" s="12">
        <f>F3004</f>
        <v>8.8030890000000001E-2</v>
      </c>
      <c r="F3004" s="12">
        <f>Systems!H151</f>
        <v>8.8030890000000001E-2</v>
      </c>
      <c r="G3004" s="1" t="s">
        <v>39</v>
      </c>
      <c r="H3004" s="1" t="s">
        <v>40</v>
      </c>
    </row>
    <row r="3005" spans="1:8" ht="16.5">
      <c r="A3005" s="1" t="s">
        <v>5093</v>
      </c>
      <c r="B3005" s="1" t="s">
        <v>26</v>
      </c>
      <c r="C3005" s="1" t="s">
        <v>3034</v>
      </c>
      <c r="D3005" s="1" t="s">
        <v>38</v>
      </c>
      <c r="E3005" s="12">
        <f>F3005</f>
        <v>8.6671360000000003E-2</v>
      </c>
      <c r="F3005" s="12">
        <f>Systems!H149</f>
        <v>8.6671360000000003E-2</v>
      </c>
      <c r="G3005" s="1" t="s">
        <v>39</v>
      </c>
      <c r="H3005" s="1" t="s">
        <v>40</v>
      </c>
    </row>
    <row r="3006" spans="1:8" ht="16.5">
      <c r="A3006" s="1" t="s">
        <v>5094</v>
      </c>
      <c r="B3006" s="1" t="s">
        <v>26</v>
      </c>
      <c r="C3006" s="1" t="s">
        <v>3034</v>
      </c>
      <c r="D3006" s="1" t="s">
        <v>38</v>
      </c>
      <c r="E3006" s="12">
        <f>F3006</f>
        <v>0.10214416</v>
      </c>
      <c r="F3006" s="12">
        <f>Systems!H152</f>
        <v>0.10214416</v>
      </c>
      <c r="G3006" s="1" t="s">
        <v>39</v>
      </c>
      <c r="H3006" s="1" t="s">
        <v>40</v>
      </c>
    </row>
    <row r="3007" spans="1:8" ht="16.5">
      <c r="A3007" s="1" t="s">
        <v>2355</v>
      </c>
      <c r="B3007" s="1" t="s">
        <v>26</v>
      </c>
      <c r="C3007" s="1" t="s">
        <v>3034</v>
      </c>
      <c r="D3007" s="1" t="s">
        <v>38</v>
      </c>
      <c r="E3007" s="12">
        <f>12000*F3007</f>
        <v>1052.8132800000001</v>
      </c>
      <c r="F3007" s="12">
        <f>Systems!H150</f>
        <v>8.7734440000000011E-2</v>
      </c>
      <c r="G3007" s="1" t="s">
        <v>39</v>
      </c>
      <c r="H3007" s="1" t="s">
        <v>40</v>
      </c>
    </row>
    <row r="3008" spans="1:8" ht="16.5">
      <c r="A3008" s="1" t="s">
        <v>2429</v>
      </c>
      <c r="B3008" s="1" t="s">
        <v>26</v>
      </c>
      <c r="C3008" s="1" t="s">
        <v>3034</v>
      </c>
      <c r="D3008" s="1" t="s">
        <v>38</v>
      </c>
      <c r="E3008" s="12">
        <f>23040000*F3008</f>
        <v>2021401.4976000004</v>
      </c>
      <c r="F3008" s="12">
        <f>Systems!H150</f>
        <v>8.7734440000000011E-2</v>
      </c>
      <c r="G3008" s="1" t="s">
        <v>39</v>
      </c>
      <c r="H3008" s="1" t="s">
        <v>40</v>
      </c>
    </row>
    <row r="3009" spans="1:8" ht="16.5">
      <c r="A3009" s="1" t="s">
        <v>2458</v>
      </c>
      <c r="B3009" s="4" t="s">
        <v>26</v>
      </c>
      <c r="C3009" s="1" t="s">
        <v>3034</v>
      </c>
      <c r="D3009" s="1" t="s">
        <v>38</v>
      </c>
      <c r="E3009" s="12">
        <f>100*F3009</f>
        <v>8.7734440000000014</v>
      </c>
      <c r="F3009" s="12">
        <f>Systems!H150</f>
        <v>8.7734440000000011E-2</v>
      </c>
      <c r="G3009" s="1" t="s">
        <v>39</v>
      </c>
      <c r="H3009" s="1" t="s">
        <v>40</v>
      </c>
    </row>
    <row r="3010" spans="1:8" ht="16.5">
      <c r="A3010" s="1" t="s">
        <v>2471</v>
      </c>
      <c r="B3010" s="1" t="s">
        <v>26</v>
      </c>
      <c r="C3010" s="1" t="s">
        <v>3034</v>
      </c>
      <c r="D3010" s="1" t="s">
        <v>38</v>
      </c>
      <c r="E3010" s="12">
        <f>14400*F3010</f>
        <v>1263.3759360000001</v>
      </c>
      <c r="F3010" s="12">
        <f>Systems!H150</f>
        <v>8.7734440000000011E-2</v>
      </c>
      <c r="G3010" s="1" t="s">
        <v>39</v>
      </c>
      <c r="H3010" s="1" t="s">
        <v>40</v>
      </c>
    </row>
    <row r="3011" spans="1:8" ht="16.5">
      <c r="A3011" s="1" t="s">
        <v>2474</v>
      </c>
      <c r="B3011" s="1" t="s">
        <v>26</v>
      </c>
      <c r="C3011" s="1" t="s">
        <v>3034</v>
      </c>
      <c r="D3011" s="1" t="s">
        <v>38</v>
      </c>
      <c r="E3011" s="12">
        <f>1200*F3011</f>
        <v>105.28132800000002</v>
      </c>
      <c r="F3011" s="12">
        <f>Systems!H150</f>
        <v>8.7734440000000011E-2</v>
      </c>
      <c r="G3011" s="1" t="s">
        <v>39</v>
      </c>
      <c r="H3011" s="1" t="s">
        <v>40</v>
      </c>
    </row>
    <row r="3012" spans="1:8" ht="16.5">
      <c r="A3012" s="1" t="s">
        <v>2480</v>
      </c>
      <c r="B3012" s="1" t="s">
        <v>26</v>
      </c>
      <c r="C3012" s="1" t="s">
        <v>3034</v>
      </c>
      <c r="D3012" s="1" t="s">
        <v>38</v>
      </c>
      <c r="E3012" s="12">
        <f>16800*F3012</f>
        <v>1473.9385920000002</v>
      </c>
      <c r="F3012" s="12">
        <f>Systems!H150</f>
        <v>8.7734440000000011E-2</v>
      </c>
      <c r="G3012" s="1" t="s">
        <v>39</v>
      </c>
      <c r="H3012" s="1" t="s">
        <v>40</v>
      </c>
    </row>
    <row r="3013" spans="1:8" ht="16.5">
      <c r="A3013" s="1" t="s">
        <v>2489</v>
      </c>
      <c r="B3013" s="1" t="s">
        <v>26</v>
      </c>
      <c r="C3013" s="1" t="s">
        <v>3034</v>
      </c>
      <c r="D3013" s="1" t="s">
        <v>38</v>
      </c>
      <c r="E3013" s="12">
        <f>4800*F3013</f>
        <v>421.12531200000006</v>
      </c>
      <c r="F3013" s="12">
        <f>Systems!H150</f>
        <v>8.7734440000000011E-2</v>
      </c>
      <c r="G3013" s="1" t="s">
        <v>39</v>
      </c>
      <c r="H3013" s="1" t="s">
        <v>40</v>
      </c>
    </row>
    <row r="3014" spans="1:8" ht="16.5">
      <c r="A3014" s="1" t="s">
        <v>2492</v>
      </c>
      <c r="B3014" s="1" t="s">
        <v>26</v>
      </c>
      <c r="C3014" s="1" t="s">
        <v>3034</v>
      </c>
      <c r="D3014" s="1" t="s">
        <v>38</v>
      </c>
      <c r="E3014" s="12">
        <f>400*F3014</f>
        <v>35.093776000000005</v>
      </c>
      <c r="F3014" s="12">
        <f>Systems!H150</f>
        <v>8.7734440000000011E-2</v>
      </c>
      <c r="G3014" s="1" t="s">
        <v>39</v>
      </c>
      <c r="H3014" s="1" t="s">
        <v>40</v>
      </c>
    </row>
    <row r="3015" spans="1:8" ht="16.5">
      <c r="A3015" s="1" t="s">
        <v>5095</v>
      </c>
      <c r="B3015" s="1" t="s">
        <v>26</v>
      </c>
      <c r="C3015" s="1" t="s">
        <v>3034</v>
      </c>
      <c r="D3015" s="1" t="s">
        <v>38</v>
      </c>
      <c r="E3015" s="12">
        <f>400*F3015</f>
        <v>35.093776000000005</v>
      </c>
      <c r="F3015" s="12">
        <f>Systems!H150</f>
        <v>8.7734440000000011E-2</v>
      </c>
      <c r="G3015" s="1" t="s">
        <v>39</v>
      </c>
      <c r="H3015" s="1" t="s">
        <v>40</v>
      </c>
    </row>
    <row r="3016" spans="1:8" ht="16.5">
      <c r="A3016" s="1" t="s">
        <v>2513</v>
      </c>
      <c r="B3016" s="1" t="s">
        <v>26</v>
      </c>
      <c r="C3016" s="1" t="s">
        <v>3034</v>
      </c>
      <c r="D3016" s="1" t="s">
        <v>38</v>
      </c>
      <c r="E3016" s="12">
        <f>600*F3016</f>
        <v>52.640664000000008</v>
      </c>
      <c r="F3016" s="12">
        <f>Systems!H150</f>
        <v>8.7734440000000011E-2</v>
      </c>
      <c r="G3016" s="1" t="s">
        <v>39</v>
      </c>
      <c r="H3016" s="1" t="s">
        <v>40</v>
      </c>
    </row>
    <row r="3017" spans="1:8" ht="16.5">
      <c r="A3017" s="1" t="s">
        <v>2701</v>
      </c>
      <c r="B3017" s="1" t="s">
        <v>26</v>
      </c>
      <c r="C3017" s="1" t="s">
        <v>3034</v>
      </c>
      <c r="D3017" s="1" t="s">
        <v>38</v>
      </c>
      <c r="E3017" s="12">
        <f>9600*F3017</f>
        <v>842.25062400000013</v>
      </c>
      <c r="F3017" s="12">
        <f>Systems!H150</f>
        <v>8.7734440000000011E-2</v>
      </c>
      <c r="G3017" s="1" t="s">
        <v>39</v>
      </c>
      <c r="H3017" s="1" t="s">
        <v>40</v>
      </c>
    </row>
    <row r="3018" spans="1:8" ht="16.5">
      <c r="A3018" s="1" t="s">
        <v>2739</v>
      </c>
      <c r="B3018" s="1" t="s">
        <v>26</v>
      </c>
      <c r="C3018" s="1" t="s">
        <v>3034</v>
      </c>
      <c r="D3018" s="1" t="s">
        <v>38</v>
      </c>
      <c r="E3018" s="12">
        <f>2400*F3018</f>
        <v>210.56265600000003</v>
      </c>
      <c r="F3018" s="12">
        <f>Systems!H150</f>
        <v>8.7734440000000011E-2</v>
      </c>
      <c r="G3018" s="1" t="s">
        <v>39</v>
      </c>
      <c r="H3018" s="1" t="s">
        <v>40</v>
      </c>
    </row>
    <row r="3019" spans="1:8" ht="16.5">
      <c r="A3019" s="1" t="s">
        <v>2768</v>
      </c>
      <c r="B3019" s="1" t="s">
        <v>26</v>
      </c>
      <c r="C3019" s="1" t="s">
        <v>3034</v>
      </c>
      <c r="D3019" s="1" t="s">
        <v>38</v>
      </c>
      <c r="E3019" s="12">
        <f>10000*F3019</f>
        <v>877.34440000000006</v>
      </c>
      <c r="F3019" s="12">
        <f>Systems!H150</f>
        <v>8.7734440000000011E-2</v>
      </c>
      <c r="G3019" s="1" t="s">
        <v>39</v>
      </c>
      <c r="H3019" s="1" t="s">
        <v>40</v>
      </c>
    </row>
    <row r="3020" spans="1:8" ht="16.5">
      <c r="A3020" s="1" t="s">
        <v>1157</v>
      </c>
      <c r="B3020" s="1" t="s">
        <v>26</v>
      </c>
      <c r="C3020" s="1" t="s">
        <v>2936</v>
      </c>
      <c r="D3020" s="1" t="s">
        <v>32</v>
      </c>
      <c r="E3020" s="12">
        <f>F3020/128</f>
        <v>6.8659999999999997E-5</v>
      </c>
      <c r="F3020" s="12">
        <f>Systems!T149</f>
        <v>8.7884799999999996E-3</v>
      </c>
      <c r="G3020" s="1" t="s">
        <v>33</v>
      </c>
      <c r="H3020" s="1" t="s">
        <v>40</v>
      </c>
    </row>
    <row r="3021" spans="1:8" ht="16.5">
      <c r="A3021" s="1" t="s">
        <v>1439</v>
      </c>
      <c r="B3021" s="1" t="s">
        <v>26</v>
      </c>
      <c r="C3021" s="1" t="s">
        <v>2936</v>
      </c>
      <c r="D3021" s="1" t="s">
        <v>32</v>
      </c>
      <c r="E3021" s="12">
        <f>F3021/32</f>
        <v>2.7463999999999999E-4</v>
      </c>
      <c r="F3021" s="12">
        <f>Systems!T149</f>
        <v>8.7884799999999996E-3</v>
      </c>
      <c r="G3021" s="1" t="s">
        <v>33</v>
      </c>
      <c r="H3021" s="1" t="s">
        <v>40</v>
      </c>
    </row>
    <row r="3022" spans="1:8" ht="16.5">
      <c r="A3022" s="1" t="s">
        <v>1471</v>
      </c>
      <c r="B3022" s="1" t="s">
        <v>26</v>
      </c>
      <c r="C3022" s="1" t="s">
        <v>2936</v>
      </c>
      <c r="D3022" s="1" t="s">
        <v>32</v>
      </c>
      <c r="E3022" s="12">
        <f>F3022/192</f>
        <v>4.5773333333333331E-5</v>
      </c>
      <c r="F3022" s="12">
        <f>Systems!T149</f>
        <v>8.7884799999999996E-3</v>
      </c>
      <c r="G3022" s="1" t="s">
        <v>33</v>
      </c>
      <c r="H3022" s="1" t="s">
        <v>40</v>
      </c>
    </row>
    <row r="3023" spans="1:8" ht="16.5">
      <c r="A3023" s="1" t="s">
        <v>1736</v>
      </c>
      <c r="B3023" s="1" t="s">
        <v>26</v>
      </c>
      <c r="C3023" s="1" t="s">
        <v>2936</v>
      </c>
      <c r="D3023" s="1" t="s">
        <v>32</v>
      </c>
      <c r="E3023" s="12">
        <f>F3023/32</f>
        <v>2.7463999999999999E-4</v>
      </c>
      <c r="F3023" s="12">
        <f>Systems!T149</f>
        <v>8.7884799999999996E-3</v>
      </c>
      <c r="G3023" s="1" t="s">
        <v>33</v>
      </c>
      <c r="H3023" s="1" t="s">
        <v>40</v>
      </c>
    </row>
    <row r="3024" spans="1:8" ht="16.5">
      <c r="A3024" s="1" t="s">
        <v>1961</v>
      </c>
      <c r="B3024" s="1" t="s">
        <v>26</v>
      </c>
      <c r="C3024" s="1" t="s">
        <v>2936</v>
      </c>
      <c r="D3024" s="1" t="s">
        <v>32</v>
      </c>
      <c r="E3024" s="12">
        <f>F3024/768</f>
        <v>1.1443333333333333E-5</v>
      </c>
      <c r="F3024" s="12">
        <f>Systems!T149</f>
        <v>8.7884799999999996E-3</v>
      </c>
      <c r="G3024" s="1" t="s">
        <v>33</v>
      </c>
      <c r="H3024" s="1" t="s">
        <v>40</v>
      </c>
    </row>
    <row r="3025" spans="1:8" ht="16.5">
      <c r="A3025" s="1" t="s">
        <v>807</v>
      </c>
      <c r="B3025" s="1" t="s">
        <v>26</v>
      </c>
      <c r="C3025" s="1" t="s">
        <v>2936</v>
      </c>
      <c r="D3025" s="1" t="s">
        <v>32</v>
      </c>
      <c r="E3025" s="12">
        <f>F3025</f>
        <v>8.7884799999999996E-3</v>
      </c>
      <c r="F3025" s="12">
        <f>Systems!T149</f>
        <v>8.7884799999999996E-3</v>
      </c>
      <c r="G3025" s="1" t="s">
        <v>33</v>
      </c>
      <c r="H3025" s="1" t="s">
        <v>40</v>
      </c>
    </row>
    <row r="3026" spans="1:8" ht="16.5">
      <c r="A3026" s="1" t="s">
        <v>5096</v>
      </c>
      <c r="B3026" s="1" t="s">
        <v>26</v>
      </c>
      <c r="C3026" s="1" t="s">
        <v>2936</v>
      </c>
      <c r="D3026" s="1" t="s">
        <v>32</v>
      </c>
      <c r="E3026" s="12">
        <f>3*F3026/2</f>
        <v>1.3182719999999998E-2</v>
      </c>
      <c r="F3026" s="12">
        <f>Systems!T149</f>
        <v>8.7884799999999996E-3</v>
      </c>
      <c r="G3026" s="1" t="s">
        <v>33</v>
      </c>
      <c r="H3026" s="1" t="s">
        <v>40</v>
      </c>
    </row>
    <row r="3027" spans="1:8" ht="16.5">
      <c r="A3027" s="1" t="s">
        <v>2097</v>
      </c>
      <c r="B3027" s="1" t="s">
        <v>26</v>
      </c>
      <c r="C3027" s="1" t="s">
        <v>2936</v>
      </c>
      <c r="D3027" s="1" t="s">
        <v>32</v>
      </c>
      <c r="E3027" s="12">
        <f>F3027</f>
        <v>8.7884799999999996E-3</v>
      </c>
      <c r="F3027" s="12">
        <f>Systems!T149</f>
        <v>8.7884799999999996E-3</v>
      </c>
      <c r="G3027" s="1" t="s">
        <v>33</v>
      </c>
      <c r="H3027" s="1" t="s">
        <v>40</v>
      </c>
    </row>
    <row r="3028" spans="1:8" ht="16.5">
      <c r="A3028" s="1" t="s">
        <v>2332</v>
      </c>
      <c r="B3028" s="1" t="s">
        <v>26</v>
      </c>
      <c r="C3028" s="1" t="s">
        <v>2936</v>
      </c>
      <c r="D3028" s="1" t="s">
        <v>32</v>
      </c>
      <c r="E3028" s="12">
        <f>3*F3028</f>
        <v>2.6365439999999997E-2</v>
      </c>
      <c r="F3028" s="12">
        <f>Systems!T149</f>
        <v>8.7884799999999996E-3</v>
      </c>
      <c r="G3028" s="1" t="s">
        <v>33</v>
      </c>
      <c r="H3028" s="1" t="s">
        <v>40</v>
      </c>
    </row>
    <row r="3029" spans="1:8" ht="16.5">
      <c r="A3029" s="1" t="s">
        <v>2337</v>
      </c>
      <c r="B3029" s="1" t="s">
        <v>26</v>
      </c>
      <c r="C3029" s="1" t="s">
        <v>2936</v>
      </c>
      <c r="D3029" s="1" t="s">
        <v>32</v>
      </c>
      <c r="E3029" s="12">
        <f>F3029/64</f>
        <v>1.3731999999999999E-4</v>
      </c>
      <c r="F3029" s="12">
        <f>Systems!T149</f>
        <v>8.7884799999999996E-3</v>
      </c>
      <c r="G3029" s="1" t="s">
        <v>33</v>
      </c>
      <c r="H3029" s="1" t="s">
        <v>40</v>
      </c>
    </row>
    <row r="3030" spans="1:8" ht="16.5">
      <c r="A3030" s="1" t="s">
        <v>2470</v>
      </c>
      <c r="B3030" s="1" t="s">
        <v>26</v>
      </c>
      <c r="C3030" s="1" t="s">
        <v>2936</v>
      </c>
      <c r="D3030" s="1" t="s">
        <v>32</v>
      </c>
      <c r="E3030" s="12">
        <f>F3030/2</f>
        <v>4.3942399999999998E-3</v>
      </c>
      <c r="F3030" s="12">
        <f>Systems!T149</f>
        <v>8.7884799999999996E-3</v>
      </c>
      <c r="G3030" s="1" t="s">
        <v>33</v>
      </c>
      <c r="H3030" s="1" t="s">
        <v>40</v>
      </c>
    </row>
    <row r="3031" spans="1:8" ht="16.5">
      <c r="A3031" s="1" t="s">
        <v>808</v>
      </c>
      <c r="B3031" s="1" t="s">
        <v>26</v>
      </c>
      <c r="C3031" s="1" t="s">
        <v>2936</v>
      </c>
      <c r="D3031" s="1" t="s">
        <v>32</v>
      </c>
      <c r="E3031" s="12">
        <f>F3031/16</f>
        <v>5.4927999999999997E-4</v>
      </c>
      <c r="F3031" s="12">
        <f>Systems!T149</f>
        <v>8.7884799999999996E-3</v>
      </c>
      <c r="G3031" s="1" t="s">
        <v>33</v>
      </c>
      <c r="H3031" s="1" t="s">
        <v>40</v>
      </c>
    </row>
    <row r="3032" spans="1:8" ht="16.5">
      <c r="A3032" s="1" t="s">
        <v>1157</v>
      </c>
      <c r="B3032" s="1" t="s">
        <v>26</v>
      </c>
      <c r="C3032" s="1" t="s">
        <v>2935</v>
      </c>
      <c r="D3032" s="1" t="s">
        <v>32</v>
      </c>
      <c r="E3032" s="12">
        <f>F3032/8</f>
        <v>6.8659999999999997E-5</v>
      </c>
      <c r="F3032" s="12">
        <f>Systems!P149</f>
        <v>5.4927999999999997E-4</v>
      </c>
      <c r="G3032" s="1" t="s">
        <v>33</v>
      </c>
      <c r="H3032" s="1" t="s">
        <v>40</v>
      </c>
    </row>
    <row r="3033" spans="1:8" ht="16.5">
      <c r="A3033" s="1" t="s">
        <v>1961</v>
      </c>
      <c r="B3033" s="1" t="s">
        <v>26</v>
      </c>
      <c r="C3033" s="1" t="s">
        <v>2935</v>
      </c>
      <c r="D3033" s="1" t="s">
        <v>32</v>
      </c>
      <c r="E3033" s="12">
        <f>F3033/48</f>
        <v>1.1443333333333333E-5</v>
      </c>
      <c r="F3033" s="12">
        <f>Systems!P149</f>
        <v>5.4927999999999997E-4</v>
      </c>
      <c r="G3033" s="1" t="s">
        <v>33</v>
      </c>
      <c r="H3033" s="1" t="s">
        <v>40</v>
      </c>
    </row>
    <row r="3034" spans="1:8" ht="16.5">
      <c r="A3034" s="1" t="s">
        <v>803</v>
      </c>
      <c r="B3034" s="1" t="s">
        <v>26</v>
      </c>
      <c r="C3034" s="1" t="s">
        <v>2935</v>
      </c>
      <c r="D3034" s="1" t="s">
        <v>32</v>
      </c>
      <c r="E3034" s="12">
        <f>48*F3034</f>
        <v>2.6365439999999997E-2</v>
      </c>
      <c r="F3034" s="12">
        <f>Systems!P149</f>
        <v>5.4927999999999997E-4</v>
      </c>
      <c r="G3034" s="1" t="s">
        <v>33</v>
      </c>
      <c r="H3034" s="1" t="s">
        <v>40</v>
      </c>
    </row>
    <row r="3035" spans="1:8" ht="16.5">
      <c r="A3035" s="1" t="s">
        <v>5097</v>
      </c>
      <c r="B3035" s="1" t="s">
        <v>26</v>
      </c>
      <c r="C3035" s="1" t="s">
        <v>2935</v>
      </c>
      <c r="D3035" s="1" t="s">
        <v>32</v>
      </c>
      <c r="E3035" s="12">
        <f>48*F3035</f>
        <v>2.6365439999999997E-2</v>
      </c>
      <c r="F3035" s="12">
        <f>Systems!P149</f>
        <v>5.4927999999999997E-4</v>
      </c>
      <c r="G3035" s="1" t="s">
        <v>33</v>
      </c>
      <c r="H3035" s="1" t="s">
        <v>40</v>
      </c>
    </row>
    <row r="3036" spans="1:8" ht="16.5">
      <c r="A3036" s="1" t="s">
        <v>906</v>
      </c>
      <c r="B3036" s="1" t="s">
        <v>26</v>
      </c>
      <c r="C3036" s="1" t="s">
        <v>2935</v>
      </c>
      <c r="D3036" s="1" t="s">
        <v>32</v>
      </c>
      <c r="E3036" s="12">
        <f>3*F3036/2</f>
        <v>8.239199999999999E-4</v>
      </c>
      <c r="F3036" s="12">
        <f>Systems!P149</f>
        <v>5.4927999999999997E-4</v>
      </c>
      <c r="G3036" s="1" t="s">
        <v>33</v>
      </c>
      <c r="H3036" s="1" t="s">
        <v>40</v>
      </c>
    </row>
    <row r="3037" spans="1:8" ht="16.5">
      <c r="A3037" s="1" t="s">
        <v>1420</v>
      </c>
      <c r="C3037" s="1" t="s">
        <v>2935</v>
      </c>
      <c r="D3037" s="1" t="s">
        <v>32</v>
      </c>
      <c r="E3037" s="12">
        <f>F3037/48</f>
        <v>1.1443333333333333E-5</v>
      </c>
      <c r="F3037" s="12">
        <f>Systems!P149</f>
        <v>5.4927999999999997E-4</v>
      </c>
      <c r="G3037" s="1" t="s">
        <v>33</v>
      </c>
      <c r="H3037" s="1" t="s">
        <v>40</v>
      </c>
    </row>
    <row r="3038" spans="1:8" ht="16.5">
      <c r="A3038" s="1" t="s">
        <v>1430</v>
      </c>
      <c r="B3038" s="1" t="s">
        <v>26</v>
      </c>
      <c r="C3038" s="1" t="s">
        <v>2935</v>
      </c>
      <c r="D3038" s="1" t="s">
        <v>32</v>
      </c>
      <c r="E3038" s="12">
        <f>6*F3038</f>
        <v>3.2956799999999996E-3</v>
      </c>
      <c r="F3038" s="12">
        <f>Systems!P149</f>
        <v>5.4927999999999997E-4</v>
      </c>
      <c r="G3038" s="1" t="s">
        <v>33</v>
      </c>
      <c r="H3038" s="1" t="s">
        <v>40</v>
      </c>
    </row>
    <row r="3039" spans="1:8" ht="16.5">
      <c r="A3039" s="1" t="s">
        <v>1439</v>
      </c>
      <c r="B3039" s="1" t="s">
        <v>26</v>
      </c>
      <c r="C3039" s="1" t="s">
        <v>2935</v>
      </c>
      <c r="D3039" s="1" t="s">
        <v>32</v>
      </c>
      <c r="E3039" s="12">
        <f>F3039/2</f>
        <v>2.7463999999999999E-4</v>
      </c>
      <c r="F3039" s="12">
        <f>Systems!P149</f>
        <v>5.4927999999999997E-4</v>
      </c>
      <c r="G3039" s="1" t="s">
        <v>33</v>
      </c>
      <c r="H3039" s="1" t="s">
        <v>40</v>
      </c>
    </row>
    <row r="3040" spans="1:8" ht="16.5">
      <c r="A3040" s="1" t="s">
        <v>1462</v>
      </c>
      <c r="B3040" s="1" t="s">
        <v>26</v>
      </c>
      <c r="C3040" s="1" t="s">
        <v>2935</v>
      </c>
      <c r="D3040" s="1" t="s">
        <v>32</v>
      </c>
      <c r="E3040" s="12">
        <f>960*F3040</f>
        <v>0.52730880000000002</v>
      </c>
      <c r="F3040" s="12">
        <f>Systems!P149</f>
        <v>5.4927999999999997E-4</v>
      </c>
      <c r="G3040" s="1" t="s">
        <v>33</v>
      </c>
      <c r="H3040" s="1" t="s">
        <v>40</v>
      </c>
    </row>
    <row r="3041" spans="1:8" ht="16.5">
      <c r="A3041" s="1" t="s">
        <v>1464</v>
      </c>
      <c r="B3041" s="1" t="s">
        <v>26</v>
      </c>
      <c r="C3041" s="1" t="s">
        <v>2935</v>
      </c>
      <c r="D3041" s="1" t="s">
        <v>32</v>
      </c>
      <c r="E3041" s="12">
        <f>960*F3041</f>
        <v>0.52730880000000002</v>
      </c>
      <c r="F3041" s="12">
        <f>Systems!P149</f>
        <v>5.4927999999999997E-4</v>
      </c>
      <c r="G3041" s="1" t="s">
        <v>33</v>
      </c>
      <c r="H3041" s="1" t="s">
        <v>40</v>
      </c>
    </row>
    <row r="3042" spans="1:8" ht="16.5">
      <c r="A3042" s="1" t="s">
        <v>1471</v>
      </c>
      <c r="B3042" s="1" t="s">
        <v>26</v>
      </c>
      <c r="C3042" s="1" t="s">
        <v>2935</v>
      </c>
      <c r="D3042" s="1" t="s">
        <v>32</v>
      </c>
      <c r="E3042" s="12">
        <f>F3042/12</f>
        <v>4.5773333333333331E-5</v>
      </c>
      <c r="F3042" s="12">
        <f>Systems!P149</f>
        <v>5.4927999999999997E-4</v>
      </c>
      <c r="G3042" s="1" t="s">
        <v>33</v>
      </c>
      <c r="H3042" s="1" t="s">
        <v>40</v>
      </c>
    </row>
    <row r="3043" spans="1:8" ht="16.5">
      <c r="A3043" s="1" t="s">
        <v>1540</v>
      </c>
      <c r="B3043" s="1" t="s">
        <v>26</v>
      </c>
      <c r="C3043" s="1" t="s">
        <v>2935</v>
      </c>
      <c r="D3043" s="1" t="s">
        <v>32</v>
      </c>
      <c r="E3043" s="12">
        <f>960*F3043</f>
        <v>0.52730880000000002</v>
      </c>
      <c r="F3043" s="12">
        <f>Systems!P149</f>
        <v>5.4927999999999997E-4</v>
      </c>
      <c r="G3043" s="1" t="s">
        <v>33</v>
      </c>
      <c r="H3043" s="1" t="s">
        <v>40</v>
      </c>
    </row>
    <row r="3044" spans="1:8" ht="16.5">
      <c r="A3044" s="1" t="s">
        <v>1736</v>
      </c>
      <c r="B3044" s="1" t="s">
        <v>26</v>
      </c>
      <c r="C3044" s="1" t="s">
        <v>2935</v>
      </c>
      <c r="D3044" s="1" t="s">
        <v>32</v>
      </c>
      <c r="E3044" s="12">
        <f>F3044/2</f>
        <v>2.7463999999999999E-4</v>
      </c>
      <c r="F3044" s="12">
        <f>Systems!P149</f>
        <v>5.4927999999999997E-4</v>
      </c>
      <c r="G3044" s="1" t="s">
        <v>33</v>
      </c>
      <c r="H3044" s="1" t="s">
        <v>40</v>
      </c>
    </row>
    <row r="3045" spans="1:8" ht="16.5">
      <c r="A3045" s="1" t="s">
        <v>2835</v>
      </c>
      <c r="B3045" s="1" t="s">
        <v>26</v>
      </c>
      <c r="C3045" s="1" t="s">
        <v>2935</v>
      </c>
      <c r="D3045" s="1" t="s">
        <v>32</v>
      </c>
      <c r="E3045" s="12">
        <f>48*F3045</f>
        <v>2.6365439999999997E-2</v>
      </c>
      <c r="F3045" s="12">
        <f>Systems!P149</f>
        <v>5.4927999999999997E-4</v>
      </c>
      <c r="G3045" s="1" t="s">
        <v>33</v>
      </c>
      <c r="H3045" s="1" t="s">
        <v>40</v>
      </c>
    </row>
    <row r="3046" spans="1:8" ht="16.5">
      <c r="A3046" s="1" t="s">
        <v>2337</v>
      </c>
      <c r="B3046" s="1" t="s">
        <v>26</v>
      </c>
      <c r="C3046" s="1" t="s">
        <v>2935</v>
      </c>
      <c r="D3046" s="1" t="s">
        <v>32</v>
      </c>
      <c r="E3046" s="12">
        <f>F3046/4</f>
        <v>1.3731999999999999E-4</v>
      </c>
      <c r="F3046" s="12">
        <f>Systems!P149</f>
        <v>5.4927999999999997E-4</v>
      </c>
      <c r="G3046" s="1" t="s">
        <v>33</v>
      </c>
      <c r="H3046" s="1" t="s">
        <v>40</v>
      </c>
    </row>
    <row r="3047" spans="1:8" ht="16.5">
      <c r="A3047" s="1" t="s">
        <v>2348</v>
      </c>
      <c r="B3047" s="1" t="s">
        <v>26</v>
      </c>
      <c r="C3047" s="1" t="s">
        <v>2935</v>
      </c>
      <c r="D3047" s="1" t="s">
        <v>32</v>
      </c>
      <c r="E3047" s="12">
        <f>F3047/4</f>
        <v>1.3731999999999999E-4</v>
      </c>
      <c r="F3047" s="12">
        <f>Systems!P149</f>
        <v>5.4927999999999997E-4</v>
      </c>
      <c r="G3047" s="1" t="s">
        <v>33</v>
      </c>
      <c r="H3047" s="1" t="s">
        <v>40</v>
      </c>
    </row>
    <row r="3048" spans="1:8" ht="16.5">
      <c r="A3048" s="1" t="s">
        <v>2475</v>
      </c>
      <c r="B3048" s="1" t="s">
        <v>26</v>
      </c>
      <c r="C3048" s="1" t="s">
        <v>2935</v>
      </c>
      <c r="D3048" s="1" t="s">
        <v>32</v>
      </c>
      <c r="E3048" s="12">
        <f>8*F3048</f>
        <v>4.3942399999999998E-3</v>
      </c>
      <c r="F3048" s="12">
        <f>Systems!P149</f>
        <v>5.4927999999999997E-4</v>
      </c>
      <c r="G3048" s="1" t="s">
        <v>33</v>
      </c>
      <c r="H3048" s="1" t="s">
        <v>40</v>
      </c>
    </row>
    <row r="3049" spans="1:8" ht="16.5">
      <c r="A3049" s="1" t="s">
        <v>808</v>
      </c>
      <c r="B3049" s="1" t="s">
        <v>26</v>
      </c>
      <c r="C3049" s="1" t="s">
        <v>2935</v>
      </c>
      <c r="D3049" s="1" t="s">
        <v>32</v>
      </c>
      <c r="E3049" s="12">
        <f>F3049</f>
        <v>5.4927999999999997E-4</v>
      </c>
      <c r="F3049" s="12">
        <f>Systems!P149</f>
        <v>5.4927999999999997E-4</v>
      </c>
      <c r="G3049" s="1" t="s">
        <v>33</v>
      </c>
      <c r="H3049" s="1" t="s">
        <v>40</v>
      </c>
    </row>
    <row r="3050" spans="1:8" ht="16.5">
      <c r="A3050" s="1" t="s">
        <v>2748</v>
      </c>
      <c r="B3050" s="1" t="s">
        <v>26</v>
      </c>
      <c r="C3050" s="1" t="s">
        <v>2935</v>
      </c>
      <c r="D3050" s="1" t="s">
        <v>32</v>
      </c>
      <c r="E3050" s="12">
        <f>24*F3050</f>
        <v>1.3182719999999998E-2</v>
      </c>
      <c r="F3050" s="12">
        <f>Systems!P149</f>
        <v>5.4927999999999997E-4</v>
      </c>
      <c r="G3050" s="1" t="s">
        <v>33</v>
      </c>
      <c r="H3050" s="1" t="s">
        <v>40</v>
      </c>
    </row>
    <row r="3051" spans="1:8">
      <c r="A3051" s="1" t="s">
        <v>1289</v>
      </c>
      <c r="B3051" s="1" t="s">
        <v>26</v>
      </c>
      <c r="C3051" s="1" t="s">
        <v>17</v>
      </c>
      <c r="D3051" s="1" t="s">
        <v>20</v>
      </c>
      <c r="E3051" s="12">
        <f>8*F3051</f>
        <v>0.218</v>
      </c>
      <c r="F3051" s="12">
        <f>Systems!L149</f>
        <v>2.725E-2</v>
      </c>
      <c r="G3051" s="1" t="s">
        <v>23</v>
      </c>
      <c r="H3051" s="1" t="s">
        <v>40</v>
      </c>
    </row>
    <row r="3052" spans="1:8">
      <c r="A3052" s="1" t="s">
        <v>1290</v>
      </c>
      <c r="B3052" s="1" t="s">
        <v>26</v>
      </c>
      <c r="C3052" s="1" t="s">
        <v>17</v>
      </c>
      <c r="D3052" s="1" t="s">
        <v>20</v>
      </c>
      <c r="E3052" s="12">
        <f>8*F3052</f>
        <v>0.218</v>
      </c>
      <c r="F3052" s="12">
        <f>Systems!L149</f>
        <v>2.725E-2</v>
      </c>
      <c r="G3052" s="1" t="s">
        <v>23</v>
      </c>
      <c r="H3052" s="1" t="s">
        <v>40</v>
      </c>
    </row>
    <row r="3053" spans="1:8">
      <c r="A3053" s="1" t="s">
        <v>5098</v>
      </c>
      <c r="B3053" s="1" t="s">
        <v>26</v>
      </c>
      <c r="C3053" s="1" t="s">
        <v>17</v>
      </c>
      <c r="D3053" s="1" t="s">
        <v>20</v>
      </c>
      <c r="E3053" s="12">
        <f>1200*F3053</f>
        <v>32.700000000000003</v>
      </c>
      <c r="F3053" s="12">
        <f>Systems!L149</f>
        <v>2.725E-2</v>
      </c>
      <c r="G3053" s="1" t="s">
        <v>23</v>
      </c>
      <c r="H3053" s="1" t="s">
        <v>40</v>
      </c>
    </row>
    <row r="3054" spans="1:8">
      <c r="A3054" s="1" t="s">
        <v>5099</v>
      </c>
      <c r="B3054" s="1" t="s">
        <v>26</v>
      </c>
      <c r="C3054" s="1" t="s">
        <v>17</v>
      </c>
      <c r="D3054" s="1" t="s">
        <v>20</v>
      </c>
      <c r="E3054" s="12">
        <f>F3054/12</f>
        <v>2.2708333333333335E-3</v>
      </c>
      <c r="F3054" s="12">
        <f>Systems!L149</f>
        <v>2.725E-2</v>
      </c>
      <c r="G3054" s="1" t="s">
        <v>23</v>
      </c>
      <c r="H3054" s="1" t="s">
        <v>40</v>
      </c>
    </row>
    <row r="3055" spans="1:8">
      <c r="A3055" s="1" t="s">
        <v>1501</v>
      </c>
      <c r="B3055" s="1" t="s">
        <v>26</v>
      </c>
      <c r="C3055" s="1" t="s">
        <v>17</v>
      </c>
      <c r="D3055" s="1" t="s">
        <v>20</v>
      </c>
      <c r="E3055" s="12">
        <f>F3055/7</f>
        <v>3.8928571428571428E-3</v>
      </c>
      <c r="F3055" s="12">
        <f>Systems!L149</f>
        <v>2.725E-2</v>
      </c>
      <c r="G3055" s="1" t="s">
        <v>23</v>
      </c>
      <c r="H3055" s="1" t="s">
        <v>40</v>
      </c>
    </row>
    <row r="3056" spans="1:8">
      <c r="A3056" s="1" t="s">
        <v>176</v>
      </c>
      <c r="B3056" s="1" t="s">
        <v>26</v>
      </c>
      <c r="C3056" s="1" t="s">
        <v>17</v>
      </c>
      <c r="D3056" s="1" t="s">
        <v>20</v>
      </c>
      <c r="E3056" s="12">
        <f>F3056/8</f>
        <v>3.40625E-3</v>
      </c>
      <c r="F3056" s="12">
        <f>Systems!L149</f>
        <v>2.725E-2</v>
      </c>
      <c r="G3056" s="1" t="s">
        <v>23</v>
      </c>
      <c r="H3056" s="1" t="s">
        <v>40</v>
      </c>
    </row>
    <row r="3057" spans="1:8">
      <c r="A3057" s="1" t="s">
        <v>1512</v>
      </c>
      <c r="B3057" s="1" t="s">
        <v>26</v>
      </c>
      <c r="C3057" s="1" t="s">
        <v>17</v>
      </c>
      <c r="D3057" s="1" t="s">
        <v>20</v>
      </c>
      <c r="E3057" s="12">
        <f>11*F3057</f>
        <v>0.29975000000000002</v>
      </c>
      <c r="F3057" s="12">
        <f>Systems!L149</f>
        <v>2.725E-2</v>
      </c>
      <c r="G3057" s="1" t="s">
        <v>23</v>
      </c>
      <c r="H3057" s="1" t="s">
        <v>40</v>
      </c>
    </row>
    <row r="3058" spans="1:8">
      <c r="A3058" s="1" t="s">
        <v>1513</v>
      </c>
      <c r="B3058" s="1" t="s">
        <v>26</v>
      </c>
      <c r="C3058" s="1" t="s">
        <v>17</v>
      </c>
      <c r="D3058" s="1" t="s">
        <v>20</v>
      </c>
      <c r="E3058" s="12">
        <f>10*F3058</f>
        <v>0.27250000000000002</v>
      </c>
      <c r="F3058" s="12">
        <f>Systems!L149</f>
        <v>2.725E-2</v>
      </c>
      <c r="G3058" s="1" t="s">
        <v>23</v>
      </c>
      <c r="H3058" s="1" t="s">
        <v>40</v>
      </c>
    </row>
    <row r="3059" spans="1:8">
      <c r="A3059" s="1" t="s">
        <v>1537</v>
      </c>
      <c r="B3059" s="1" t="s">
        <v>26</v>
      </c>
      <c r="C3059" s="1" t="s">
        <v>17</v>
      </c>
      <c r="D3059" s="1" t="s">
        <v>20</v>
      </c>
      <c r="E3059" s="12">
        <f>9*F3059</f>
        <v>0.24525</v>
      </c>
      <c r="F3059" s="12">
        <f>Systems!L149</f>
        <v>2.725E-2</v>
      </c>
      <c r="G3059" s="1" t="s">
        <v>23</v>
      </c>
      <c r="H3059" s="1" t="s">
        <v>40</v>
      </c>
    </row>
    <row r="3060" spans="1:8">
      <c r="A3060" s="1" t="s">
        <v>1560</v>
      </c>
      <c r="B3060" s="1" t="s">
        <v>26</v>
      </c>
      <c r="C3060" s="1" t="s">
        <v>17</v>
      </c>
      <c r="D3060" s="1" t="s">
        <v>20</v>
      </c>
      <c r="E3060" s="12">
        <f>F3060/3</f>
        <v>9.0833333333333339E-3</v>
      </c>
      <c r="F3060" s="12">
        <f>Systems!L149</f>
        <v>2.725E-2</v>
      </c>
      <c r="G3060" s="1" t="s">
        <v>23</v>
      </c>
      <c r="H3060" s="1" t="s">
        <v>40</v>
      </c>
    </row>
    <row r="3061" spans="1:8">
      <c r="A3061" s="1" t="s">
        <v>822</v>
      </c>
      <c r="B3061" s="1" t="s">
        <v>26</v>
      </c>
      <c r="C3061" s="1" t="s">
        <v>17</v>
      </c>
      <c r="D3061" s="1" t="s">
        <v>20</v>
      </c>
      <c r="E3061" s="12">
        <f>12*F3061</f>
        <v>0.32700000000000001</v>
      </c>
      <c r="F3061" s="12">
        <f>Systems!L149</f>
        <v>2.725E-2</v>
      </c>
      <c r="G3061" s="1" t="s">
        <v>23</v>
      </c>
      <c r="H3061" s="1" t="s">
        <v>40</v>
      </c>
    </row>
    <row r="3062" spans="1:8">
      <c r="A3062" s="1" t="s">
        <v>2069</v>
      </c>
      <c r="B3062" s="1" t="s">
        <v>26</v>
      </c>
      <c r="C3062" s="1" t="s">
        <v>17</v>
      </c>
      <c r="D3062" s="1" t="s">
        <v>20</v>
      </c>
      <c r="E3062" s="12">
        <f>F3062/5</f>
        <v>5.45E-3</v>
      </c>
      <c r="F3062" s="12">
        <f>Systems!L149</f>
        <v>2.725E-2</v>
      </c>
      <c r="G3062" s="1" t="s">
        <v>23</v>
      </c>
      <c r="H3062" s="1" t="s">
        <v>40</v>
      </c>
    </row>
    <row r="3063" spans="1:8">
      <c r="A3063" s="1" t="s">
        <v>2082</v>
      </c>
      <c r="B3063" s="1" t="s">
        <v>26</v>
      </c>
      <c r="C3063" s="1" t="s">
        <v>17</v>
      </c>
      <c r="D3063" s="1" t="s">
        <v>20</v>
      </c>
      <c r="E3063" s="12">
        <f>20*F3063</f>
        <v>0.54500000000000004</v>
      </c>
      <c r="F3063" s="12">
        <f>Systems!L149</f>
        <v>2.725E-2</v>
      </c>
      <c r="G3063" s="1" t="s">
        <v>23</v>
      </c>
      <c r="H3063" s="1" t="s">
        <v>40</v>
      </c>
    </row>
    <row r="3064" spans="1:8">
      <c r="A3064" s="1" t="s">
        <v>2152</v>
      </c>
      <c r="B3064" s="1" t="s">
        <v>26</v>
      </c>
      <c r="C3064" s="1" t="s">
        <v>17</v>
      </c>
      <c r="D3064" s="1" t="s">
        <v>20</v>
      </c>
      <c r="E3064" s="12">
        <f>F3064/48</f>
        <v>5.6770833333333337E-4</v>
      </c>
      <c r="F3064" s="12">
        <f>Systems!L149</f>
        <v>2.725E-2</v>
      </c>
      <c r="G3064" s="1" t="s">
        <v>23</v>
      </c>
      <c r="H3064" s="1" t="s">
        <v>40</v>
      </c>
    </row>
    <row r="3065" spans="1:8">
      <c r="A3065" s="1" t="s">
        <v>2988</v>
      </c>
      <c r="B3065" s="1" t="s">
        <v>26</v>
      </c>
      <c r="C3065" s="1" t="s">
        <v>17</v>
      </c>
      <c r="D3065" s="1" t="s">
        <v>20</v>
      </c>
      <c r="E3065" s="12">
        <f>12*F3065</f>
        <v>0.32700000000000001</v>
      </c>
      <c r="F3065" s="12">
        <f>Systems!L149</f>
        <v>2.725E-2</v>
      </c>
      <c r="G3065" s="1" t="s">
        <v>23</v>
      </c>
      <c r="H3065" s="1" t="s">
        <v>40</v>
      </c>
    </row>
    <row r="3066" spans="1:8">
      <c r="A3066" s="1" t="s">
        <v>2331</v>
      </c>
      <c r="B3066" s="1" t="s">
        <v>26</v>
      </c>
      <c r="C3066" s="1" t="s">
        <v>17</v>
      </c>
      <c r="D3066" s="1" t="s">
        <v>20</v>
      </c>
      <c r="E3066" s="12">
        <f>3*F3066</f>
        <v>8.1750000000000003E-2</v>
      </c>
      <c r="F3066" s="12">
        <f>Systems!L149</f>
        <v>2.725E-2</v>
      </c>
      <c r="G3066" s="1" t="s">
        <v>23</v>
      </c>
      <c r="H3066" s="1" t="s">
        <v>40</v>
      </c>
    </row>
    <row r="3067" spans="1:8">
      <c r="A3067" s="1" t="s">
        <v>5100</v>
      </c>
      <c r="B3067" s="1" t="s">
        <v>26</v>
      </c>
      <c r="C3067" s="1" t="s">
        <v>17</v>
      </c>
      <c r="D3067" s="1" t="s">
        <v>20</v>
      </c>
      <c r="E3067" s="12">
        <f>3*F3067</f>
        <v>8.1750000000000003E-2</v>
      </c>
      <c r="F3067" s="12">
        <f>Systems!L149</f>
        <v>2.725E-2</v>
      </c>
      <c r="G3067" s="1" t="s">
        <v>23</v>
      </c>
      <c r="H3067" s="1" t="s">
        <v>40</v>
      </c>
    </row>
    <row r="3068" spans="1:8">
      <c r="A3068" s="1" t="s">
        <v>2353</v>
      </c>
      <c r="B3068" s="1" t="s">
        <v>26</v>
      </c>
      <c r="C3068" s="1" t="s">
        <v>17</v>
      </c>
      <c r="D3068" s="1" t="s">
        <v>20</v>
      </c>
      <c r="E3068" s="12">
        <f>5*F3068</f>
        <v>0.13625000000000001</v>
      </c>
      <c r="F3068" s="12">
        <f>Systems!L149</f>
        <v>2.725E-2</v>
      </c>
      <c r="G3068" s="1" t="s">
        <v>23</v>
      </c>
      <c r="H3068" s="1" t="s">
        <v>40</v>
      </c>
    </row>
    <row r="3069" spans="1:8">
      <c r="A3069" s="1" t="s">
        <v>2457</v>
      </c>
      <c r="B3069" s="1" t="s">
        <v>26</v>
      </c>
      <c r="C3069" s="1" t="s">
        <v>17</v>
      </c>
      <c r="D3069" s="1" t="s">
        <v>20</v>
      </c>
      <c r="E3069" s="12">
        <f>F3069/24</f>
        <v>1.1354166666666667E-3</v>
      </c>
      <c r="F3069" s="12">
        <f>Systems!L149</f>
        <v>2.725E-2</v>
      </c>
      <c r="G3069" s="1" t="s">
        <v>23</v>
      </c>
      <c r="H3069" s="1" t="s">
        <v>40</v>
      </c>
    </row>
    <row r="3070" spans="1:8">
      <c r="A3070" s="1" t="s">
        <v>2471</v>
      </c>
      <c r="B3070" s="1" t="s">
        <v>26</v>
      </c>
      <c r="C3070" s="1" t="s">
        <v>17</v>
      </c>
      <c r="D3070" s="1" t="s">
        <v>20</v>
      </c>
      <c r="E3070" s="12">
        <f>6*F3070</f>
        <v>0.16350000000000001</v>
      </c>
      <c r="F3070" s="12">
        <f>Systems!L149</f>
        <v>2.725E-2</v>
      </c>
      <c r="G3070" s="1" t="s">
        <v>23</v>
      </c>
      <c r="H3070" s="1" t="s">
        <v>40</v>
      </c>
    </row>
    <row r="3071" spans="1:8">
      <c r="A3071" s="1" t="s">
        <v>2472</v>
      </c>
      <c r="B3071" s="1" t="s">
        <v>26</v>
      </c>
      <c r="C3071" s="1" t="s">
        <v>17</v>
      </c>
      <c r="D3071" s="1" t="s">
        <v>20</v>
      </c>
      <c r="E3071" s="12">
        <f>F3071/12</f>
        <v>2.2708333333333335E-3</v>
      </c>
      <c r="F3071" s="12">
        <f>Systems!L149</f>
        <v>2.725E-2</v>
      </c>
      <c r="G3071" s="1" t="s">
        <v>23</v>
      </c>
      <c r="H3071" s="1" t="s">
        <v>40</v>
      </c>
    </row>
    <row r="3072" spans="1:8">
      <c r="A3072" s="1" t="s">
        <v>2473</v>
      </c>
      <c r="B3072" s="1" t="s">
        <v>26</v>
      </c>
      <c r="C3072" s="1" t="s">
        <v>17</v>
      </c>
      <c r="D3072" s="1" t="s">
        <v>20</v>
      </c>
      <c r="E3072" s="12">
        <f>6*F3072</f>
        <v>0.16350000000000001</v>
      </c>
      <c r="F3072" s="12">
        <f>Systems!L149</f>
        <v>2.725E-2</v>
      </c>
      <c r="G3072" s="1" t="s">
        <v>23</v>
      </c>
      <c r="H3072" s="1" t="s">
        <v>40</v>
      </c>
    </row>
    <row r="3073" spans="1:8">
      <c r="A3073" s="1" t="s">
        <v>2474</v>
      </c>
      <c r="B3073" s="1" t="s">
        <v>26</v>
      </c>
      <c r="C3073" s="1" t="s">
        <v>17</v>
      </c>
      <c r="D3073" s="1" t="s">
        <v>20</v>
      </c>
      <c r="E3073" s="12">
        <f>F3073/2</f>
        <v>1.3625E-2</v>
      </c>
      <c r="F3073" s="12">
        <f>Systems!L149</f>
        <v>2.725E-2</v>
      </c>
      <c r="G3073" s="1" t="s">
        <v>23</v>
      </c>
      <c r="H3073" s="1" t="s">
        <v>40</v>
      </c>
    </row>
    <row r="3074" spans="1:8">
      <c r="A3074" s="1" t="s">
        <v>2480</v>
      </c>
      <c r="B3074" s="1" t="s">
        <v>26</v>
      </c>
      <c r="C3074" s="1" t="s">
        <v>17</v>
      </c>
      <c r="D3074" s="1" t="s">
        <v>20</v>
      </c>
      <c r="E3074" s="12">
        <f>7*F3074</f>
        <v>0.19075</v>
      </c>
      <c r="F3074" s="12">
        <f>Systems!L149</f>
        <v>2.725E-2</v>
      </c>
      <c r="G3074" s="1" t="s">
        <v>23</v>
      </c>
      <c r="H3074" s="1" t="s">
        <v>40</v>
      </c>
    </row>
    <row r="3075" spans="1:8">
      <c r="A3075" s="1" t="s">
        <v>2483</v>
      </c>
      <c r="B3075" s="1" t="s">
        <v>26</v>
      </c>
      <c r="C3075" s="1" t="s">
        <v>17</v>
      </c>
      <c r="D3075" s="1" t="s">
        <v>20</v>
      </c>
      <c r="E3075" s="12">
        <f>3*F3075/2</f>
        <v>4.0875000000000002E-2</v>
      </c>
      <c r="F3075" s="12">
        <f>Systems!L149</f>
        <v>2.725E-2</v>
      </c>
      <c r="G3075" s="1" t="s">
        <v>23</v>
      </c>
      <c r="H3075" s="1" t="s">
        <v>40</v>
      </c>
    </row>
    <row r="3076" spans="1:8">
      <c r="A3076" s="1" t="s">
        <v>2484</v>
      </c>
      <c r="B3076" s="1" t="s">
        <v>26</v>
      </c>
      <c r="C3076" s="1" t="s">
        <v>17</v>
      </c>
      <c r="D3076" s="1" t="s">
        <v>20</v>
      </c>
      <c r="E3076" s="12">
        <f>3*F3076/2</f>
        <v>4.0875000000000002E-2</v>
      </c>
      <c r="F3076" s="12">
        <f>Systems!L149</f>
        <v>2.725E-2</v>
      </c>
      <c r="G3076" s="1" t="s">
        <v>23</v>
      </c>
      <c r="H3076" s="1" t="s">
        <v>40</v>
      </c>
    </row>
    <row r="3077" spans="1:8">
      <c r="A3077" s="1" t="s">
        <v>2489</v>
      </c>
      <c r="B3077" s="1" t="s">
        <v>26</v>
      </c>
      <c r="C3077" s="1" t="s">
        <v>17</v>
      </c>
      <c r="D3077" s="1" t="s">
        <v>20</v>
      </c>
      <c r="E3077" s="12">
        <f>2*F3077</f>
        <v>5.45E-2</v>
      </c>
      <c r="F3077" s="12">
        <f>Systems!L149</f>
        <v>2.725E-2</v>
      </c>
      <c r="G3077" s="1" t="s">
        <v>23</v>
      </c>
      <c r="H3077" s="1" t="s">
        <v>40</v>
      </c>
    </row>
    <row r="3078" spans="1:8">
      <c r="A3078" s="1" t="s">
        <v>2492</v>
      </c>
      <c r="B3078" s="1" t="s">
        <v>26</v>
      </c>
      <c r="C3078" s="1" t="s">
        <v>17</v>
      </c>
      <c r="D3078" s="1" t="s">
        <v>20</v>
      </c>
      <c r="E3078" s="12">
        <f>F3078/6</f>
        <v>4.5416666666666669E-3</v>
      </c>
      <c r="F3078" s="12">
        <f>Systems!L149</f>
        <v>2.725E-2</v>
      </c>
      <c r="G3078" s="1" t="s">
        <v>23</v>
      </c>
      <c r="H3078" s="1" t="s">
        <v>40</v>
      </c>
    </row>
    <row r="3079" spans="1:8">
      <c r="A3079" s="1" t="s">
        <v>2514</v>
      </c>
      <c r="B3079" s="1" t="s">
        <v>26</v>
      </c>
      <c r="C3079" s="1" t="s">
        <v>17</v>
      </c>
      <c r="D3079" s="1" t="s">
        <v>20</v>
      </c>
      <c r="E3079" s="12">
        <f>F3079/4</f>
        <v>6.8125E-3</v>
      </c>
      <c r="F3079" s="12">
        <f>Systems!L149</f>
        <v>2.725E-2</v>
      </c>
      <c r="G3079" s="1" t="s">
        <v>23</v>
      </c>
      <c r="H3079" s="1" t="s">
        <v>40</v>
      </c>
    </row>
    <row r="3080" spans="1:8">
      <c r="A3080" s="1" t="s">
        <v>2512</v>
      </c>
      <c r="B3080" s="1" t="s">
        <v>26</v>
      </c>
      <c r="C3080" s="1" t="s">
        <v>17</v>
      </c>
      <c r="D3080" s="1" t="s">
        <v>20</v>
      </c>
      <c r="E3080" s="12">
        <f>F3080/4</f>
        <v>6.8125E-3</v>
      </c>
      <c r="F3080" s="12">
        <f>Systems!L149</f>
        <v>2.725E-2</v>
      </c>
      <c r="G3080" s="1" t="s">
        <v>23</v>
      </c>
      <c r="H3080" s="1" t="s">
        <v>40</v>
      </c>
    </row>
    <row r="3081" spans="1:8">
      <c r="A3081" s="1" t="s">
        <v>2513</v>
      </c>
      <c r="B3081" s="1" t="s">
        <v>26</v>
      </c>
      <c r="C3081" s="1" t="s">
        <v>17</v>
      </c>
      <c r="D3081" s="1" t="s">
        <v>20</v>
      </c>
      <c r="E3081" s="12">
        <f>F3081/4</f>
        <v>6.8125E-3</v>
      </c>
      <c r="F3081" s="12">
        <f>Systems!L149</f>
        <v>2.725E-2</v>
      </c>
      <c r="G3081" s="1" t="s">
        <v>23</v>
      </c>
      <c r="H3081" s="1" t="s">
        <v>40</v>
      </c>
    </row>
    <row r="3082" spans="1:8">
      <c r="A3082" s="1" t="s">
        <v>2518</v>
      </c>
      <c r="B3082" s="1" t="s">
        <v>26</v>
      </c>
      <c r="C3082" s="1" t="s">
        <v>17</v>
      </c>
      <c r="D3082" s="1" t="s">
        <v>20</v>
      </c>
      <c r="E3082" s="12">
        <f>F3082/144</f>
        <v>1.892361111111111E-4</v>
      </c>
      <c r="F3082" s="12">
        <f>Systems!L149</f>
        <v>2.725E-2</v>
      </c>
      <c r="G3082" s="1" t="s">
        <v>23</v>
      </c>
      <c r="H3082" s="1" t="s">
        <v>40</v>
      </c>
    </row>
    <row r="3083" spans="1:8">
      <c r="A3083" s="1" t="s">
        <v>2491</v>
      </c>
      <c r="B3083" s="1" t="s">
        <v>26</v>
      </c>
      <c r="C3083" s="1" t="s">
        <v>17</v>
      </c>
      <c r="D3083" s="1" t="s">
        <v>20</v>
      </c>
      <c r="E3083" s="12">
        <f>F3083/6</f>
        <v>4.5416666666666669E-3</v>
      </c>
      <c r="F3083" s="12">
        <f>Systems!L149</f>
        <v>2.725E-2</v>
      </c>
      <c r="G3083" s="1" t="s">
        <v>23</v>
      </c>
      <c r="H3083" s="1" t="s">
        <v>40</v>
      </c>
    </row>
    <row r="3084" spans="1:8">
      <c r="A3084" s="1" t="s">
        <v>2701</v>
      </c>
      <c r="B3084" s="1" t="s">
        <v>26</v>
      </c>
      <c r="C3084" s="1" t="s">
        <v>17</v>
      </c>
      <c r="D3084" s="1" t="s">
        <v>20</v>
      </c>
      <c r="E3084" s="12">
        <f>4*F3084</f>
        <v>0.109</v>
      </c>
      <c r="F3084" s="12">
        <f>Systems!L149</f>
        <v>2.725E-2</v>
      </c>
      <c r="G3084" s="1" t="s">
        <v>23</v>
      </c>
      <c r="H3084" s="1" t="s">
        <v>40</v>
      </c>
    </row>
    <row r="3085" spans="1:8">
      <c r="A3085" s="1" t="s">
        <v>2739</v>
      </c>
      <c r="B3085" s="1" t="s">
        <v>26</v>
      </c>
      <c r="C3085" s="1" t="s">
        <v>17</v>
      </c>
      <c r="D3085" s="1" t="s">
        <v>20</v>
      </c>
      <c r="E3085" s="12">
        <f>F3085</f>
        <v>2.725E-2</v>
      </c>
      <c r="F3085" s="12">
        <f>Systems!L149</f>
        <v>2.725E-2</v>
      </c>
      <c r="G3085" s="1" t="s">
        <v>23</v>
      </c>
      <c r="H3085" s="1" t="s">
        <v>40</v>
      </c>
    </row>
    <row r="3086" spans="1:8">
      <c r="A3086" s="248"/>
      <c r="B3086" s="248"/>
      <c r="C3086" s="248"/>
      <c r="D3086" s="248"/>
      <c r="E3086" s="250"/>
      <c r="F3086" s="250"/>
      <c r="G3086" s="248"/>
      <c r="H3086" s="248"/>
    </row>
    <row r="3087" spans="1:8">
      <c r="A3087" s="1" t="s">
        <v>5101</v>
      </c>
      <c r="B3087" s="1" t="s">
        <v>26</v>
      </c>
      <c r="C3087" s="1" t="s">
        <v>3033</v>
      </c>
      <c r="D3087" s="1" t="s">
        <v>19</v>
      </c>
      <c r="E3087" s="12">
        <f>332*F3087/125</f>
        <v>0.66400000000000003</v>
      </c>
      <c r="F3087" s="12">
        <f>Systems!D154</f>
        <v>0.25</v>
      </c>
      <c r="G3087" s="1" t="s">
        <v>14</v>
      </c>
      <c r="H3087" s="1" t="s">
        <v>493</v>
      </c>
    </row>
    <row r="3088" spans="1:8">
      <c r="A3088" s="1" t="s">
        <v>5102</v>
      </c>
      <c r="B3088" s="1" t="s">
        <v>26</v>
      </c>
      <c r="C3088" s="1" t="s">
        <v>3033</v>
      </c>
      <c r="D3088" s="1" t="s">
        <v>19</v>
      </c>
      <c r="E3088" s="12">
        <f>637*F3088/250</f>
        <v>0.63700000000000001</v>
      </c>
      <c r="F3088" s="12">
        <f>Systems!D154</f>
        <v>0.25</v>
      </c>
      <c r="G3088" s="1" t="s">
        <v>14</v>
      </c>
      <c r="H3088" s="1" t="s">
        <v>493</v>
      </c>
    </row>
    <row r="3089" spans="1:8">
      <c r="A3089" s="1" t="s">
        <v>1495</v>
      </c>
      <c r="B3089" s="1" t="s">
        <v>26</v>
      </c>
      <c r="C3089" s="1" t="s">
        <v>3033</v>
      </c>
      <c r="D3089" s="1" t="s">
        <v>19</v>
      </c>
      <c r="E3089" s="12">
        <f>2*F3089/25</f>
        <v>0.02</v>
      </c>
      <c r="F3089" s="12">
        <f>Systems!D154</f>
        <v>0.25</v>
      </c>
      <c r="G3089" s="1" t="s">
        <v>14</v>
      </c>
      <c r="H3089" s="1" t="s">
        <v>493</v>
      </c>
    </row>
    <row r="3090" spans="1:8">
      <c r="A3090" s="1" t="s">
        <v>1575</v>
      </c>
      <c r="B3090" s="1" t="s">
        <v>26</v>
      </c>
      <c r="C3090" s="1" t="s">
        <v>3033</v>
      </c>
      <c r="D3090" s="1" t="s">
        <v>19</v>
      </c>
      <c r="E3090" s="12">
        <f>662*F3090/701</f>
        <v>0.66199999999999992</v>
      </c>
      <c r="F3090" s="12">
        <f>Systems!D153</f>
        <v>0.70099999999999996</v>
      </c>
      <c r="G3090" s="1" t="s">
        <v>14</v>
      </c>
      <c r="H3090" s="1" t="s">
        <v>493</v>
      </c>
    </row>
    <row r="3091" spans="1:8">
      <c r="A3091" s="1" t="s">
        <v>1238</v>
      </c>
      <c r="B3091" s="1" t="s">
        <v>26</v>
      </c>
      <c r="C3091" s="1" t="s">
        <v>3033</v>
      </c>
      <c r="D3091" s="1" t="s">
        <v>19</v>
      </c>
      <c r="E3091" s="12">
        <f>2*F3091/25</f>
        <v>0.02</v>
      </c>
      <c r="F3091" s="12">
        <f>Systems!D154</f>
        <v>0.25</v>
      </c>
      <c r="G3091" s="1" t="s">
        <v>14</v>
      </c>
      <c r="H3091" s="1" t="s">
        <v>493</v>
      </c>
    </row>
    <row r="3092" spans="1:8">
      <c r="A3092" s="1" t="s">
        <v>1639</v>
      </c>
      <c r="B3092" s="1" t="s">
        <v>26</v>
      </c>
      <c r="C3092" s="1" t="s">
        <v>3033</v>
      </c>
      <c r="D3092" s="1" t="s">
        <v>19</v>
      </c>
      <c r="E3092" s="12">
        <f>280*F3092</f>
        <v>70</v>
      </c>
      <c r="F3092" s="12">
        <f>Systems!D154</f>
        <v>0.25</v>
      </c>
      <c r="G3092" s="1" t="s">
        <v>14</v>
      </c>
      <c r="H3092" s="1" t="s">
        <v>493</v>
      </c>
    </row>
    <row r="3093" spans="1:8">
      <c r="A3093" s="1" t="s">
        <v>848</v>
      </c>
      <c r="B3093" s="1" t="s">
        <v>26</v>
      </c>
      <c r="C3093" s="1" t="s">
        <v>3033</v>
      </c>
      <c r="D3093" s="1" t="s">
        <v>19</v>
      </c>
      <c r="E3093" s="12">
        <f>F3093</f>
        <v>0.70099999999999996</v>
      </c>
      <c r="F3093" s="12">
        <f>Systems!D153</f>
        <v>0.70099999999999996</v>
      </c>
      <c r="G3093" s="1" t="s">
        <v>14</v>
      </c>
      <c r="H3093" s="1" t="s">
        <v>493</v>
      </c>
    </row>
    <row r="3094" spans="1:8">
      <c r="A3094" s="1" t="s">
        <v>5103</v>
      </c>
      <c r="B3094" s="1" t="s">
        <v>26</v>
      </c>
      <c r="C3094" s="1" t="s">
        <v>3033</v>
      </c>
      <c r="D3094" s="1" t="s">
        <v>19</v>
      </c>
      <c r="E3094" s="12">
        <f>F3094/2</f>
        <v>0.125</v>
      </c>
      <c r="F3094" s="12">
        <f>Systems!D154</f>
        <v>0.25</v>
      </c>
      <c r="G3094" s="1" t="s">
        <v>14</v>
      </c>
      <c r="H3094" s="1" t="s">
        <v>493</v>
      </c>
    </row>
    <row r="3095" spans="1:8">
      <c r="A3095" s="1" t="s">
        <v>1943</v>
      </c>
      <c r="B3095" s="1" t="s">
        <v>26</v>
      </c>
      <c r="C3095" s="1" t="s">
        <v>3033</v>
      </c>
      <c r="D3095" s="1" t="s">
        <v>19</v>
      </c>
      <c r="E3095" s="12">
        <f>17776*F3095</f>
        <v>4444</v>
      </c>
      <c r="F3095" s="12">
        <f>Systems!D154</f>
        <v>0.25</v>
      </c>
      <c r="G3095" s="1" t="s">
        <v>14</v>
      </c>
      <c r="H3095" s="1" t="s">
        <v>493</v>
      </c>
    </row>
    <row r="3096" spans="1:8">
      <c r="A3096" s="1" t="s">
        <v>1012</v>
      </c>
      <c r="B3096" s="1" t="s">
        <v>26</v>
      </c>
      <c r="C3096" s="1" t="s">
        <v>3033</v>
      </c>
      <c r="D3096" s="1" t="s">
        <v>19</v>
      </c>
      <c r="E3096" s="12">
        <f>F3096</f>
        <v>0.25</v>
      </c>
      <c r="F3096" s="12">
        <f>Systems!D154</f>
        <v>0.25</v>
      </c>
      <c r="G3096" s="1" t="s">
        <v>14</v>
      </c>
      <c r="H3096" s="1" t="s">
        <v>493</v>
      </c>
    </row>
    <row r="3097" spans="1:8">
      <c r="A3097" s="1" t="s">
        <v>2212</v>
      </c>
      <c r="B3097" s="1" t="s">
        <v>26</v>
      </c>
      <c r="C3097" s="1" t="s">
        <v>3033</v>
      </c>
      <c r="D3097" s="1" t="s">
        <v>19</v>
      </c>
      <c r="E3097" s="12">
        <f>87*F3097/625</f>
        <v>3.4799999999999998E-2</v>
      </c>
      <c r="F3097" s="12">
        <f>Systems!D154</f>
        <v>0.25</v>
      </c>
      <c r="G3097" s="1" t="s">
        <v>14</v>
      </c>
      <c r="H3097" s="1" t="s">
        <v>493</v>
      </c>
    </row>
    <row r="3098" spans="1:8">
      <c r="A3098" s="1" t="s">
        <v>5104</v>
      </c>
      <c r="B3098" s="1" t="s">
        <v>26</v>
      </c>
      <c r="C3098" s="1" t="s">
        <v>3033</v>
      </c>
      <c r="D3098" s="1" t="s">
        <v>19</v>
      </c>
      <c r="E3098" s="12">
        <f>6*F3098</f>
        <v>1.5</v>
      </c>
      <c r="F3098" s="12">
        <f>Systems!D154</f>
        <v>0.25</v>
      </c>
      <c r="G3098" s="1" t="s">
        <v>14</v>
      </c>
      <c r="H3098" s="1" t="s">
        <v>493</v>
      </c>
    </row>
    <row r="3099" spans="1:8">
      <c r="A3099" s="1" t="s">
        <v>5105</v>
      </c>
      <c r="B3099" s="1" t="s">
        <v>26</v>
      </c>
      <c r="C3099" s="1" t="s">
        <v>3033</v>
      </c>
      <c r="D3099" s="1" t="s">
        <v>19</v>
      </c>
      <c r="E3099" s="12">
        <f>4*F3099</f>
        <v>1</v>
      </c>
      <c r="F3099" s="12">
        <f>Systems!D154</f>
        <v>0.25</v>
      </c>
      <c r="G3099" s="1" t="s">
        <v>14</v>
      </c>
      <c r="H3099" s="1" t="s">
        <v>493</v>
      </c>
    </row>
    <row r="3100" spans="1:8">
      <c r="A3100" s="1" t="s">
        <v>2262</v>
      </c>
      <c r="B3100" s="1" t="s">
        <v>26</v>
      </c>
      <c r="C3100" s="1" t="s">
        <v>3033</v>
      </c>
      <c r="D3100" s="1" t="s">
        <v>19</v>
      </c>
      <c r="E3100" s="12">
        <f>4*F3100/3</f>
        <v>0.33333333333333331</v>
      </c>
      <c r="F3100" s="12">
        <f>Systems!D154</f>
        <v>0.25</v>
      </c>
      <c r="G3100" s="1" t="s">
        <v>14</v>
      </c>
      <c r="H3100" s="1" t="s">
        <v>493</v>
      </c>
    </row>
    <row r="3101" spans="1:8">
      <c r="A3101" s="1" t="s">
        <v>1015</v>
      </c>
      <c r="B3101" s="1" t="s">
        <v>26</v>
      </c>
      <c r="C3101" s="1" t="s">
        <v>3033</v>
      </c>
      <c r="D3101" s="1" t="s">
        <v>19</v>
      </c>
      <c r="E3101" s="12">
        <f>56000*F3101</f>
        <v>14000</v>
      </c>
      <c r="F3101" s="12">
        <f>Systems!D154</f>
        <v>0.25</v>
      </c>
      <c r="G3101" s="1" t="s">
        <v>14</v>
      </c>
      <c r="H3101" s="1" t="s">
        <v>493</v>
      </c>
    </row>
    <row r="3102" spans="1:8">
      <c r="A3102" s="1" t="s">
        <v>2304</v>
      </c>
      <c r="B3102" s="1" t="s">
        <v>26</v>
      </c>
      <c r="C3102" s="1" t="s">
        <v>3033</v>
      </c>
      <c r="D3102" s="1" t="s">
        <v>19</v>
      </c>
      <c r="E3102" s="12">
        <f>24*F3102</f>
        <v>6</v>
      </c>
      <c r="F3102" s="12">
        <f>Systems!D154</f>
        <v>0.25</v>
      </c>
      <c r="G3102" s="1" t="s">
        <v>14</v>
      </c>
      <c r="H3102" s="1" t="s">
        <v>493</v>
      </c>
    </row>
    <row r="3103" spans="1:8">
      <c r="A3103" s="1" t="s">
        <v>2560</v>
      </c>
      <c r="B3103" s="1" t="s">
        <v>26</v>
      </c>
      <c r="C3103" s="1" t="s">
        <v>3033</v>
      </c>
      <c r="D3103" s="1" t="s">
        <v>19</v>
      </c>
      <c r="E3103" s="12">
        <f>8*F3103</f>
        <v>2</v>
      </c>
      <c r="F3103" s="12">
        <f>Systems!D154</f>
        <v>0.25</v>
      </c>
      <c r="G3103" s="1" t="s">
        <v>14</v>
      </c>
      <c r="H3103" s="1" t="s">
        <v>493</v>
      </c>
    </row>
    <row r="3104" spans="1:8">
      <c r="A3104" s="1" t="s">
        <v>2584</v>
      </c>
      <c r="B3104" s="1" t="s">
        <v>26</v>
      </c>
      <c r="C3104" s="1" t="s">
        <v>3033</v>
      </c>
      <c r="D3104" s="1" t="s">
        <v>19</v>
      </c>
      <c r="E3104" s="12">
        <f>1960*F3104/701</f>
        <v>1.9599999999999997</v>
      </c>
      <c r="F3104" s="12">
        <f>Systems!D153</f>
        <v>0.70099999999999996</v>
      </c>
      <c r="G3104" s="1" t="s">
        <v>14</v>
      </c>
      <c r="H3104" s="1" t="s">
        <v>493</v>
      </c>
    </row>
    <row r="3105" spans="1:8">
      <c r="A3105" s="1" t="s">
        <v>2766</v>
      </c>
      <c r="B3105" s="1" t="s">
        <v>26</v>
      </c>
      <c r="C3105" s="1" t="s">
        <v>3033</v>
      </c>
      <c r="D3105" s="1" t="s">
        <v>19</v>
      </c>
      <c r="E3105" s="12">
        <f>4268*F3105</f>
        <v>1067</v>
      </c>
      <c r="F3105" s="12">
        <f>Systems!D154</f>
        <v>0.25</v>
      </c>
      <c r="G3105" s="1" t="s">
        <v>14</v>
      </c>
      <c r="H3105" s="1" t="s">
        <v>493</v>
      </c>
    </row>
    <row r="3106" spans="1:8" ht="16.5">
      <c r="A3106" s="1" t="s">
        <v>1589</v>
      </c>
      <c r="B3106" s="1" t="s">
        <v>26</v>
      </c>
      <c r="C3106" s="1" t="s">
        <v>3034</v>
      </c>
      <c r="D3106" s="1" t="s">
        <v>38</v>
      </c>
      <c r="E3106" s="12">
        <f>286*F3106/25</f>
        <v>14.3</v>
      </c>
      <c r="F3106" s="12">
        <f>Systems!H154</f>
        <v>1.25</v>
      </c>
      <c r="G3106" s="1" t="s">
        <v>39</v>
      </c>
      <c r="H3106" s="1" t="s">
        <v>493</v>
      </c>
    </row>
    <row r="3107" spans="1:8" ht="16.5">
      <c r="A3107" s="1" t="s">
        <v>1606</v>
      </c>
      <c r="B3107" s="1" t="s">
        <v>26</v>
      </c>
      <c r="C3107" s="1" t="s">
        <v>3034</v>
      </c>
      <c r="D3107" s="1" t="s">
        <v>38</v>
      </c>
      <c r="E3107" s="12">
        <f>F3107</f>
        <v>1.25</v>
      </c>
      <c r="F3107" s="12">
        <f>Systems!H154</f>
        <v>1.25</v>
      </c>
      <c r="G3107" s="1" t="s">
        <v>39</v>
      </c>
      <c r="H3107" s="1" t="s">
        <v>493</v>
      </c>
    </row>
    <row r="3108" spans="1:8" ht="16.5">
      <c r="A3108" s="1" t="s">
        <v>1989</v>
      </c>
      <c r="B3108" s="1" t="s">
        <v>26</v>
      </c>
      <c r="C3108" s="1" t="s">
        <v>3034</v>
      </c>
      <c r="D3108" s="1" t="s">
        <v>38</v>
      </c>
      <c r="E3108" s="12">
        <f>4560*F3108</f>
        <v>5700</v>
      </c>
      <c r="F3108" s="12">
        <f>Systems!H154</f>
        <v>1.25</v>
      </c>
      <c r="G3108" s="1" t="s">
        <v>39</v>
      </c>
      <c r="H3108" s="1" t="s">
        <v>493</v>
      </c>
    </row>
    <row r="3109" spans="1:8" ht="16.5">
      <c r="A3109" s="1" t="s">
        <v>2283</v>
      </c>
      <c r="B3109" s="1" t="s">
        <v>26</v>
      </c>
      <c r="C3109" s="1" t="s">
        <v>3034</v>
      </c>
      <c r="D3109" s="1" t="s">
        <v>38</v>
      </c>
      <c r="E3109" s="12">
        <f>4*F3109</f>
        <v>5</v>
      </c>
      <c r="F3109" s="12">
        <f>Systems!H154</f>
        <v>1.25</v>
      </c>
      <c r="G3109" s="1" t="s">
        <v>39</v>
      </c>
      <c r="H3109" s="1" t="s">
        <v>493</v>
      </c>
    </row>
    <row r="3110" spans="1:8" ht="16.5">
      <c r="A3110" s="1" t="s">
        <v>2304</v>
      </c>
      <c r="B3110" s="1" t="s">
        <v>26</v>
      </c>
      <c r="C3110" s="1" t="s">
        <v>3034</v>
      </c>
      <c r="D3110" s="1" t="s">
        <v>38</v>
      </c>
      <c r="E3110" s="12">
        <f>156*F3110</f>
        <v>195</v>
      </c>
      <c r="F3110" s="12">
        <f>Systems!H154</f>
        <v>1.25</v>
      </c>
      <c r="G3110" s="1" t="s">
        <v>39</v>
      </c>
      <c r="H3110" s="1" t="s">
        <v>493</v>
      </c>
    </row>
    <row r="3111" spans="1:8" ht="16.5">
      <c r="A3111" s="1" t="s">
        <v>5106</v>
      </c>
      <c r="B3111" s="1" t="s">
        <v>26</v>
      </c>
      <c r="C3111" s="1" t="s">
        <v>3034</v>
      </c>
      <c r="D3111" s="1" t="s">
        <v>38</v>
      </c>
      <c r="E3111" s="12">
        <f>2.87732*F3111</f>
        <v>3.5966500000000003</v>
      </c>
      <c r="F3111" s="12">
        <f>Systems!H154</f>
        <v>1.25</v>
      </c>
      <c r="G3111" s="1" t="s">
        <v>39</v>
      </c>
      <c r="H3111" s="1" t="s">
        <v>493</v>
      </c>
    </row>
    <row r="3112" spans="1:8" ht="16.5">
      <c r="A3112" s="1" t="s">
        <v>850</v>
      </c>
      <c r="B3112" s="1" t="s">
        <v>26</v>
      </c>
      <c r="C3112" s="1" t="s">
        <v>2936</v>
      </c>
      <c r="D3112" s="1" t="s">
        <v>32</v>
      </c>
      <c r="E3112" s="12">
        <f>F3112</f>
        <v>2.46E-2</v>
      </c>
      <c r="F3112" s="12">
        <f>Systems!T153</f>
        <v>2.46E-2</v>
      </c>
      <c r="G3112" s="1" t="s">
        <v>33</v>
      </c>
      <c r="H3112" s="1" t="s">
        <v>493</v>
      </c>
    </row>
    <row r="3113" spans="1:8" ht="16.5">
      <c r="A3113" s="1" t="s">
        <v>651</v>
      </c>
      <c r="B3113" s="1" t="s">
        <v>26</v>
      </c>
      <c r="C3113" s="1" t="s">
        <v>2936</v>
      </c>
      <c r="D3113" s="1" t="s">
        <v>32</v>
      </c>
      <c r="E3113" s="12">
        <f>16*F3113</f>
        <v>0.39360000000000001</v>
      </c>
      <c r="F3113" s="12">
        <f>Systems!T153</f>
        <v>2.46E-2</v>
      </c>
      <c r="G3113" s="1" t="s">
        <v>33</v>
      </c>
      <c r="H3113" s="1" t="s">
        <v>493</v>
      </c>
    </row>
    <row r="3114" spans="1:8" ht="16.5">
      <c r="A3114" s="1" t="s">
        <v>2086</v>
      </c>
      <c r="B3114" s="1" t="s">
        <v>26</v>
      </c>
      <c r="C3114" s="1" t="s">
        <v>2936</v>
      </c>
      <c r="D3114" s="1" t="s">
        <v>32</v>
      </c>
      <c r="E3114" s="12">
        <f>8*F3114</f>
        <v>0.1968</v>
      </c>
      <c r="F3114" s="12">
        <f>Systems!T153</f>
        <v>2.46E-2</v>
      </c>
      <c r="G3114" s="1" t="s">
        <v>33</v>
      </c>
      <c r="H3114" s="1" t="s">
        <v>493</v>
      </c>
    </row>
    <row r="3115" spans="1:8" ht="16.5">
      <c r="A3115" s="1" t="s">
        <v>837</v>
      </c>
      <c r="B3115" s="8" t="s">
        <v>26</v>
      </c>
      <c r="C3115" s="1" t="s">
        <v>2936</v>
      </c>
      <c r="D3115" s="1" t="s">
        <v>32</v>
      </c>
      <c r="E3115" s="12">
        <f>F3115/16</f>
        <v>1.5375E-3</v>
      </c>
      <c r="F3115" s="12">
        <f>Systems!T153</f>
        <v>2.46E-2</v>
      </c>
      <c r="G3115" s="1" t="s">
        <v>33</v>
      </c>
      <c r="H3115" s="1" t="s">
        <v>493</v>
      </c>
    </row>
    <row r="3116" spans="1:8" ht="16.5">
      <c r="A3116" s="18" t="s">
        <v>5107</v>
      </c>
      <c r="B3116" s="1" t="s">
        <v>26</v>
      </c>
      <c r="C3116" s="1" t="s">
        <v>2935</v>
      </c>
      <c r="D3116" s="1" t="s">
        <v>32</v>
      </c>
      <c r="E3116" s="12">
        <f>86*F3116</f>
        <v>2.1500000000000002E-2</v>
      </c>
      <c r="F3116" s="12">
        <f>Systems!P154</f>
        <v>2.5000000000000001E-4</v>
      </c>
      <c r="G3116" s="1" t="s">
        <v>33</v>
      </c>
      <c r="H3116" s="1" t="s">
        <v>493</v>
      </c>
    </row>
    <row r="3117" spans="1:8" ht="16.5">
      <c r="A3117" s="18" t="s">
        <v>5108</v>
      </c>
      <c r="B3117" s="1" t="s">
        <v>26</v>
      </c>
      <c r="C3117" s="1" t="s">
        <v>2935</v>
      </c>
      <c r="D3117" s="1" t="s">
        <v>32</v>
      </c>
      <c r="E3117" s="12">
        <f>3396*F3117/25</f>
        <v>3.3959999999999997E-2</v>
      </c>
      <c r="F3117" s="12">
        <f>Systems!P154</f>
        <v>2.5000000000000001E-4</v>
      </c>
      <c r="G3117" s="1" t="s">
        <v>33</v>
      </c>
      <c r="H3117" s="1" t="s">
        <v>493</v>
      </c>
    </row>
    <row r="3118" spans="1:8" ht="16.5">
      <c r="A3118" s="1" t="s">
        <v>1406</v>
      </c>
      <c r="B3118" s="1" t="s">
        <v>26</v>
      </c>
      <c r="C3118" s="1" t="s">
        <v>2935</v>
      </c>
      <c r="D3118" s="1" t="s">
        <v>32</v>
      </c>
      <c r="E3118" s="12">
        <f>140*F3118</f>
        <v>3.5000000000000003E-2</v>
      </c>
      <c r="F3118" s="12">
        <f>Systems!P154</f>
        <v>2.5000000000000001E-4</v>
      </c>
      <c r="G3118" s="1" t="s">
        <v>33</v>
      </c>
      <c r="H3118" s="1" t="s">
        <v>493</v>
      </c>
    </row>
    <row r="3119" spans="1:8" ht="16.5">
      <c r="A3119" s="1" t="s">
        <v>5109</v>
      </c>
      <c r="B3119" s="1" t="s">
        <v>26</v>
      </c>
      <c r="C3119" s="1" t="s">
        <v>2935</v>
      </c>
      <c r="D3119" s="1" t="s">
        <v>32</v>
      </c>
      <c r="E3119" s="12">
        <f>80*F3119</f>
        <v>0.02</v>
      </c>
      <c r="F3119" s="12">
        <f>Systems!P154</f>
        <v>2.5000000000000001E-4</v>
      </c>
      <c r="G3119" s="1" t="s">
        <v>33</v>
      </c>
      <c r="H3119" s="1" t="s">
        <v>493</v>
      </c>
    </row>
    <row r="3120" spans="1:8" ht="16.5">
      <c r="A3120" s="1" t="s">
        <v>1683</v>
      </c>
      <c r="B3120" s="1" t="s">
        <v>26</v>
      </c>
      <c r="C3120" s="1" t="s">
        <v>2935</v>
      </c>
      <c r="D3120" s="1" t="s">
        <v>32</v>
      </c>
      <c r="E3120" s="12">
        <f>5400*F3120</f>
        <v>1.35</v>
      </c>
      <c r="F3120" s="12">
        <f>Systems!P154</f>
        <v>2.5000000000000001E-4</v>
      </c>
      <c r="G3120" s="1" t="s">
        <v>33</v>
      </c>
      <c r="H3120" s="1" t="s">
        <v>493</v>
      </c>
    </row>
    <row r="3121" spans="1:8" ht="16.5">
      <c r="A3121" s="1" t="s">
        <v>1014</v>
      </c>
      <c r="B3121" s="1" t="s">
        <v>26</v>
      </c>
      <c r="C3121" s="1" t="s">
        <v>2935</v>
      </c>
      <c r="D3121" s="1" t="s">
        <v>32</v>
      </c>
      <c r="E3121" s="12">
        <f>F3121</f>
        <v>2.5000000000000001E-4</v>
      </c>
      <c r="F3121" s="12">
        <f>Systems!P154</f>
        <v>2.5000000000000001E-4</v>
      </c>
      <c r="G3121" s="1" t="s">
        <v>33</v>
      </c>
      <c r="H3121" s="1" t="s">
        <v>493</v>
      </c>
    </row>
    <row r="3122" spans="1:8" ht="16.5">
      <c r="A3122" s="1" t="s">
        <v>5110</v>
      </c>
      <c r="B3122" s="1" t="s">
        <v>26</v>
      </c>
      <c r="C3122" s="1" t="s">
        <v>2935</v>
      </c>
      <c r="D3122" s="1" t="s">
        <v>32</v>
      </c>
      <c r="E3122" s="12">
        <f>460*F3122</f>
        <v>0.115</v>
      </c>
      <c r="F3122" s="12">
        <f>Systems!P154</f>
        <v>2.5000000000000001E-4</v>
      </c>
      <c r="G3122" s="1" t="s">
        <v>33</v>
      </c>
      <c r="H3122" s="1" t="s">
        <v>493</v>
      </c>
    </row>
    <row r="3123" spans="1:8" ht="16.5">
      <c r="A3123" s="1" t="s">
        <v>5111</v>
      </c>
      <c r="B3123" s="1" t="s">
        <v>26</v>
      </c>
      <c r="C3123" s="1" t="s">
        <v>2935</v>
      </c>
      <c r="D3123" s="1" t="s">
        <v>32</v>
      </c>
      <c r="E3123" s="12">
        <f>90*F3123</f>
        <v>2.2499999999999999E-2</v>
      </c>
      <c r="F3123" s="12">
        <f>Systems!P154</f>
        <v>2.5000000000000001E-4</v>
      </c>
      <c r="G3123" s="1" t="s">
        <v>33</v>
      </c>
      <c r="H3123" s="1" t="s">
        <v>493</v>
      </c>
    </row>
    <row r="3124" spans="1:8" ht="16.5">
      <c r="A3124" s="1" t="s">
        <v>5112</v>
      </c>
      <c r="B3124" s="1" t="s">
        <v>26</v>
      </c>
      <c r="C3124" s="1" t="s">
        <v>2935</v>
      </c>
      <c r="D3124" s="1" t="s">
        <v>32</v>
      </c>
      <c r="E3124" s="12">
        <f>264*F3124</f>
        <v>6.6000000000000003E-2</v>
      </c>
      <c r="F3124" s="12">
        <f>Systems!P154</f>
        <v>2.5000000000000001E-4</v>
      </c>
      <c r="G3124" s="1" t="s">
        <v>33</v>
      </c>
      <c r="H3124" s="1" t="s">
        <v>493</v>
      </c>
    </row>
    <row r="3125" spans="1:8" ht="16.5">
      <c r="A3125" s="1" t="s">
        <v>5113</v>
      </c>
      <c r="B3125" s="1" t="s">
        <v>26</v>
      </c>
      <c r="C3125" s="1" t="s">
        <v>2935</v>
      </c>
      <c r="D3125" s="1" t="s">
        <v>32</v>
      </c>
      <c r="E3125" s="12">
        <f>220*F3125</f>
        <v>5.5E-2</v>
      </c>
      <c r="F3125" s="12">
        <f>Systems!P154</f>
        <v>2.5000000000000001E-4</v>
      </c>
      <c r="G3125" s="1" t="s">
        <v>33</v>
      </c>
      <c r="H3125" s="1" t="s">
        <v>493</v>
      </c>
    </row>
    <row r="3126" spans="1:8" ht="16.5">
      <c r="A3126" s="1" t="s">
        <v>5114</v>
      </c>
      <c r="B3126" s="1" t="s">
        <v>26</v>
      </c>
      <c r="C3126" s="1" t="s">
        <v>2935</v>
      </c>
      <c r="D3126" s="1" t="s">
        <v>32</v>
      </c>
      <c r="E3126" s="12">
        <f>132*F3126</f>
        <v>3.3000000000000002E-2</v>
      </c>
      <c r="F3126" s="12">
        <f>Systems!P154</f>
        <v>2.5000000000000001E-4</v>
      </c>
      <c r="G3126" s="1" t="s">
        <v>33</v>
      </c>
      <c r="H3126" s="1" t="s">
        <v>493</v>
      </c>
    </row>
    <row r="3127" spans="1:8" ht="16.5">
      <c r="A3127" s="1" t="s">
        <v>5115</v>
      </c>
      <c r="B3127" s="1" t="s">
        <v>26</v>
      </c>
      <c r="C3127" s="1" t="s">
        <v>2935</v>
      </c>
      <c r="D3127" s="1" t="s">
        <v>32</v>
      </c>
      <c r="E3127" s="12">
        <f>110*F3127</f>
        <v>2.75E-2</v>
      </c>
      <c r="F3127" s="12">
        <f>Systems!P154</f>
        <v>2.5000000000000001E-4</v>
      </c>
      <c r="G3127" s="1" t="s">
        <v>33</v>
      </c>
      <c r="H3127" s="1" t="s">
        <v>493</v>
      </c>
    </row>
    <row r="3128" spans="1:8" ht="16.5">
      <c r="A3128" s="1" t="s">
        <v>5116</v>
      </c>
      <c r="B3128" s="1" t="s">
        <v>26</v>
      </c>
      <c r="C3128" s="1" t="s">
        <v>2935</v>
      </c>
      <c r="D3128" s="1" t="s">
        <v>32</v>
      </c>
      <c r="E3128" s="12">
        <f>6*F3128</f>
        <v>1.5E-3</v>
      </c>
      <c r="F3128" s="12">
        <f>Systems!P154</f>
        <v>2.5000000000000001E-4</v>
      </c>
      <c r="G3128" s="1" t="s">
        <v>33</v>
      </c>
      <c r="H3128" s="1" t="s">
        <v>493</v>
      </c>
    </row>
    <row r="3129" spans="1:8" ht="16.5">
      <c r="A3129" s="1" t="s">
        <v>5117</v>
      </c>
      <c r="B3129" s="1" t="s">
        <v>26</v>
      </c>
      <c r="C3129" s="1" t="s">
        <v>2935</v>
      </c>
      <c r="D3129" s="1" t="s">
        <v>32</v>
      </c>
      <c r="E3129" s="12">
        <f>5*F3129</f>
        <v>1.25E-3</v>
      </c>
      <c r="F3129" s="12">
        <f>Systems!P154</f>
        <v>2.5000000000000001E-4</v>
      </c>
      <c r="G3129" s="1" t="s">
        <v>33</v>
      </c>
      <c r="H3129" s="1" t="s">
        <v>493</v>
      </c>
    </row>
    <row r="3130" spans="1:8" ht="16.5">
      <c r="A3130" s="1" t="s">
        <v>837</v>
      </c>
      <c r="B3130" s="8" t="s">
        <v>26</v>
      </c>
      <c r="C3130" s="1" t="s">
        <v>2935</v>
      </c>
      <c r="D3130" s="1" t="s">
        <v>32</v>
      </c>
      <c r="E3130" s="12">
        <f>F3130</f>
        <v>1.4149999999999999E-2</v>
      </c>
      <c r="F3130" s="12">
        <f>Systems!P153</f>
        <v>1.4149999999999999E-2</v>
      </c>
      <c r="G3130" s="1" t="s">
        <v>33</v>
      </c>
      <c r="H3130" s="1" t="s">
        <v>493</v>
      </c>
    </row>
    <row r="3131" spans="1:8" ht="16.5">
      <c r="A3131" s="1" t="s">
        <v>5118</v>
      </c>
      <c r="B3131" s="1" t="s">
        <v>26</v>
      </c>
      <c r="C3131" s="1" t="s">
        <v>2935</v>
      </c>
      <c r="D3131" s="1" t="s">
        <v>32</v>
      </c>
      <c r="E3131" s="12">
        <f>1697*F3131/125</f>
        <v>3.3940000000000003E-3</v>
      </c>
      <c r="F3131" s="12">
        <f>Systems!P154</f>
        <v>2.5000000000000001E-4</v>
      </c>
      <c r="G3131" s="1" t="s">
        <v>33</v>
      </c>
      <c r="H3131" s="1" t="s">
        <v>493</v>
      </c>
    </row>
    <row r="3132" spans="1:8" ht="16.5">
      <c r="A3132" s="1" t="s">
        <v>5119</v>
      </c>
      <c r="B3132" s="1" t="s">
        <v>26</v>
      </c>
      <c r="C3132" s="1" t="s">
        <v>2935</v>
      </c>
      <c r="D3132" s="1" t="s">
        <v>32</v>
      </c>
      <c r="E3132" s="12">
        <f>F3132/72</f>
        <v>3.4722222222222224E-6</v>
      </c>
      <c r="F3132" s="12">
        <f>Systems!P154</f>
        <v>2.5000000000000001E-4</v>
      </c>
      <c r="G3132" s="1" t="s">
        <v>33</v>
      </c>
      <c r="H3132" s="1" t="s">
        <v>493</v>
      </c>
    </row>
    <row r="3133" spans="1:8" ht="16.5">
      <c r="A3133" s="1" t="s">
        <v>2662</v>
      </c>
      <c r="B3133" s="1" t="s">
        <v>26</v>
      </c>
      <c r="C3133" s="1" t="s">
        <v>2935</v>
      </c>
      <c r="D3133" s="1" t="s">
        <v>32</v>
      </c>
      <c r="E3133" s="12">
        <f>60*F3133</f>
        <v>1.4999999999999999E-2</v>
      </c>
      <c r="F3133" s="12">
        <f>Systems!P154</f>
        <v>2.5000000000000001E-4</v>
      </c>
      <c r="G3133" s="1" t="s">
        <v>33</v>
      </c>
      <c r="H3133" s="1" t="s">
        <v>493</v>
      </c>
    </row>
    <row r="3134" spans="1:8" ht="16.5">
      <c r="A3134" s="1" t="s">
        <v>2755</v>
      </c>
      <c r="B3134" s="1" t="s">
        <v>26</v>
      </c>
      <c r="C3134" s="1" t="s">
        <v>2935</v>
      </c>
      <c r="D3134" s="1" t="s">
        <v>32</v>
      </c>
      <c r="E3134" s="12">
        <f>60*F3134</f>
        <v>1.4999999999999999E-2</v>
      </c>
      <c r="F3134" s="12">
        <f>Systems!P154</f>
        <v>2.5000000000000001E-4</v>
      </c>
      <c r="G3134" s="1" t="s">
        <v>33</v>
      </c>
      <c r="H3134" s="1" t="s">
        <v>493</v>
      </c>
    </row>
    <row r="3135" spans="1:8" ht="16.5">
      <c r="A3135" s="1" t="s">
        <v>849</v>
      </c>
      <c r="B3135" s="1" t="s">
        <v>26</v>
      </c>
      <c r="C3135" s="1" t="s">
        <v>2935</v>
      </c>
      <c r="D3135" s="1" t="s">
        <v>32</v>
      </c>
      <c r="E3135" s="12">
        <f>F3135</f>
        <v>1.4149999999999999E-2</v>
      </c>
      <c r="F3135" s="12">
        <f>Systems!P153</f>
        <v>1.4149999999999999E-2</v>
      </c>
      <c r="G3135" s="1" t="s">
        <v>33</v>
      </c>
      <c r="H3135" s="1" t="s">
        <v>493</v>
      </c>
    </row>
    <row r="3136" spans="1:8">
      <c r="A3136" s="1" t="s">
        <v>851</v>
      </c>
      <c r="B3136" s="1" t="s">
        <v>26</v>
      </c>
      <c r="C3136" s="1" t="s">
        <v>17</v>
      </c>
      <c r="D3136" s="1" t="s">
        <v>20</v>
      </c>
      <c r="E3136" s="12">
        <f>F3136</f>
        <v>56</v>
      </c>
      <c r="F3136" s="12">
        <f>Systems!L153</f>
        <v>56</v>
      </c>
      <c r="G3136" s="1" t="s">
        <v>23</v>
      </c>
      <c r="H3136" s="1" t="s">
        <v>493</v>
      </c>
    </row>
    <row r="3137" spans="1:12">
      <c r="A3137" s="1" t="s">
        <v>1551</v>
      </c>
      <c r="B3137" s="1" t="s">
        <v>26</v>
      </c>
      <c r="C3137" s="1" t="s">
        <v>17</v>
      </c>
      <c r="D3137" s="1" t="s">
        <v>20</v>
      </c>
      <c r="E3137" s="12">
        <f>F3137/154</f>
        <v>3.246753246753247E-3</v>
      </c>
      <c r="F3137" s="12">
        <f>Systems!L154</f>
        <v>0.5</v>
      </c>
      <c r="G3137" s="1" t="s">
        <v>23</v>
      </c>
      <c r="H3137" s="1" t="s">
        <v>493</v>
      </c>
    </row>
    <row r="3138" spans="1:12">
      <c r="A3138" s="1" t="s">
        <v>1013</v>
      </c>
      <c r="B3138" s="1" t="s">
        <v>26</v>
      </c>
      <c r="C3138" s="1" t="s">
        <v>17</v>
      </c>
      <c r="D3138" s="1" t="s">
        <v>20</v>
      </c>
      <c r="E3138" s="12">
        <f>F3138</f>
        <v>0.5</v>
      </c>
      <c r="F3138" s="12">
        <f>Systems!L154</f>
        <v>0.5</v>
      </c>
      <c r="G3138" s="1" t="s">
        <v>23</v>
      </c>
      <c r="H3138" s="1" t="s">
        <v>493</v>
      </c>
    </row>
    <row r="3139" spans="1:12">
      <c r="A3139" s="1" t="s">
        <v>837</v>
      </c>
      <c r="B3139" s="8" t="s">
        <v>26</v>
      </c>
      <c r="C3139" s="1" t="s">
        <v>17</v>
      </c>
      <c r="D3139" s="1" t="s">
        <v>20</v>
      </c>
      <c r="E3139" s="12">
        <f>F3139/44</f>
        <v>1.2727272727272727</v>
      </c>
      <c r="F3139" s="12">
        <f>Systems!L153</f>
        <v>56</v>
      </c>
      <c r="G3139" s="1" t="s">
        <v>23</v>
      </c>
      <c r="H3139" s="1" t="s">
        <v>493</v>
      </c>
    </row>
    <row r="3140" spans="1:12">
      <c r="A3140" s="248"/>
      <c r="B3140" s="254"/>
      <c r="C3140" s="248"/>
      <c r="D3140" s="248"/>
      <c r="E3140" s="250"/>
      <c r="F3140" s="250"/>
      <c r="G3140" s="248"/>
      <c r="H3140" s="248"/>
    </row>
    <row r="3141" spans="1:12">
      <c r="A3141" s="1" t="s">
        <v>1231</v>
      </c>
      <c r="B3141" s="1" t="s">
        <v>26</v>
      </c>
      <c r="C3141" s="1" t="s">
        <v>3033</v>
      </c>
      <c r="D3141" s="1" t="s">
        <v>19</v>
      </c>
      <c r="E3141" s="12">
        <f>7*F3141/3</f>
        <v>0.71119999999999994</v>
      </c>
      <c r="F3141" s="12">
        <f>Systems!D155</f>
        <v>0.30480000000000002</v>
      </c>
      <c r="G3141" s="1" t="s">
        <v>14</v>
      </c>
      <c r="H3141" s="1" t="s">
        <v>60</v>
      </c>
      <c r="I3141" s="32"/>
      <c r="J3141" s="34"/>
      <c r="K3141" s="34"/>
      <c r="L3141" s="34"/>
    </row>
    <row r="3142" spans="1:12">
      <c r="A3142" s="1" t="s">
        <v>1398</v>
      </c>
      <c r="B3142" s="1" t="s">
        <v>26</v>
      </c>
      <c r="C3142" s="1" t="s">
        <v>3033</v>
      </c>
      <c r="D3142" s="1" t="s">
        <v>19</v>
      </c>
      <c r="E3142" s="12">
        <f>7*F3142/12</f>
        <v>0.17779999999999999</v>
      </c>
      <c r="F3142" s="12">
        <f>Systems!D155</f>
        <v>0.30480000000000002</v>
      </c>
      <c r="G3142" s="1" t="s">
        <v>14</v>
      </c>
      <c r="H3142" s="1" t="s">
        <v>60</v>
      </c>
      <c r="I3142" s="33"/>
      <c r="J3142" s="34"/>
      <c r="K3142" s="34"/>
      <c r="L3142" s="34"/>
    </row>
    <row r="3143" spans="1:12">
      <c r="A3143" s="1" t="s">
        <v>1562</v>
      </c>
      <c r="B3143" s="1" t="s">
        <v>26</v>
      </c>
      <c r="C3143" s="1" t="s">
        <v>3033</v>
      </c>
      <c r="D3143" s="1" t="s">
        <v>19</v>
      </c>
      <c r="E3143" s="12">
        <f>F3143/12</f>
        <v>2.5400000000000002E-2</v>
      </c>
      <c r="F3143" s="12">
        <f>Systems!D155</f>
        <v>0.30480000000000002</v>
      </c>
      <c r="G3143" s="1" t="s">
        <v>14</v>
      </c>
      <c r="H3143" s="1" t="s">
        <v>60</v>
      </c>
      <c r="I3143" s="33"/>
      <c r="J3143" s="34"/>
      <c r="K3143" s="34"/>
      <c r="L3143" s="34"/>
    </row>
    <row r="3144" spans="1:12">
      <c r="A3144" s="1" t="s">
        <v>1569</v>
      </c>
      <c r="B3144" s="1" t="s">
        <v>26</v>
      </c>
      <c r="C3144" s="1" t="s">
        <v>3033</v>
      </c>
      <c r="D3144" s="1" t="s">
        <v>19</v>
      </c>
      <c r="E3144" s="12">
        <f>F3144/12</f>
        <v>2.5400000000000002E-2</v>
      </c>
      <c r="F3144" s="12">
        <f>Systems!D155</f>
        <v>0.30480000000000002</v>
      </c>
      <c r="G3144" s="1" t="s">
        <v>14</v>
      </c>
      <c r="H3144" s="1" t="s">
        <v>60</v>
      </c>
      <c r="I3144" s="32"/>
      <c r="J3144" s="34"/>
      <c r="K3144" s="34"/>
      <c r="L3144" s="34"/>
    </row>
    <row r="3145" spans="1:12">
      <c r="A3145" s="1" t="s">
        <v>200</v>
      </c>
      <c r="B3145" s="1" t="s">
        <v>6949</v>
      </c>
      <c r="C3145" s="1" t="s">
        <v>3033</v>
      </c>
      <c r="D3145" s="1" t="s">
        <v>19</v>
      </c>
      <c r="E3145" s="12">
        <f>F3145</f>
        <v>0.30480000000000002</v>
      </c>
      <c r="F3145" s="12">
        <f>Systems!D155</f>
        <v>0.30480000000000002</v>
      </c>
      <c r="G3145" s="1" t="s">
        <v>14</v>
      </c>
      <c r="H3145" s="1" t="s">
        <v>60</v>
      </c>
      <c r="I3145" s="33"/>
      <c r="J3145" s="34"/>
      <c r="K3145" s="34"/>
      <c r="L3145" s="34"/>
    </row>
    <row r="3146" spans="1:12">
      <c r="A3146" s="1" t="s">
        <v>879</v>
      </c>
      <c r="B3146" s="1" t="s">
        <v>26</v>
      </c>
      <c r="C3146" s="1" t="s">
        <v>3033</v>
      </c>
      <c r="D3146" s="1" t="s">
        <v>19</v>
      </c>
      <c r="E3146" s="12">
        <f>F3146</f>
        <v>0.30480000000000002</v>
      </c>
      <c r="F3146" s="12">
        <f>Systems!D155</f>
        <v>0.30480000000000002</v>
      </c>
      <c r="G3146" s="1" t="s">
        <v>14</v>
      </c>
      <c r="H3146" s="1" t="s">
        <v>60</v>
      </c>
    </row>
    <row r="3147" spans="1:12">
      <c r="A3147" s="1" t="s">
        <v>1641</v>
      </c>
      <c r="B3147" s="1" t="s">
        <v>26</v>
      </c>
      <c r="C3147" s="1" t="s">
        <v>3033</v>
      </c>
      <c r="D3147" s="1" t="s">
        <v>19</v>
      </c>
      <c r="E3147" s="12">
        <f>F3147</f>
        <v>0.30480000000000002</v>
      </c>
      <c r="F3147" s="12">
        <f>Systems!D155</f>
        <v>0.30480000000000002</v>
      </c>
      <c r="G3147" s="1" t="s">
        <v>14</v>
      </c>
      <c r="H3147" s="1" t="s">
        <v>60</v>
      </c>
    </row>
    <row r="3148" spans="1:12">
      <c r="A3148" s="1" t="s">
        <v>245</v>
      </c>
      <c r="B3148" s="1" t="s">
        <v>26</v>
      </c>
      <c r="C3148" s="1" t="s">
        <v>3033</v>
      </c>
      <c r="D3148" s="1" t="s">
        <v>19</v>
      </c>
      <c r="E3148" s="12">
        <f>F3148/12</f>
        <v>2.5400000000000002E-2</v>
      </c>
      <c r="F3148" s="12">
        <f>Systems!D155</f>
        <v>0.30480000000000002</v>
      </c>
      <c r="G3148" s="1" t="s">
        <v>14</v>
      </c>
      <c r="H3148" s="1" t="s">
        <v>60</v>
      </c>
      <c r="I3148" s="33"/>
      <c r="J3148" s="34"/>
      <c r="K3148" s="34"/>
      <c r="L3148" s="34"/>
    </row>
    <row r="3149" spans="1:12">
      <c r="A3149" s="1" t="s">
        <v>1923</v>
      </c>
      <c r="B3149" s="1" t="s">
        <v>26</v>
      </c>
      <c r="C3149" s="1" t="s">
        <v>3033</v>
      </c>
      <c r="D3149" s="1" t="s">
        <v>19</v>
      </c>
      <c r="E3149" s="12">
        <f>125*F3149/508</f>
        <v>7.4999999999999997E-2</v>
      </c>
      <c r="F3149" s="12">
        <f>Systems!D155</f>
        <v>0.30480000000000002</v>
      </c>
      <c r="G3149" s="1" t="s">
        <v>14</v>
      </c>
      <c r="H3149" s="1" t="s">
        <v>60</v>
      </c>
    </row>
    <row r="3150" spans="1:12">
      <c r="A3150" s="1" t="s">
        <v>255</v>
      </c>
      <c r="B3150" s="1" t="s">
        <v>26</v>
      </c>
      <c r="C3150" s="1" t="s">
        <v>3033</v>
      </c>
      <c r="D3150" s="1" t="s">
        <v>19</v>
      </c>
      <c r="E3150" s="12">
        <f>F3150/120</f>
        <v>2.5400000000000002E-3</v>
      </c>
      <c r="F3150" s="12">
        <f>Systems!D155</f>
        <v>0.30480000000000002</v>
      </c>
      <c r="G3150" s="1" t="s">
        <v>14</v>
      </c>
      <c r="H3150" s="1" t="s">
        <v>60</v>
      </c>
    </row>
    <row r="3151" spans="1:12">
      <c r="A3151" s="1" t="s">
        <v>1969</v>
      </c>
      <c r="B3151" s="1" t="s">
        <v>26</v>
      </c>
      <c r="C3151" s="1" t="s">
        <v>3033</v>
      </c>
      <c r="D3151" s="1" t="s">
        <v>19</v>
      </c>
      <c r="E3151" s="12">
        <f>F3151/120</f>
        <v>2.5400000000000002E-3</v>
      </c>
      <c r="F3151" s="12">
        <f>Systems!D155</f>
        <v>0.30480000000000002</v>
      </c>
      <c r="G3151" s="1" t="s">
        <v>14</v>
      </c>
      <c r="H3151" s="1" t="s">
        <v>60</v>
      </c>
    </row>
    <row r="3152" spans="1:12">
      <c r="A3152" s="1" t="s">
        <v>1983</v>
      </c>
      <c r="B3152" s="1" t="s">
        <v>26</v>
      </c>
      <c r="C3152" s="1" t="s">
        <v>3033</v>
      </c>
      <c r="D3152" s="1" t="s">
        <v>19</v>
      </c>
      <c r="E3152" s="12">
        <f>375*F3152/254</f>
        <v>0.45000000000000007</v>
      </c>
      <c r="F3152" s="12">
        <f>Systems!D155</f>
        <v>0.30480000000000002</v>
      </c>
      <c r="G3152" s="1" t="s">
        <v>14</v>
      </c>
      <c r="H3152" s="1" t="s">
        <v>60</v>
      </c>
    </row>
    <row r="3153" spans="1:8">
      <c r="A3153" s="1" t="s">
        <v>2080</v>
      </c>
      <c r="B3153" s="1" t="s">
        <v>26</v>
      </c>
      <c r="C3153" s="1" t="s">
        <v>3033</v>
      </c>
      <c r="D3153" s="1" t="s">
        <v>19</v>
      </c>
      <c r="E3153" s="12">
        <f>24500*F3153</f>
        <v>7467.6</v>
      </c>
      <c r="F3153" s="12">
        <f>Systems!D155</f>
        <v>0.30480000000000002</v>
      </c>
      <c r="G3153" s="1" t="s">
        <v>14</v>
      </c>
      <c r="H3153" s="1" t="s">
        <v>60</v>
      </c>
    </row>
    <row r="3154" spans="1:8">
      <c r="A3154" s="1" t="s">
        <v>2209</v>
      </c>
      <c r="B3154" s="1" t="s">
        <v>26</v>
      </c>
      <c r="C3154" s="1" t="s">
        <v>3033</v>
      </c>
      <c r="D3154" s="1" t="s">
        <v>19</v>
      </c>
      <c r="E3154" s="12">
        <f>F3154/24</f>
        <v>1.2700000000000001E-2</v>
      </c>
      <c r="F3154" s="12">
        <f>Systems!D155</f>
        <v>0.30480000000000002</v>
      </c>
      <c r="G3154" s="1" t="s">
        <v>14</v>
      </c>
      <c r="H3154" s="1" t="s">
        <v>60</v>
      </c>
    </row>
    <row r="3155" spans="1:8">
      <c r="A3155" s="1" t="s">
        <v>2317</v>
      </c>
      <c r="B3155" s="1" t="s">
        <v>26</v>
      </c>
      <c r="C3155" s="1" t="s">
        <v>3033</v>
      </c>
      <c r="D3155" s="1" t="s">
        <v>19</v>
      </c>
      <c r="E3155" s="12">
        <f>7*F3155/12</f>
        <v>0.17779999999999999</v>
      </c>
      <c r="F3155" s="12">
        <f>Systems!D155</f>
        <v>0.30480000000000002</v>
      </c>
      <c r="G3155" s="1" t="s">
        <v>14</v>
      </c>
      <c r="H3155" s="1" t="s">
        <v>60</v>
      </c>
    </row>
    <row r="3156" spans="1:8">
      <c r="A3156" s="1" t="s">
        <v>2411</v>
      </c>
      <c r="B3156" s="1" t="s">
        <v>26</v>
      </c>
      <c r="C3156" s="1" t="s">
        <v>3033</v>
      </c>
      <c r="D3156" s="1" t="s">
        <v>19</v>
      </c>
      <c r="E3156" s="12">
        <f>7*F3156</f>
        <v>2.1335999999999999</v>
      </c>
      <c r="F3156" s="12">
        <f>Systems!D155</f>
        <v>0.30480000000000002</v>
      </c>
      <c r="G3156" s="1" t="s">
        <v>14</v>
      </c>
      <c r="H3156" s="1" t="s">
        <v>60</v>
      </c>
    </row>
    <row r="3157" spans="1:8">
      <c r="A3157" s="1" t="s">
        <v>2442</v>
      </c>
      <c r="B3157" s="1" t="s">
        <v>26</v>
      </c>
      <c r="C3157" s="1" t="s">
        <v>3033</v>
      </c>
      <c r="D3157" s="1" t="s">
        <v>19</v>
      </c>
      <c r="E3157" s="12">
        <f>7*F3157</f>
        <v>2.1335999999999999</v>
      </c>
      <c r="F3157" s="12">
        <f>Systems!D155</f>
        <v>0.30480000000000002</v>
      </c>
      <c r="G3157" s="1" t="s">
        <v>14</v>
      </c>
      <c r="H3157" s="1" t="s">
        <v>60</v>
      </c>
    </row>
    <row r="3158" spans="1:8">
      <c r="A3158" s="1" t="s">
        <v>2495</v>
      </c>
      <c r="B3158" s="1" t="s">
        <v>26</v>
      </c>
      <c r="C3158" s="1" t="s">
        <v>3033</v>
      </c>
      <c r="D3158" s="1" t="s">
        <v>19</v>
      </c>
      <c r="E3158" s="12">
        <f>233*F3158/100</f>
        <v>0.71018400000000004</v>
      </c>
      <c r="F3158" s="12">
        <f>Systems!D155</f>
        <v>0.30480000000000002</v>
      </c>
      <c r="G3158" s="1" t="s">
        <v>14</v>
      </c>
      <c r="H3158" s="1" t="s">
        <v>60</v>
      </c>
    </row>
    <row r="3159" spans="1:8">
      <c r="A3159" s="1" t="s">
        <v>2541</v>
      </c>
      <c r="B3159" s="1" t="s">
        <v>26</v>
      </c>
      <c r="C3159" s="1" t="s">
        <v>3033</v>
      </c>
      <c r="D3159" s="1" t="s">
        <v>19</v>
      </c>
      <c r="E3159" s="12">
        <f>7*F3159/100</f>
        <v>2.1336000000000001E-2</v>
      </c>
      <c r="F3159" s="12">
        <f>Systems!D155</f>
        <v>0.30480000000000002</v>
      </c>
      <c r="G3159" s="1" t="s">
        <v>14</v>
      </c>
      <c r="H3159" s="1" t="s">
        <v>60</v>
      </c>
    </row>
    <row r="3160" spans="1:8">
      <c r="A3160" s="1" t="s">
        <v>2625</v>
      </c>
      <c r="B3160" s="1" t="s">
        <v>26</v>
      </c>
      <c r="C3160" s="1" t="s">
        <v>3033</v>
      </c>
      <c r="D3160" s="1" t="s">
        <v>19</v>
      </c>
      <c r="E3160" s="12">
        <f>7*F3160/12</f>
        <v>0.17779999999999999</v>
      </c>
      <c r="F3160" s="12">
        <f>Systems!D155</f>
        <v>0.30480000000000002</v>
      </c>
      <c r="G3160" s="1" t="s">
        <v>14</v>
      </c>
      <c r="H3160" s="1" t="s">
        <v>60</v>
      </c>
    </row>
    <row r="3161" spans="1:8">
      <c r="A3161" s="1" t="s">
        <v>2691</v>
      </c>
      <c r="B3161" s="1" t="s">
        <v>26</v>
      </c>
      <c r="C3161" s="1" t="s">
        <v>3033</v>
      </c>
      <c r="D3161" s="1" t="s">
        <v>19</v>
      </c>
      <c r="E3161" s="12">
        <f>F3161/1200</f>
        <v>2.5399999999999999E-4</v>
      </c>
      <c r="F3161" s="12">
        <f>Systems!D155</f>
        <v>0.30480000000000002</v>
      </c>
      <c r="G3161" s="1" t="s">
        <v>14</v>
      </c>
      <c r="H3161" s="1" t="s">
        <v>60</v>
      </c>
    </row>
    <row r="3162" spans="1:8">
      <c r="A3162" s="1" t="s">
        <v>2764</v>
      </c>
      <c r="B3162" s="1" t="s">
        <v>26</v>
      </c>
      <c r="C3162" s="1" t="s">
        <v>3033</v>
      </c>
      <c r="D3162" s="1" t="s">
        <v>19</v>
      </c>
      <c r="E3162" s="12">
        <f>7*F3162/48</f>
        <v>4.4449999999999996E-2</v>
      </c>
      <c r="F3162" s="12">
        <f>Systems!D155</f>
        <v>0.30480000000000002</v>
      </c>
      <c r="G3162" s="1" t="s">
        <v>14</v>
      </c>
      <c r="H3162" s="1" t="s">
        <v>60</v>
      </c>
    </row>
    <row r="3163" spans="1:8">
      <c r="A3163" s="1" t="s">
        <v>2765</v>
      </c>
      <c r="B3163" s="1" t="s">
        <v>26</v>
      </c>
      <c r="C3163" s="1" t="s">
        <v>3033</v>
      </c>
      <c r="D3163" s="1" t="s">
        <v>19</v>
      </c>
      <c r="E3163" s="12">
        <f>3500*F3163</f>
        <v>1066.8</v>
      </c>
      <c r="F3163" s="12">
        <f>Systems!D155</f>
        <v>0.30480000000000002</v>
      </c>
      <c r="G3163" s="1" t="s">
        <v>14</v>
      </c>
      <c r="H3163" s="1" t="s">
        <v>60</v>
      </c>
    </row>
    <row r="3164" spans="1:8">
      <c r="A3164" s="1" t="s">
        <v>2766</v>
      </c>
      <c r="B3164" s="1" t="s">
        <v>26</v>
      </c>
      <c r="C3164" s="1" t="s">
        <v>3033</v>
      </c>
      <c r="D3164" s="1" t="s">
        <v>19</v>
      </c>
      <c r="E3164" s="12">
        <f>3500*F3164</f>
        <v>1066.8</v>
      </c>
      <c r="F3164" s="12">
        <f>Systems!D155</f>
        <v>0.30480000000000002</v>
      </c>
      <c r="G3164" s="1" t="s">
        <v>14</v>
      </c>
      <c r="H3164" s="1" t="s">
        <v>60</v>
      </c>
    </row>
    <row r="3165" spans="1:8">
      <c r="A3165" s="1" t="s">
        <v>2782</v>
      </c>
      <c r="B3165" s="1" t="s">
        <v>26</v>
      </c>
      <c r="C3165" s="1" t="s">
        <v>3033</v>
      </c>
      <c r="D3165" s="1" t="s">
        <v>19</v>
      </c>
      <c r="E3165" s="12">
        <f>3500*F3165</f>
        <v>1066.8</v>
      </c>
      <c r="F3165" s="12">
        <f>Systems!D155</f>
        <v>0.30480000000000002</v>
      </c>
      <c r="G3165" s="1" t="s">
        <v>14</v>
      </c>
      <c r="H3165" s="1" t="s">
        <v>60</v>
      </c>
    </row>
    <row r="3166" spans="1:8" ht="16.5">
      <c r="A3166" s="1" t="s">
        <v>1510</v>
      </c>
      <c r="B3166" s="1" t="s">
        <v>26</v>
      </c>
      <c r="C3166" s="1" t="s">
        <v>3034</v>
      </c>
      <c r="D3166" s="1" t="s">
        <v>38</v>
      </c>
      <c r="E3166" s="12">
        <f>2400*F3166</f>
        <v>10925.397504</v>
      </c>
      <c r="F3166" s="12">
        <f>POWER(7*Systems!D155,2)</f>
        <v>4.55224896</v>
      </c>
      <c r="G3166" s="1" t="s">
        <v>39</v>
      </c>
      <c r="H3166" s="1" t="s">
        <v>60</v>
      </c>
    </row>
    <row r="3167" spans="1:8" ht="16.5">
      <c r="A3167" s="1" t="s">
        <v>1511</v>
      </c>
      <c r="B3167" s="1" t="s">
        <v>26</v>
      </c>
      <c r="C3167" s="1" t="s">
        <v>3034</v>
      </c>
      <c r="D3167" s="1" t="s">
        <v>38</v>
      </c>
      <c r="E3167" s="12">
        <f>2400*F3167</f>
        <v>10925.397504</v>
      </c>
      <c r="F3167" s="12">
        <f>POWER(7*Systems!D155,2)</f>
        <v>4.55224896</v>
      </c>
      <c r="G3167" s="1" t="s">
        <v>39</v>
      </c>
      <c r="H3167" s="1" t="s">
        <v>60</v>
      </c>
    </row>
    <row r="3168" spans="1:8" ht="16.5">
      <c r="A3168" s="1" t="s">
        <v>1391</v>
      </c>
      <c r="B3168" s="1" t="s">
        <v>26</v>
      </c>
      <c r="C3168" s="1" t="s">
        <v>2936</v>
      </c>
      <c r="D3168" s="1" t="s">
        <v>32</v>
      </c>
      <c r="E3168" s="12">
        <f>F3168/30</f>
        <v>1.0932808888888889E-4</v>
      </c>
      <c r="F3168" s="12">
        <f>Systems!T155</f>
        <v>3.2798426666666666E-3</v>
      </c>
      <c r="G3168" s="1" t="s">
        <v>33</v>
      </c>
      <c r="H3168" s="1" t="s">
        <v>60</v>
      </c>
    </row>
    <row r="3169" spans="1:8" ht="16.5">
      <c r="A3169" s="1" t="s">
        <v>1397</v>
      </c>
      <c r="B3169" s="1" t="s">
        <v>26</v>
      </c>
      <c r="C3169" s="1" t="s">
        <v>2936</v>
      </c>
      <c r="D3169" s="1" t="s">
        <v>32</v>
      </c>
      <c r="E3169" s="12">
        <f>8*F3169</f>
        <v>2.6238741333333333E-2</v>
      </c>
      <c r="F3169" s="12">
        <f>Systems!T155</f>
        <v>3.2798426666666666E-3</v>
      </c>
      <c r="G3169" s="1" t="s">
        <v>33</v>
      </c>
      <c r="H3169" s="1" t="s">
        <v>60</v>
      </c>
    </row>
    <row r="3170" spans="1:8" ht="16.5">
      <c r="A3170" s="1" t="s">
        <v>1398</v>
      </c>
      <c r="B3170" s="1" t="s">
        <v>26</v>
      </c>
      <c r="C3170" s="1" t="s">
        <v>2936</v>
      </c>
      <c r="D3170" s="1" t="s">
        <v>32</v>
      </c>
      <c r="E3170" s="12">
        <f>64*F3170</f>
        <v>0.20990993066666666</v>
      </c>
      <c r="F3170" s="12">
        <f>Systems!T155</f>
        <v>3.2798426666666666E-3</v>
      </c>
      <c r="G3170" s="1" t="s">
        <v>33</v>
      </c>
      <c r="H3170" s="1" t="s">
        <v>60</v>
      </c>
    </row>
    <row r="3171" spans="1:8" ht="16.5">
      <c r="A3171" s="1" t="s">
        <v>1655</v>
      </c>
      <c r="B3171" s="1" t="s">
        <v>26</v>
      </c>
      <c r="C3171" s="1" t="s">
        <v>2936</v>
      </c>
      <c r="D3171" s="1" t="s">
        <v>32</v>
      </c>
      <c r="E3171" s="12">
        <f>F3171</f>
        <v>3.2798426666666666E-3</v>
      </c>
      <c r="F3171" s="12">
        <f>Systems!T155</f>
        <v>3.2798426666666666E-3</v>
      </c>
      <c r="G3171" s="1" t="s">
        <v>33</v>
      </c>
      <c r="H3171" s="1" t="s">
        <v>60</v>
      </c>
    </row>
    <row r="3172" spans="1:8" ht="16.5">
      <c r="A3172" s="1" t="s">
        <v>881</v>
      </c>
      <c r="B3172" s="1" t="s">
        <v>26</v>
      </c>
      <c r="C3172" s="1" t="s">
        <v>2936</v>
      </c>
      <c r="D3172" s="1" t="s">
        <v>32</v>
      </c>
      <c r="E3172" s="12">
        <f>F3172</f>
        <v>3.2798426666666666E-3</v>
      </c>
      <c r="F3172" s="12">
        <f>Systems!T155</f>
        <v>3.2798426666666666E-3</v>
      </c>
      <c r="G3172" s="1" t="s">
        <v>33</v>
      </c>
      <c r="H3172" s="1" t="s">
        <v>60</v>
      </c>
    </row>
    <row r="3173" spans="1:8" ht="16.5">
      <c r="A3173" s="1" t="s">
        <v>1887</v>
      </c>
      <c r="B3173" s="1" t="s">
        <v>26</v>
      </c>
      <c r="C3173" s="1" t="s">
        <v>2936</v>
      </c>
      <c r="D3173" s="1" t="s">
        <v>32</v>
      </c>
      <c r="E3173" s="12">
        <f>2*F3173/5</f>
        <v>1.3119370666666665E-3</v>
      </c>
      <c r="F3173" s="12">
        <f>Systems!T155</f>
        <v>3.2798426666666666E-3</v>
      </c>
      <c r="G3173" s="1" t="s">
        <v>33</v>
      </c>
      <c r="H3173" s="1" t="s">
        <v>60</v>
      </c>
    </row>
    <row r="3174" spans="1:8" ht="16.5">
      <c r="A3174" s="1" t="s">
        <v>1888</v>
      </c>
      <c r="B3174" s="1" t="s">
        <v>26</v>
      </c>
      <c r="C3174" s="1" t="s">
        <v>2936</v>
      </c>
      <c r="D3174" s="1" t="s">
        <v>32</v>
      </c>
      <c r="E3174" s="12">
        <f>2*F3174/5</f>
        <v>1.3119370666666665E-3</v>
      </c>
      <c r="F3174" s="12">
        <f>Systems!T155</f>
        <v>3.2798426666666666E-3</v>
      </c>
      <c r="G3174" s="1" t="s">
        <v>33</v>
      </c>
      <c r="H3174" s="1" t="s">
        <v>60</v>
      </c>
    </row>
    <row r="3175" spans="1:8" ht="16.5">
      <c r="A3175" s="1" t="s">
        <v>1981</v>
      </c>
      <c r="B3175" s="1" t="s">
        <v>26</v>
      </c>
      <c r="C3175" s="1" t="s">
        <v>2936</v>
      </c>
      <c r="D3175" s="1" t="s">
        <v>32</v>
      </c>
      <c r="E3175" s="12">
        <f>296*F3175/15</f>
        <v>6.4722228622222225E-2</v>
      </c>
      <c r="F3175" s="12">
        <f>Systems!T155</f>
        <v>3.2798426666666666E-3</v>
      </c>
      <c r="G3175" s="1" t="s">
        <v>33</v>
      </c>
      <c r="H3175" s="1" t="s">
        <v>60</v>
      </c>
    </row>
    <row r="3176" spans="1:8" ht="16.5">
      <c r="A3176" s="1" t="s">
        <v>2182</v>
      </c>
      <c r="B3176" s="1" t="s">
        <v>26</v>
      </c>
      <c r="C3176" s="1" t="s">
        <v>2936</v>
      </c>
      <c r="D3176" s="1" t="s">
        <v>32</v>
      </c>
      <c r="E3176" s="12">
        <f>32*F3176</f>
        <v>0.10495496533333333</v>
      </c>
      <c r="F3176" s="12">
        <f>Systems!T155</f>
        <v>3.2798426666666666E-3</v>
      </c>
      <c r="G3176" s="1" t="s">
        <v>33</v>
      </c>
      <c r="H3176" s="1" t="s">
        <v>60</v>
      </c>
    </row>
    <row r="3177" spans="1:8" ht="16.5">
      <c r="A3177" s="1" t="s">
        <v>2183</v>
      </c>
      <c r="B3177" s="1" t="s">
        <v>26</v>
      </c>
      <c r="C3177" s="1" t="s">
        <v>2936</v>
      </c>
      <c r="D3177" s="1" t="s">
        <v>32</v>
      </c>
      <c r="E3177" s="12">
        <f>32*F3177</f>
        <v>0.10495496533333333</v>
      </c>
      <c r="F3177" s="12">
        <f>Systems!T155</f>
        <v>3.2798426666666666E-3</v>
      </c>
      <c r="G3177" s="1" t="s">
        <v>33</v>
      </c>
      <c r="H3177" s="1" t="s">
        <v>60</v>
      </c>
    </row>
    <row r="3178" spans="1:8" ht="16.5">
      <c r="A3178" s="1" t="s">
        <v>2236</v>
      </c>
      <c r="B3178" s="1" t="s">
        <v>26</v>
      </c>
      <c r="C3178" s="1" t="s">
        <v>2936</v>
      </c>
      <c r="D3178" s="1" t="s">
        <v>32</v>
      </c>
      <c r="E3178" s="12">
        <f>16*F3178</f>
        <v>5.2477482666666665E-2</v>
      </c>
      <c r="F3178" s="12">
        <f>Systems!T155</f>
        <v>3.2798426666666666E-3</v>
      </c>
      <c r="G3178" s="1" t="s">
        <v>33</v>
      </c>
      <c r="H3178" s="1" t="s">
        <v>60</v>
      </c>
    </row>
    <row r="3179" spans="1:8" ht="16.5">
      <c r="A3179" s="1" t="s">
        <v>2289</v>
      </c>
      <c r="B3179" s="1" t="s">
        <v>26</v>
      </c>
      <c r="C3179" s="1" t="s">
        <v>2936</v>
      </c>
      <c r="D3179" s="1" t="s">
        <v>32</v>
      </c>
      <c r="E3179" s="12">
        <f>F3179/2</f>
        <v>1.6399213333333333E-3</v>
      </c>
      <c r="F3179" s="12">
        <f>Systems!T155</f>
        <v>3.2798426666666666E-3</v>
      </c>
      <c r="G3179" s="1" t="s">
        <v>33</v>
      </c>
      <c r="H3179" s="1" t="s">
        <v>60</v>
      </c>
    </row>
    <row r="3180" spans="1:8" ht="16.5">
      <c r="A3180" s="1" t="s">
        <v>2624</v>
      </c>
      <c r="B3180" s="1" t="s">
        <v>26</v>
      </c>
      <c r="C3180" s="1" t="s">
        <v>2936</v>
      </c>
      <c r="D3180" s="1" t="s">
        <v>32</v>
      </c>
      <c r="E3180" s="12">
        <f>64*F3180</f>
        <v>0.20990993066666666</v>
      </c>
      <c r="F3180" s="12">
        <f>Systems!T155</f>
        <v>3.2798426666666666E-3</v>
      </c>
      <c r="G3180" s="1" t="s">
        <v>33</v>
      </c>
      <c r="H3180" s="1" t="s">
        <v>60</v>
      </c>
    </row>
    <row r="3181" spans="1:8" ht="16.5">
      <c r="A3181" s="1" t="s">
        <v>2620</v>
      </c>
      <c r="B3181" s="1" t="s">
        <v>26</v>
      </c>
      <c r="C3181" s="1" t="s">
        <v>2936</v>
      </c>
      <c r="D3181" s="1" t="s">
        <v>32</v>
      </c>
      <c r="E3181" s="12">
        <f>F3181/30</f>
        <v>1.0932808888888889E-4</v>
      </c>
      <c r="F3181" s="12">
        <f>Systems!T155</f>
        <v>3.2798426666666666E-3</v>
      </c>
      <c r="G3181" s="1" t="s">
        <v>33</v>
      </c>
      <c r="H3181" s="1" t="s">
        <v>60</v>
      </c>
    </row>
    <row r="3182" spans="1:8" ht="16.5">
      <c r="A3182" s="1" t="s">
        <v>2623</v>
      </c>
      <c r="B3182" s="1" t="s">
        <v>26</v>
      </c>
      <c r="C3182" s="1" t="s">
        <v>2936</v>
      </c>
      <c r="D3182" s="1" t="s">
        <v>32</v>
      </c>
      <c r="E3182" s="12">
        <f>8*F3182</f>
        <v>2.6238741333333333E-2</v>
      </c>
      <c r="F3182" s="12">
        <f>Systems!T155</f>
        <v>3.2798426666666666E-3</v>
      </c>
      <c r="G3182" s="1" t="s">
        <v>33</v>
      </c>
      <c r="H3182" s="1" t="s">
        <v>60</v>
      </c>
    </row>
    <row r="3183" spans="1:8" ht="16.5">
      <c r="A3183" s="1" t="s">
        <v>882</v>
      </c>
      <c r="B3183" s="1" t="s">
        <v>26</v>
      </c>
      <c r="C3183" s="1" t="s">
        <v>2936</v>
      </c>
      <c r="D3183" s="1" t="s">
        <v>32</v>
      </c>
      <c r="E3183" s="12">
        <f>4*F3183</f>
        <v>1.3119370666666666E-2</v>
      </c>
      <c r="F3183" s="12">
        <f>Systems!T155</f>
        <v>3.2798426666666666E-3</v>
      </c>
      <c r="G3183" s="1" t="s">
        <v>33</v>
      </c>
      <c r="H3183" s="1" t="s">
        <v>60</v>
      </c>
    </row>
    <row r="3184" spans="1:8" ht="16.5">
      <c r="A3184" s="1" t="s">
        <v>1215</v>
      </c>
      <c r="B3184" s="1" t="s">
        <v>26</v>
      </c>
      <c r="C3184" s="1" t="s">
        <v>2935</v>
      </c>
      <c r="D3184" s="1" t="s">
        <v>32</v>
      </c>
      <c r="E3184" s="12">
        <f>3*F3184</f>
        <v>3.6898230000000004E-2</v>
      </c>
      <c r="F3184" s="12">
        <f>Systems!P155</f>
        <v>1.229941E-2</v>
      </c>
      <c r="G3184" s="1" t="s">
        <v>33</v>
      </c>
      <c r="H3184" s="1" t="s">
        <v>60</v>
      </c>
    </row>
    <row r="3185" spans="1:8" ht="16.5">
      <c r="A3185" s="1" t="s">
        <v>1300</v>
      </c>
      <c r="B3185" s="1" t="s">
        <v>26</v>
      </c>
      <c r="C3185" s="1" t="s">
        <v>2935</v>
      </c>
      <c r="D3185" s="1" t="s">
        <v>32</v>
      </c>
      <c r="E3185" s="12">
        <f>40*F3185</f>
        <v>0.49197639999999998</v>
      </c>
      <c r="F3185" s="12">
        <f>Systems!P155</f>
        <v>1.229941E-2</v>
      </c>
      <c r="G3185" s="1" t="s">
        <v>33</v>
      </c>
      <c r="H3185" s="1" t="s">
        <v>60</v>
      </c>
    </row>
    <row r="3186" spans="1:8" ht="16.5">
      <c r="A3186" s="1" t="s">
        <v>1306</v>
      </c>
      <c r="B3186" s="1" t="s">
        <v>26</v>
      </c>
      <c r="C3186" s="1" t="s">
        <v>2935</v>
      </c>
      <c r="D3186" s="1" t="s">
        <v>32</v>
      </c>
      <c r="E3186" s="12">
        <f>40*F3186</f>
        <v>0.49197639999999998</v>
      </c>
      <c r="F3186" s="12">
        <f>Systems!P155</f>
        <v>1.229941E-2</v>
      </c>
      <c r="G3186" s="1" t="s">
        <v>33</v>
      </c>
      <c r="H3186" s="1" t="s">
        <v>60</v>
      </c>
    </row>
    <row r="3187" spans="1:8" ht="16.5">
      <c r="A3187" s="1" t="s">
        <v>5120</v>
      </c>
      <c r="B3187" s="1" t="s">
        <v>26</v>
      </c>
      <c r="C3187" s="1" t="s">
        <v>2935</v>
      </c>
      <c r="D3187" s="1" t="s">
        <v>32</v>
      </c>
      <c r="E3187" s="12">
        <f>F3187/20</f>
        <v>6.1497050000000001E-4</v>
      </c>
      <c r="F3187" s="12">
        <f>Systems!P155</f>
        <v>1.229941E-2</v>
      </c>
      <c r="G3187" s="1" t="s">
        <v>33</v>
      </c>
      <c r="H3187" s="1" t="s">
        <v>60</v>
      </c>
    </row>
    <row r="3188" spans="1:8" ht="16.5">
      <c r="A3188" s="1" t="s">
        <v>5121</v>
      </c>
      <c r="B3188" s="1" t="s">
        <v>26</v>
      </c>
      <c r="C3188" s="1" t="s">
        <v>2935</v>
      </c>
      <c r="D3188" s="1" t="s">
        <v>32</v>
      </c>
      <c r="E3188" s="12">
        <f>F3188/16</f>
        <v>7.6871312500000001E-4</v>
      </c>
      <c r="F3188" s="12">
        <f>Systems!P155</f>
        <v>1.229941E-2</v>
      </c>
      <c r="G3188" s="1" t="s">
        <v>33</v>
      </c>
      <c r="H3188" s="1" t="s">
        <v>60</v>
      </c>
    </row>
    <row r="3189" spans="1:8" ht="16.5">
      <c r="A3189" s="1" t="s">
        <v>5122</v>
      </c>
      <c r="B3189" s="1" t="s">
        <v>26</v>
      </c>
      <c r="C3189" s="1" t="s">
        <v>2935</v>
      </c>
      <c r="D3189" s="1" t="s">
        <v>32</v>
      </c>
      <c r="E3189" s="12">
        <f>F3189/20</f>
        <v>6.1497050000000001E-4</v>
      </c>
      <c r="F3189" s="12">
        <f>Systems!P155</f>
        <v>1.229941E-2</v>
      </c>
      <c r="G3189" s="1" t="s">
        <v>33</v>
      </c>
      <c r="H3189" s="1" t="s">
        <v>60</v>
      </c>
    </row>
    <row r="3190" spans="1:8" ht="16.5">
      <c r="A3190" s="1" t="s">
        <v>5123</v>
      </c>
      <c r="B3190" s="1" t="s">
        <v>26</v>
      </c>
      <c r="C3190" s="1" t="s">
        <v>2935</v>
      </c>
      <c r="D3190" s="1" t="s">
        <v>32</v>
      </c>
      <c r="E3190" s="12">
        <f>F3190/16</f>
        <v>7.6871312500000001E-4</v>
      </c>
      <c r="F3190" s="12">
        <f>Systems!P155</f>
        <v>1.229941E-2</v>
      </c>
      <c r="G3190" s="1" t="s">
        <v>33</v>
      </c>
      <c r="H3190" s="1" t="s">
        <v>60</v>
      </c>
    </row>
    <row r="3191" spans="1:8" ht="16.5">
      <c r="A3191" s="1" t="s">
        <v>1390</v>
      </c>
      <c r="B3191" s="1" t="s">
        <v>26</v>
      </c>
      <c r="C3191" s="1" t="s">
        <v>2935</v>
      </c>
      <c r="D3191" s="1" t="s">
        <v>32</v>
      </c>
      <c r="E3191" s="12">
        <f>F3191/100</f>
        <v>1.229941E-4</v>
      </c>
      <c r="F3191" s="12">
        <f>Systems!P155</f>
        <v>1.229941E-2</v>
      </c>
      <c r="G3191" s="1" t="s">
        <v>33</v>
      </c>
      <c r="H3191" s="1" t="s">
        <v>60</v>
      </c>
    </row>
    <row r="3192" spans="1:8" ht="16.5">
      <c r="A3192" s="1" t="s">
        <v>1398</v>
      </c>
      <c r="B3192" s="1" t="s">
        <v>26</v>
      </c>
      <c r="C3192" s="1" t="s">
        <v>2935</v>
      </c>
      <c r="D3192" s="1" t="s">
        <v>32</v>
      </c>
      <c r="E3192" s="12">
        <f>F3192/8</f>
        <v>1.53742625E-3</v>
      </c>
      <c r="F3192" s="12">
        <f>Systems!P155</f>
        <v>1.229941E-2</v>
      </c>
      <c r="G3192" s="1" t="s">
        <v>33</v>
      </c>
      <c r="H3192" s="1" t="s">
        <v>60</v>
      </c>
    </row>
    <row r="3193" spans="1:8" ht="16.5">
      <c r="A3193" s="1" t="s">
        <v>1407</v>
      </c>
      <c r="B3193" s="1" t="s">
        <v>26</v>
      </c>
      <c r="C3193" s="1" t="s">
        <v>2935</v>
      </c>
      <c r="D3193" s="1" t="s">
        <v>32</v>
      </c>
      <c r="E3193" s="12">
        <f>F3193/200</f>
        <v>6.1497050000000001E-5</v>
      </c>
      <c r="F3193" s="12">
        <f>Systems!P155</f>
        <v>1.229941E-2</v>
      </c>
      <c r="G3193" s="1" t="s">
        <v>33</v>
      </c>
      <c r="H3193" s="1" t="s">
        <v>60</v>
      </c>
    </row>
    <row r="3194" spans="1:8" ht="16.5">
      <c r="A3194" s="1" t="s">
        <v>1601</v>
      </c>
      <c r="B3194" s="1" t="s">
        <v>26</v>
      </c>
      <c r="C3194" s="1" t="s">
        <v>2935</v>
      </c>
      <c r="D3194" s="1" t="s">
        <v>32</v>
      </c>
      <c r="E3194" s="12">
        <f>40*F3194</f>
        <v>0.49197639999999998</v>
      </c>
      <c r="F3194" s="12">
        <f>Systems!P155</f>
        <v>1.229941E-2</v>
      </c>
      <c r="G3194" s="1" t="s">
        <v>33</v>
      </c>
      <c r="H3194" s="1" t="s">
        <v>60</v>
      </c>
    </row>
    <row r="3195" spans="1:8" ht="16.5">
      <c r="A3195" s="1" t="s">
        <v>1880</v>
      </c>
      <c r="B3195" s="1" t="s">
        <v>26</v>
      </c>
      <c r="C3195" s="1" t="s">
        <v>2935</v>
      </c>
      <c r="D3195" s="1" t="s">
        <v>32</v>
      </c>
      <c r="E3195" s="12">
        <f>F3195/200</f>
        <v>6.1497050000000001E-5</v>
      </c>
      <c r="F3195" s="12">
        <f>Systems!P155</f>
        <v>1.229941E-2</v>
      </c>
      <c r="G3195" s="1" t="s">
        <v>33</v>
      </c>
      <c r="H3195" s="1" t="s">
        <v>60</v>
      </c>
    </row>
    <row r="3196" spans="1:8" ht="16.5">
      <c r="A3196" s="1" t="s">
        <v>1886</v>
      </c>
      <c r="B3196" s="1" t="s">
        <v>26</v>
      </c>
      <c r="C3196" s="1" t="s">
        <v>2935</v>
      </c>
      <c r="D3196" s="1" t="s">
        <v>32</v>
      </c>
      <c r="E3196" s="12">
        <f>F3196/10</f>
        <v>1.229941E-3</v>
      </c>
      <c r="F3196" s="12">
        <f>Systems!P155</f>
        <v>1.229941E-2</v>
      </c>
      <c r="G3196" s="1" t="s">
        <v>33</v>
      </c>
      <c r="H3196" s="1" t="s">
        <v>60</v>
      </c>
    </row>
    <row r="3197" spans="1:8" ht="16.5">
      <c r="A3197" s="1" t="s">
        <v>1888</v>
      </c>
      <c r="B3197" s="1" t="s">
        <v>26</v>
      </c>
      <c r="C3197" s="1" t="s">
        <v>2935</v>
      </c>
      <c r="D3197" s="1" t="s">
        <v>32</v>
      </c>
      <c r="E3197" s="12">
        <f>F3197/10</f>
        <v>1.229941E-3</v>
      </c>
      <c r="F3197" s="12">
        <f>Systems!P155</f>
        <v>1.229941E-2</v>
      </c>
      <c r="G3197" s="1" t="s">
        <v>33</v>
      </c>
      <c r="H3197" s="1" t="s">
        <v>60</v>
      </c>
    </row>
    <row r="3198" spans="1:8" ht="16.5">
      <c r="A3198" s="1" t="s">
        <v>2255</v>
      </c>
      <c r="B3198" s="1" t="s">
        <v>26</v>
      </c>
      <c r="C3198" s="1" t="s">
        <v>2935</v>
      </c>
      <c r="D3198" s="1" t="s">
        <v>32</v>
      </c>
      <c r="E3198" s="12">
        <f>36*F3198</f>
        <v>0.44277875999999999</v>
      </c>
      <c r="F3198" s="12">
        <f>Systems!P155</f>
        <v>1.229941E-2</v>
      </c>
      <c r="G3198" s="1" t="s">
        <v>33</v>
      </c>
      <c r="H3198" s="1" t="s">
        <v>60</v>
      </c>
    </row>
    <row r="3199" spans="1:8" ht="16.5">
      <c r="A3199" s="1" t="s">
        <v>2504</v>
      </c>
      <c r="B3199" s="1" t="s">
        <v>26</v>
      </c>
      <c r="C3199" s="1" t="s">
        <v>2935</v>
      </c>
      <c r="D3199" s="1" t="s">
        <v>32</v>
      </c>
      <c r="E3199" s="12">
        <f>F3199/200</f>
        <v>6.1497050000000001E-5</v>
      </c>
      <c r="F3199" s="12">
        <f>Systems!P155</f>
        <v>1.229941E-2</v>
      </c>
      <c r="G3199" s="1" t="s">
        <v>33</v>
      </c>
      <c r="H3199" s="1" t="s">
        <v>60</v>
      </c>
    </row>
    <row r="3200" spans="1:8" ht="16.5">
      <c r="A3200" s="1" t="s">
        <v>2509</v>
      </c>
      <c r="B3200" s="1" t="s">
        <v>26</v>
      </c>
      <c r="C3200" s="1" t="s">
        <v>2935</v>
      </c>
      <c r="D3200" s="1" t="s">
        <v>32</v>
      </c>
      <c r="E3200" s="12">
        <f>F3200/8</f>
        <v>1.53742625E-3</v>
      </c>
      <c r="F3200" s="12">
        <f>Systems!P155</f>
        <v>1.229941E-2</v>
      </c>
      <c r="G3200" s="1" t="s">
        <v>33</v>
      </c>
      <c r="H3200" s="1" t="s">
        <v>60</v>
      </c>
    </row>
    <row r="3201" spans="1:8" ht="16.5">
      <c r="A3201" s="1" t="s">
        <v>2572</v>
      </c>
      <c r="B3201" s="1" t="s">
        <v>26</v>
      </c>
      <c r="C3201" s="1" t="s">
        <v>2935</v>
      </c>
      <c r="D3201" s="1" t="s">
        <v>32</v>
      </c>
      <c r="E3201" s="12">
        <f>3*F3201/2</f>
        <v>1.8449115000000002E-2</v>
      </c>
      <c r="F3201" s="12">
        <f>Systems!P155</f>
        <v>1.229941E-2</v>
      </c>
      <c r="G3201" s="1" t="s">
        <v>33</v>
      </c>
      <c r="H3201" s="1" t="s">
        <v>60</v>
      </c>
    </row>
    <row r="3202" spans="1:8" ht="16.5">
      <c r="A3202" s="1" t="s">
        <v>2619</v>
      </c>
      <c r="B3202" s="1" t="s">
        <v>26</v>
      </c>
      <c r="C3202" s="1" t="s">
        <v>2935</v>
      </c>
      <c r="D3202" s="1" t="s">
        <v>32</v>
      </c>
      <c r="E3202" s="12">
        <f>F3202/100</f>
        <v>1.229941E-4</v>
      </c>
      <c r="F3202" s="12">
        <f>Systems!P155</f>
        <v>1.229941E-2</v>
      </c>
      <c r="G3202" s="1" t="s">
        <v>33</v>
      </c>
      <c r="H3202" s="1" t="s">
        <v>60</v>
      </c>
    </row>
    <row r="3203" spans="1:8" ht="16.5">
      <c r="A3203" s="1" t="s">
        <v>882</v>
      </c>
      <c r="B3203" s="1" t="s">
        <v>26</v>
      </c>
      <c r="C3203" s="1" t="s">
        <v>2935</v>
      </c>
      <c r="D3203" s="1" t="s">
        <v>32</v>
      </c>
      <c r="E3203" s="12">
        <f>F3203</f>
        <v>1.229941E-2</v>
      </c>
      <c r="F3203" s="12">
        <f>Systems!P155</f>
        <v>1.229941E-2</v>
      </c>
      <c r="G3203" s="1" t="s">
        <v>33</v>
      </c>
      <c r="H3203" s="1" t="s">
        <v>60</v>
      </c>
    </row>
    <row r="3204" spans="1:8">
      <c r="A3204" s="1" t="s">
        <v>1287</v>
      </c>
      <c r="B3204" s="1" t="s">
        <v>26</v>
      </c>
      <c r="C3204" s="1" t="s">
        <v>17</v>
      </c>
      <c r="D3204" s="1" t="s">
        <v>20</v>
      </c>
      <c r="E3204" s="12">
        <f>400*F3204</f>
        <v>163.80687169826774</v>
      </c>
      <c r="F3204" s="12">
        <f>Systems!L155</f>
        <v>0.40951717924566938</v>
      </c>
      <c r="G3204" s="1" t="s">
        <v>23</v>
      </c>
      <c r="H3204" s="1" t="s">
        <v>60</v>
      </c>
    </row>
    <row r="3205" spans="1:8">
      <c r="A3205" s="1" t="s">
        <v>880</v>
      </c>
      <c r="B3205" s="1" t="s">
        <v>26</v>
      </c>
      <c r="C3205" s="1" t="s">
        <v>17</v>
      </c>
      <c r="D3205" s="1" t="s">
        <v>20</v>
      </c>
      <c r="E3205" s="12">
        <f>F3205/9216</f>
        <v>4.4435457817455445E-5</v>
      </c>
      <c r="F3205" s="12">
        <f>Systems!L155</f>
        <v>0.40951717924566938</v>
      </c>
      <c r="G3205" s="1" t="s">
        <v>23</v>
      </c>
      <c r="H3205" s="1" t="s">
        <v>60</v>
      </c>
    </row>
    <row r="3206" spans="1:8">
      <c r="A3206" s="1" t="s">
        <v>5124</v>
      </c>
      <c r="B3206" s="1" t="s">
        <v>26</v>
      </c>
      <c r="C3206" s="1" t="s">
        <v>17</v>
      </c>
      <c r="D3206" s="1" t="s">
        <v>20</v>
      </c>
      <c r="E3206" s="12">
        <f>F3206</f>
        <v>4.4434940300000001E-5</v>
      </c>
      <c r="F3206" s="12">
        <f>Systems!L156</f>
        <v>4.4434940300000001E-5</v>
      </c>
      <c r="G3206" s="1" t="s">
        <v>23</v>
      </c>
      <c r="H3206" s="1" t="s">
        <v>60</v>
      </c>
    </row>
    <row r="3207" spans="1:8">
      <c r="A3207" s="1" t="s">
        <v>1541</v>
      </c>
      <c r="B3207" s="1" t="s">
        <v>26</v>
      </c>
      <c r="C3207" s="1" t="s">
        <v>17</v>
      </c>
      <c r="D3207" s="1" t="s">
        <v>20</v>
      </c>
      <c r="E3207" s="12">
        <f>F3207/9216</f>
        <v>4.4435457817455445E-5</v>
      </c>
      <c r="F3207" s="12">
        <f>Systems!L155</f>
        <v>0.40951717924566938</v>
      </c>
      <c r="G3207" s="1" t="s">
        <v>23</v>
      </c>
      <c r="H3207" s="1" t="s">
        <v>60</v>
      </c>
    </row>
    <row r="3208" spans="1:8">
      <c r="A3208" s="1" t="s">
        <v>4412</v>
      </c>
      <c r="B3208" s="1" t="s">
        <v>26</v>
      </c>
      <c r="C3208" s="1" t="s">
        <v>17</v>
      </c>
      <c r="D3208" s="1" t="s">
        <v>20</v>
      </c>
      <c r="E3208" s="12">
        <f>84*F3208</f>
        <v>3.7325349852000002E-3</v>
      </c>
      <c r="F3208" s="12">
        <f>Systems!L156</f>
        <v>4.4434940300000001E-5</v>
      </c>
      <c r="G3208" s="1" t="s">
        <v>23</v>
      </c>
      <c r="H3208" s="1" t="s">
        <v>60</v>
      </c>
    </row>
    <row r="3209" spans="1:8">
      <c r="A3209" s="1" t="s">
        <v>5125</v>
      </c>
      <c r="B3209" s="1" t="s">
        <v>26</v>
      </c>
      <c r="C3209" s="1" t="s">
        <v>17</v>
      </c>
      <c r="D3209" s="1" t="s">
        <v>20</v>
      </c>
      <c r="E3209" s="12">
        <f>84*F3209</f>
        <v>3.7325349852000002E-3</v>
      </c>
      <c r="F3209" s="12">
        <f>Systems!L156</f>
        <v>4.4434940300000001E-5</v>
      </c>
      <c r="G3209" s="1" t="s">
        <v>23</v>
      </c>
      <c r="H3209" s="1" t="s">
        <v>60</v>
      </c>
    </row>
    <row r="3210" spans="1:8">
      <c r="A3210" s="1" t="s">
        <v>859</v>
      </c>
      <c r="B3210" s="1" t="s">
        <v>26</v>
      </c>
      <c r="C3210" s="1" t="s">
        <v>17</v>
      </c>
      <c r="D3210" s="1" t="s">
        <v>20</v>
      </c>
      <c r="E3210" s="12">
        <f>F3210</f>
        <v>0.40951717924566938</v>
      </c>
      <c r="F3210" s="12">
        <f>Systems!L155</f>
        <v>0.40951717924566938</v>
      </c>
      <c r="G3210" s="1" t="s">
        <v>23</v>
      </c>
      <c r="H3210" s="1" t="s">
        <v>60</v>
      </c>
    </row>
    <row r="3211" spans="1:8">
      <c r="A3211" s="1" t="s">
        <v>5126</v>
      </c>
      <c r="B3211" s="1" t="s">
        <v>26</v>
      </c>
      <c r="C3211" s="1" t="s">
        <v>17</v>
      </c>
      <c r="D3211" s="1" t="s">
        <v>20</v>
      </c>
      <c r="E3211" s="12">
        <f>8064*F3211</f>
        <v>0.3583233585792</v>
      </c>
      <c r="F3211" s="12">
        <f>Systems!L156</f>
        <v>4.4434940300000001E-5</v>
      </c>
      <c r="G3211" s="1" t="s">
        <v>23</v>
      </c>
      <c r="H3211" s="1" t="s">
        <v>60</v>
      </c>
    </row>
    <row r="3212" spans="1:8">
      <c r="A3212" s="1" t="s">
        <v>4859</v>
      </c>
      <c r="B3212" s="1" t="s">
        <v>26</v>
      </c>
      <c r="C3212" s="1" t="s">
        <v>17</v>
      </c>
      <c r="D3212" s="1" t="s">
        <v>20</v>
      </c>
      <c r="E3212" s="12">
        <f>7*F3212/5</f>
        <v>6.2208916419999996E-5</v>
      </c>
      <c r="F3212" s="12">
        <f>Systems!L156</f>
        <v>4.4434940300000001E-5</v>
      </c>
      <c r="G3212" s="1" t="s">
        <v>23</v>
      </c>
      <c r="H3212" s="1" t="s">
        <v>60</v>
      </c>
    </row>
    <row r="3213" spans="1:8">
      <c r="A3213" s="1" t="s">
        <v>4413</v>
      </c>
      <c r="B3213" s="1" t="s">
        <v>26</v>
      </c>
      <c r="C3213" s="1" t="s">
        <v>17</v>
      </c>
      <c r="D3213" s="1" t="s">
        <v>20</v>
      </c>
      <c r="E3213" s="12">
        <f>1.4*F3213</f>
        <v>6.2208916419999996E-5</v>
      </c>
      <c r="F3213" s="12">
        <f>Systems!L156</f>
        <v>4.4434940300000001E-5</v>
      </c>
      <c r="G3213" s="1" t="s">
        <v>23</v>
      </c>
      <c r="H3213" s="1" t="s">
        <v>60</v>
      </c>
    </row>
    <row r="3214" spans="1:8">
      <c r="A3214" s="1" t="s">
        <v>1927</v>
      </c>
      <c r="B3214" s="1" t="s">
        <v>26</v>
      </c>
      <c r="C3214" s="1" t="s">
        <v>17</v>
      </c>
      <c r="D3214" s="1" t="s">
        <v>20</v>
      </c>
      <c r="E3214" s="12">
        <f>F3214/12</f>
        <v>3.4126431603805782E-2</v>
      </c>
      <c r="F3214" s="12">
        <f>Systems!L155</f>
        <v>0.40951717924566938</v>
      </c>
      <c r="G3214" s="1" t="s">
        <v>23</v>
      </c>
      <c r="H3214" s="1" t="s">
        <v>60</v>
      </c>
    </row>
    <row r="3215" spans="1:8">
      <c r="A3215" s="1" t="s">
        <v>1987</v>
      </c>
      <c r="B3215" s="1" t="s">
        <v>26</v>
      </c>
      <c r="C3215" s="1" t="s">
        <v>17</v>
      </c>
      <c r="D3215" s="1" t="s">
        <v>20</v>
      </c>
      <c r="E3215" s="12">
        <f>F3215/32</f>
        <v>1.2797411851427168E-2</v>
      </c>
      <c r="F3215" s="12">
        <f>Systems!L155</f>
        <v>0.40951717924566938</v>
      </c>
      <c r="G3215" s="1" t="s">
        <v>23</v>
      </c>
      <c r="H3215" s="1" t="s">
        <v>60</v>
      </c>
    </row>
    <row r="3216" spans="1:8">
      <c r="A3216" s="1" t="s">
        <v>1988</v>
      </c>
      <c r="B3216" s="1" t="s">
        <v>26</v>
      </c>
      <c r="C3216" s="1" t="s">
        <v>17</v>
      </c>
      <c r="D3216" s="1" t="s">
        <v>20</v>
      </c>
      <c r="E3216" s="12">
        <f>F3216/32</f>
        <v>1.2797411851427168E-2</v>
      </c>
      <c r="F3216" s="12">
        <f>Systems!L155</f>
        <v>0.40951717924566938</v>
      </c>
      <c r="G3216" s="1" t="s">
        <v>23</v>
      </c>
      <c r="H3216" s="1" t="s">
        <v>60</v>
      </c>
    </row>
    <row r="3217" spans="1:8">
      <c r="A3217" s="1" t="s">
        <v>2170</v>
      </c>
      <c r="B3217" s="1" t="s">
        <v>26</v>
      </c>
      <c r="C3217" s="1" t="s">
        <v>17</v>
      </c>
      <c r="D3217" s="1" t="s">
        <v>20</v>
      </c>
      <c r="E3217" s="12">
        <f>F3217/16</f>
        <v>2.5594823702854336E-2</v>
      </c>
      <c r="F3217" s="12">
        <f>Systems!L155</f>
        <v>0.40951717924566938</v>
      </c>
      <c r="G3217" s="1" t="s">
        <v>23</v>
      </c>
      <c r="H3217" s="1" t="s">
        <v>60</v>
      </c>
    </row>
    <row r="3218" spans="1:8">
      <c r="A3218" s="1" t="s">
        <v>5127</v>
      </c>
      <c r="B3218" s="1" t="s">
        <v>26</v>
      </c>
      <c r="C3218" s="1" t="s">
        <v>17</v>
      </c>
      <c r="D3218" s="1" t="s">
        <v>20</v>
      </c>
      <c r="E3218" s="12">
        <f>672*F3218</f>
        <v>2.9860279881600001E-2</v>
      </c>
      <c r="F3218" s="12">
        <f>Systems!L156</f>
        <v>4.4434940300000001E-5</v>
      </c>
      <c r="G3218" s="1" t="s">
        <v>23</v>
      </c>
      <c r="H3218" s="1" t="s">
        <v>60</v>
      </c>
    </row>
    <row r="3219" spans="1:8">
      <c r="A3219" s="1" t="s">
        <v>2201</v>
      </c>
      <c r="B3219" s="1" t="s">
        <v>26</v>
      </c>
      <c r="C3219" s="1" t="s">
        <v>17</v>
      </c>
      <c r="D3219" s="1" t="s">
        <v>20</v>
      </c>
      <c r="E3219" s="12">
        <f>1200*F3219</f>
        <v>491.42061509480328</v>
      </c>
      <c r="F3219" s="12">
        <f>Systems!L155</f>
        <v>0.40951717924566938</v>
      </c>
      <c r="G3219" s="1" t="s">
        <v>23</v>
      </c>
      <c r="H3219" s="1" t="s">
        <v>60</v>
      </c>
    </row>
    <row r="3220" spans="1:8">
      <c r="A3220" s="1" t="s">
        <v>2293</v>
      </c>
      <c r="B3220" s="1" t="s">
        <v>26</v>
      </c>
      <c r="C3220" s="1" t="s">
        <v>17</v>
      </c>
      <c r="D3220" s="1" t="s">
        <v>20</v>
      </c>
      <c r="E3220" s="12">
        <f>40*F3220</f>
        <v>16.380687169826775</v>
      </c>
      <c r="F3220" s="12">
        <f>Systems!L155</f>
        <v>0.40951717924566938</v>
      </c>
      <c r="G3220" s="1" t="s">
        <v>23</v>
      </c>
      <c r="H3220" s="1" t="s">
        <v>60</v>
      </c>
    </row>
    <row r="3221" spans="1:8">
      <c r="A3221" s="1" t="s">
        <v>819</v>
      </c>
      <c r="B3221" s="1" t="s">
        <v>26</v>
      </c>
      <c r="C3221" s="1" t="s">
        <v>17</v>
      </c>
      <c r="D3221" s="1" t="s">
        <v>20</v>
      </c>
      <c r="E3221" s="12">
        <f>F3221</f>
        <v>0.40951717924566938</v>
      </c>
      <c r="F3221" s="12">
        <f>Systems!L155</f>
        <v>0.40951717924566938</v>
      </c>
      <c r="G3221" s="1" t="s">
        <v>23</v>
      </c>
      <c r="H3221" s="1" t="s">
        <v>60</v>
      </c>
    </row>
    <row r="3222" spans="1:8">
      <c r="A3222" s="1" t="s">
        <v>4875</v>
      </c>
      <c r="B3222" s="1" t="s">
        <v>26</v>
      </c>
      <c r="C3222" s="1" t="s">
        <v>17</v>
      </c>
      <c r="D3222" s="1" t="s">
        <v>20</v>
      </c>
      <c r="E3222" s="12">
        <f>8064*F3222</f>
        <v>0.3583233585792</v>
      </c>
      <c r="F3222" s="12">
        <f>Systems!L156</f>
        <v>4.4434940300000001E-5</v>
      </c>
      <c r="G3222" s="1" t="s">
        <v>23</v>
      </c>
      <c r="H3222" s="1" t="s">
        <v>60</v>
      </c>
    </row>
    <row r="3223" spans="1:8">
      <c r="A3223" s="1" t="s">
        <v>5128</v>
      </c>
      <c r="B3223" s="1" t="s">
        <v>26</v>
      </c>
      <c r="C3223" s="1" t="s">
        <v>17</v>
      </c>
      <c r="D3223" s="1" t="s">
        <v>20</v>
      </c>
      <c r="E3223" s="12">
        <f>28*F3223</f>
        <v>1.2441783284E-3</v>
      </c>
      <c r="F3223" s="12">
        <f>Systems!L156</f>
        <v>4.4434940300000001E-5</v>
      </c>
      <c r="G3223" s="1" t="s">
        <v>23</v>
      </c>
      <c r="H3223" s="1" t="s">
        <v>60</v>
      </c>
    </row>
    <row r="3224" spans="1:8">
      <c r="A3224" s="1" t="s">
        <v>5129</v>
      </c>
      <c r="B3224" s="1" t="s">
        <v>26</v>
      </c>
      <c r="C3224" s="1" t="s">
        <v>17</v>
      </c>
      <c r="D3224" s="1" t="s">
        <v>20</v>
      </c>
      <c r="E3224" s="12">
        <f>28*F3224</f>
        <v>1.2441783284E-3</v>
      </c>
      <c r="F3224" s="12">
        <f>Systems!L156</f>
        <v>4.4434940300000001E-5</v>
      </c>
      <c r="G3224" s="1" t="s">
        <v>23</v>
      </c>
      <c r="H3224" s="1" t="s">
        <v>60</v>
      </c>
    </row>
    <row r="3225" spans="1:8">
      <c r="A3225" s="1" t="s">
        <v>2539</v>
      </c>
      <c r="B3225" s="1" t="s">
        <v>26</v>
      </c>
      <c r="C3225" s="1" t="s">
        <v>17</v>
      </c>
      <c r="D3225" s="1" t="s">
        <v>20</v>
      </c>
      <c r="E3225" s="12">
        <f>F3225/96</f>
        <v>4.2658039504757227E-3</v>
      </c>
      <c r="F3225" s="12">
        <f>Systems!L155</f>
        <v>0.40951717924566938</v>
      </c>
      <c r="G3225" s="1" t="s">
        <v>23</v>
      </c>
      <c r="H3225" s="1" t="s">
        <v>60</v>
      </c>
    </row>
    <row r="3226" spans="1:8">
      <c r="A3226" s="1" t="s">
        <v>5130</v>
      </c>
      <c r="B3226" s="1" t="s">
        <v>26</v>
      </c>
      <c r="C3226" s="1" t="s">
        <v>17</v>
      </c>
      <c r="D3226" s="1" t="s">
        <v>20</v>
      </c>
      <c r="E3226" s="12">
        <f>672*F3226</f>
        <v>2.9860279881600001E-2</v>
      </c>
      <c r="F3226" s="12">
        <f>Systems!L156</f>
        <v>4.4434940300000001E-5</v>
      </c>
      <c r="G3226" s="1" t="s">
        <v>23</v>
      </c>
      <c r="H3226" s="1" t="s">
        <v>60</v>
      </c>
    </row>
    <row r="3227" spans="1:8">
      <c r="A3227" s="1" t="s">
        <v>2825</v>
      </c>
      <c r="B3227" s="1" t="s">
        <v>26</v>
      </c>
      <c r="C3227" s="1" t="s">
        <v>17</v>
      </c>
      <c r="D3227" s="1" t="s">
        <v>20</v>
      </c>
      <c r="E3227" s="12">
        <f>F3227/96</f>
        <v>4.2658039504757227E-3</v>
      </c>
      <c r="F3227" s="12">
        <f>Systems!L155</f>
        <v>0.40951717924566938</v>
      </c>
      <c r="G3227" s="1" t="s">
        <v>23</v>
      </c>
      <c r="H3227" s="1" t="s">
        <v>60</v>
      </c>
    </row>
    <row r="3228" spans="1:8">
      <c r="A3228" s="248"/>
      <c r="B3228" s="248"/>
      <c r="C3228" s="248"/>
      <c r="D3228" s="248"/>
      <c r="E3228" s="250"/>
      <c r="F3228" s="250"/>
      <c r="G3228" s="248"/>
      <c r="H3228" s="248"/>
    </row>
    <row r="3229" spans="1:8">
      <c r="A3229" s="1" t="s">
        <v>821</v>
      </c>
      <c r="B3229" s="1" t="s">
        <v>26</v>
      </c>
      <c r="C3229" s="1" t="s">
        <v>3033</v>
      </c>
      <c r="D3229" s="1" t="s">
        <v>19</v>
      </c>
      <c r="E3229" s="12">
        <f>F3229</f>
        <v>0.81279999999999997</v>
      </c>
      <c r="F3229" s="12">
        <f>Systems!D157</f>
        <v>0.81279999999999997</v>
      </c>
      <c r="G3229" s="1" t="s">
        <v>14</v>
      </c>
      <c r="H3229" s="1" t="s">
        <v>478</v>
      </c>
    </row>
    <row r="3230" spans="1:8" ht="16.5">
      <c r="A3230" s="1" t="s">
        <v>4513</v>
      </c>
      <c r="B3230" s="1" t="s">
        <v>26</v>
      </c>
      <c r="C3230" s="1" t="s">
        <v>3034</v>
      </c>
      <c r="D3230" s="1" t="s">
        <v>38</v>
      </c>
      <c r="E3230" s="12">
        <f>F3230</f>
        <v>0.66064383999999998</v>
      </c>
      <c r="F3230" s="12">
        <f>Systems!H157</f>
        <v>0.66064383999999998</v>
      </c>
      <c r="G3230" s="1" t="s">
        <v>39</v>
      </c>
      <c r="H3230" s="1" t="s">
        <v>478</v>
      </c>
    </row>
    <row r="3231" spans="1:8" ht="16.5">
      <c r="A3231" s="1" t="s">
        <v>4514</v>
      </c>
      <c r="B3231" s="1" t="s">
        <v>26</v>
      </c>
      <c r="C3231" s="1" t="s">
        <v>2936</v>
      </c>
      <c r="D3231" s="1" t="s">
        <v>32</v>
      </c>
      <c r="E3231" s="12">
        <f>F3231</f>
        <v>0.53697131315199997</v>
      </c>
      <c r="F3231" s="12">
        <f>Systems!T157</f>
        <v>0.53697131315199997</v>
      </c>
      <c r="G3231" s="1" t="s">
        <v>33</v>
      </c>
      <c r="H3231" s="1" t="s">
        <v>478</v>
      </c>
    </row>
    <row r="3232" spans="1:8" ht="16.5">
      <c r="A3232" s="1" t="s">
        <v>1307</v>
      </c>
      <c r="B3232" s="1" t="s">
        <v>26</v>
      </c>
      <c r="C3232" s="1" t="s">
        <v>2935</v>
      </c>
      <c r="D3232" s="1" t="s">
        <v>32</v>
      </c>
      <c r="E3232" s="12">
        <f>F3232</f>
        <v>6.4999999999999997E-4</v>
      </c>
      <c r="F3232" s="12">
        <f>Systems!P157</f>
        <v>6.4999999999999997E-4</v>
      </c>
      <c r="G3232" s="1" t="s">
        <v>33</v>
      </c>
      <c r="H3232" s="1" t="s">
        <v>478</v>
      </c>
    </row>
    <row r="3233" spans="1:8" ht="16.5">
      <c r="A3233" s="1" t="s">
        <v>1341</v>
      </c>
      <c r="B3233" s="1" t="s">
        <v>26</v>
      </c>
      <c r="C3233" s="1" t="s">
        <v>2935</v>
      </c>
      <c r="D3233" s="1" t="s">
        <v>32</v>
      </c>
      <c r="E3233" s="12">
        <f>25*F3233</f>
        <v>1.6250000000000001E-2</v>
      </c>
      <c r="F3233" s="12">
        <f>Systems!P157</f>
        <v>6.4999999999999997E-4</v>
      </c>
      <c r="G3233" s="1" t="s">
        <v>33</v>
      </c>
      <c r="H3233" s="1" t="s">
        <v>478</v>
      </c>
    </row>
    <row r="3234" spans="1:8" ht="16.5">
      <c r="A3234" s="1" t="s">
        <v>936</v>
      </c>
      <c r="B3234" s="1" t="s">
        <v>26</v>
      </c>
      <c r="C3234" s="1" t="s">
        <v>2935</v>
      </c>
      <c r="D3234" s="1" t="s">
        <v>32</v>
      </c>
      <c r="E3234" s="12">
        <f>25*F3234/32</f>
        <v>5.0781250000000002E-4</v>
      </c>
      <c r="F3234" s="12">
        <f>Systems!P157</f>
        <v>6.4999999999999997E-4</v>
      </c>
      <c r="G3234" s="1" t="s">
        <v>33</v>
      </c>
      <c r="H3234" s="1" t="s">
        <v>478</v>
      </c>
    </row>
    <row r="3235" spans="1:8">
      <c r="A3235" s="1" t="s">
        <v>1340</v>
      </c>
      <c r="B3235" s="1" t="s">
        <v>26</v>
      </c>
      <c r="C3235" s="1" t="s">
        <v>17</v>
      </c>
      <c r="D3235" s="1" t="s">
        <v>20</v>
      </c>
      <c r="E3235" s="12">
        <f>4*F3235/23</f>
        <v>16</v>
      </c>
      <c r="F3235" s="12">
        <f>Systems!L157</f>
        <v>92</v>
      </c>
      <c r="G3235" s="1" t="s">
        <v>23</v>
      </c>
      <c r="H3235" s="1" t="s">
        <v>478</v>
      </c>
    </row>
    <row r="3236" spans="1:8">
      <c r="A3236" s="1" t="s">
        <v>1358</v>
      </c>
      <c r="B3236" s="1" t="s">
        <v>26</v>
      </c>
      <c r="C3236" s="1" t="s">
        <v>17</v>
      </c>
      <c r="D3236" s="1" t="s">
        <v>20</v>
      </c>
      <c r="E3236" s="12">
        <f>7*F3236/4</f>
        <v>161</v>
      </c>
      <c r="F3236" s="12">
        <f>Systems!L157</f>
        <v>92</v>
      </c>
      <c r="G3236" s="1" t="s">
        <v>23</v>
      </c>
      <c r="H3236" s="1" t="s">
        <v>478</v>
      </c>
    </row>
    <row r="3237" spans="1:8">
      <c r="A3237" s="1" t="s">
        <v>823</v>
      </c>
      <c r="B3237" s="1" t="s">
        <v>26</v>
      </c>
      <c r="C3237" s="1" t="s">
        <v>17</v>
      </c>
      <c r="D3237" s="1" t="s">
        <v>20</v>
      </c>
      <c r="E3237" s="12">
        <f>F3237</f>
        <v>92</v>
      </c>
      <c r="F3237" s="12">
        <f>Systems!L157</f>
        <v>92</v>
      </c>
      <c r="G3237" s="1" t="s">
        <v>23</v>
      </c>
      <c r="H3237" s="1" t="s">
        <v>478</v>
      </c>
    </row>
    <row r="3238" spans="1:8">
      <c r="A3238" s="248"/>
      <c r="B3238" s="248"/>
      <c r="C3238" s="248"/>
      <c r="D3238" s="249"/>
      <c r="E3238" s="250"/>
      <c r="F3238" s="250"/>
      <c r="G3238" s="248"/>
      <c r="H3238" s="248"/>
    </row>
    <row r="3239" spans="1:8">
      <c r="A3239" s="1" t="s">
        <v>1270</v>
      </c>
      <c r="B3239" s="1" t="s">
        <v>26</v>
      </c>
      <c r="C3239" s="1" t="s">
        <v>3033</v>
      </c>
      <c r="D3239" s="1" t="s">
        <v>19</v>
      </c>
      <c r="E3239" s="12">
        <f>4*F3239</f>
        <v>19320</v>
      </c>
      <c r="F3239" s="12">
        <f>Systems!D160</f>
        <v>4830</v>
      </c>
      <c r="G3239" s="1" t="s">
        <v>14</v>
      </c>
      <c r="H3239" s="1" t="s">
        <v>7428</v>
      </c>
    </row>
    <row r="3240" spans="1:8">
      <c r="A3240" s="1" t="s">
        <v>1322</v>
      </c>
      <c r="B3240" s="1" t="s">
        <v>26</v>
      </c>
      <c r="C3240" s="1" t="s">
        <v>3033</v>
      </c>
      <c r="D3240" s="1" t="s">
        <v>19</v>
      </c>
      <c r="E3240" s="12">
        <f>F3240/12</f>
        <v>2.5400000000000002E-2</v>
      </c>
      <c r="F3240" s="12">
        <f>Systems!D6</f>
        <v>0.30480000000000002</v>
      </c>
      <c r="G3240" s="1" t="s">
        <v>14</v>
      </c>
      <c r="H3240" s="1" t="s">
        <v>7428</v>
      </c>
    </row>
    <row r="3241" spans="1:8">
      <c r="A3241" s="1" t="s">
        <v>1363</v>
      </c>
      <c r="B3241" s="1" t="s">
        <v>26</v>
      </c>
      <c r="C3241" s="1" t="s">
        <v>3033</v>
      </c>
      <c r="D3241" s="1" t="s">
        <v>19</v>
      </c>
      <c r="E3241" s="12">
        <f>32*F3241/4025</f>
        <v>38.4</v>
      </c>
      <c r="F3241" s="12">
        <f>Systems!D160</f>
        <v>4830</v>
      </c>
      <c r="G3241" s="1" t="s">
        <v>14</v>
      </c>
      <c r="H3241" s="1" t="s">
        <v>7428</v>
      </c>
    </row>
    <row r="3242" spans="1:8">
      <c r="A3242" s="1" t="s">
        <v>1446</v>
      </c>
      <c r="B3242" s="1" t="s">
        <v>26</v>
      </c>
      <c r="C3242" s="1" t="s">
        <v>3033</v>
      </c>
      <c r="D3242" s="1" t="s">
        <v>19</v>
      </c>
      <c r="E3242" s="12">
        <f>241*F3242/2415000</f>
        <v>0.48199999999999998</v>
      </c>
      <c r="F3242" s="12">
        <f>Systems!D160</f>
        <v>4830</v>
      </c>
      <c r="G3242" s="1" t="s">
        <v>14</v>
      </c>
      <c r="H3242" s="1" t="s">
        <v>7428</v>
      </c>
    </row>
    <row r="3243" spans="1:8">
      <c r="A3243" s="1" t="s">
        <v>902</v>
      </c>
      <c r="B3243" s="1" t="s">
        <v>26</v>
      </c>
      <c r="C3243" s="1" t="s">
        <v>3033</v>
      </c>
      <c r="D3243" s="1" t="s">
        <v>19</v>
      </c>
      <c r="E3243" s="12">
        <f>F3243</f>
        <v>4830</v>
      </c>
      <c r="F3243" s="12">
        <f>Systems!D160</f>
        <v>4830</v>
      </c>
      <c r="G3243" s="1" t="s">
        <v>14</v>
      </c>
      <c r="H3243" s="1" t="s">
        <v>7428</v>
      </c>
    </row>
    <row r="3244" spans="1:8">
      <c r="A3244" s="1" t="s">
        <v>1702</v>
      </c>
      <c r="B3244" s="1" t="s">
        <v>26</v>
      </c>
      <c r="C3244" s="1" t="s">
        <v>3033</v>
      </c>
      <c r="D3244" s="1" t="s">
        <v>19</v>
      </c>
      <c r="E3244" s="12">
        <f>127*F3244/96600</f>
        <v>6.35</v>
      </c>
      <c r="F3244" s="12">
        <f>Systems!D160</f>
        <v>4830</v>
      </c>
      <c r="G3244" s="1" t="s">
        <v>14</v>
      </c>
      <c r="H3244" s="1" t="s">
        <v>7428</v>
      </c>
    </row>
    <row r="3245" spans="1:8">
      <c r="A3245" s="1" t="s">
        <v>2018</v>
      </c>
      <c r="B3245" s="1" t="s">
        <v>26</v>
      </c>
      <c r="C3245" s="1" t="s">
        <v>3033</v>
      </c>
      <c r="D3245" s="1" t="s">
        <v>19</v>
      </c>
      <c r="E3245" s="12">
        <f>8*F3245</f>
        <v>38640</v>
      </c>
      <c r="F3245" s="12">
        <f>Systems!D160</f>
        <v>4830</v>
      </c>
      <c r="G3245" s="1" t="s">
        <v>14</v>
      </c>
      <c r="H3245" s="1" t="s">
        <v>7428</v>
      </c>
    </row>
    <row r="3246" spans="1:8" ht="16.5">
      <c r="A3246" s="1" t="s">
        <v>5131</v>
      </c>
      <c r="B3246" s="1" t="s">
        <v>26</v>
      </c>
      <c r="C3246" s="1" t="s">
        <v>3034</v>
      </c>
      <c r="D3246" s="1" t="s">
        <v>38</v>
      </c>
      <c r="E3246" s="12">
        <f>F3246</f>
        <v>0.23232399999999997</v>
      </c>
      <c r="F3246" s="12">
        <f>Systems!H160</f>
        <v>0.23232399999999997</v>
      </c>
      <c r="G3246" s="1" t="s">
        <v>39</v>
      </c>
      <c r="H3246" s="1" t="s">
        <v>7428</v>
      </c>
    </row>
    <row r="3247" spans="1:8" ht="16.5">
      <c r="A3247" s="1" t="s">
        <v>1824</v>
      </c>
      <c r="B3247" s="1" t="s">
        <v>26</v>
      </c>
      <c r="C3247" s="1" t="s">
        <v>2936</v>
      </c>
      <c r="D3247" s="1" t="s">
        <v>32</v>
      </c>
      <c r="E3247" s="12">
        <f>5*F3247/12</f>
        <v>3.5416666666666673E-2</v>
      </c>
      <c r="F3247" s="12">
        <f>Systems!T160</f>
        <v>8.5000000000000006E-2</v>
      </c>
      <c r="G3247" s="1" t="s">
        <v>33</v>
      </c>
      <c r="H3247" s="1" t="s">
        <v>7428</v>
      </c>
    </row>
    <row r="3248" spans="1:8" ht="16.5">
      <c r="A3248" s="1" t="s">
        <v>2038</v>
      </c>
      <c r="B3248" s="1" t="s">
        <v>26</v>
      </c>
      <c r="C3248" s="1" t="s">
        <v>2936</v>
      </c>
      <c r="D3248" s="1" t="s">
        <v>32</v>
      </c>
      <c r="E3248" s="12">
        <f>23*F3248/240</f>
        <v>8.1458333333333331E-3</v>
      </c>
      <c r="F3248" s="12">
        <f>Systems!T160</f>
        <v>8.5000000000000006E-2</v>
      </c>
      <c r="G3248" s="1" t="s">
        <v>33</v>
      </c>
      <c r="H3248" s="1" t="s">
        <v>7428</v>
      </c>
    </row>
    <row r="3249" spans="1:8" ht="16.5">
      <c r="A3249" s="1" t="s">
        <v>905</v>
      </c>
      <c r="B3249" s="1" t="s">
        <v>26</v>
      </c>
      <c r="C3249" s="1" t="s">
        <v>2936</v>
      </c>
      <c r="D3249" s="1" t="s">
        <v>32</v>
      </c>
      <c r="E3249" s="12">
        <f>F3249</f>
        <v>8.5000000000000006E-2</v>
      </c>
      <c r="F3249" s="12">
        <f>Systems!T160</f>
        <v>8.5000000000000006E-2</v>
      </c>
      <c r="G3249" s="1" t="s">
        <v>33</v>
      </c>
      <c r="H3249" s="1" t="s">
        <v>7428</v>
      </c>
    </row>
    <row r="3250" spans="1:8" ht="16.5">
      <c r="A3250" s="1" t="s">
        <v>1223</v>
      </c>
      <c r="B3250" s="1" t="s">
        <v>26</v>
      </c>
      <c r="C3250" s="1" t="s">
        <v>2935</v>
      </c>
      <c r="D3250" s="1" t="s">
        <v>32</v>
      </c>
      <c r="E3250" s="12">
        <f>1664*F3250</f>
        <v>1.5808</v>
      </c>
      <c r="F3250" s="12">
        <f>Systems!P160</f>
        <v>9.5E-4</v>
      </c>
      <c r="G3250" s="1" t="s">
        <v>33</v>
      </c>
      <c r="H3250" s="1" t="s">
        <v>7428</v>
      </c>
    </row>
    <row r="3251" spans="1:8" ht="16.5">
      <c r="A3251" s="1" t="s">
        <v>1225</v>
      </c>
      <c r="B3251" s="1" t="s">
        <v>26</v>
      </c>
      <c r="C3251" s="1" t="s">
        <v>2935</v>
      </c>
      <c r="D3251" s="1" t="s">
        <v>32</v>
      </c>
      <c r="E3251" s="12">
        <f>1664*F3251</f>
        <v>1.5808</v>
      </c>
      <c r="F3251" s="12">
        <f>Systems!P160</f>
        <v>9.5E-4</v>
      </c>
      <c r="G3251" s="1" t="s">
        <v>33</v>
      </c>
      <c r="H3251" s="1" t="s">
        <v>7428</v>
      </c>
    </row>
    <row r="3252" spans="1:8" ht="16.5">
      <c r="A3252" s="1" t="s">
        <v>1460</v>
      </c>
      <c r="B3252" s="1" t="s">
        <v>26</v>
      </c>
      <c r="C3252" s="1" t="s">
        <v>2935</v>
      </c>
      <c r="D3252" s="1" t="s">
        <v>32</v>
      </c>
      <c r="E3252" s="12">
        <f>4*F3252</f>
        <v>3.8E-3</v>
      </c>
      <c r="F3252" s="12">
        <f>Systems!P160</f>
        <v>9.5E-4</v>
      </c>
      <c r="G3252" s="1" t="s">
        <v>33</v>
      </c>
      <c r="H3252" s="1" t="s">
        <v>7428</v>
      </c>
    </row>
    <row r="3253" spans="1:8" ht="16.5">
      <c r="A3253" s="1" t="s">
        <v>904</v>
      </c>
      <c r="B3253" s="1" t="s">
        <v>26</v>
      </c>
      <c r="C3253" s="1" t="s">
        <v>2935</v>
      </c>
      <c r="D3253" s="1" t="s">
        <v>32</v>
      </c>
      <c r="E3253" s="12">
        <f>F3253</f>
        <v>9.5E-4</v>
      </c>
      <c r="F3253" s="12">
        <f>Systems!P160</f>
        <v>9.5E-4</v>
      </c>
      <c r="G3253" s="1" t="s">
        <v>33</v>
      </c>
      <c r="H3253" s="1" t="s">
        <v>7428</v>
      </c>
    </row>
    <row r="3254" spans="1:8" ht="16.5">
      <c r="A3254" s="1" t="s">
        <v>2757</v>
      </c>
      <c r="B3254" s="1" t="s">
        <v>26</v>
      </c>
      <c r="C3254" s="1" t="s">
        <v>2935</v>
      </c>
      <c r="D3254" s="1" t="s">
        <v>32</v>
      </c>
      <c r="E3254" s="12">
        <f>F3254/16</f>
        <v>5.9375E-5</v>
      </c>
      <c r="F3254" s="12">
        <f>Systems!P160</f>
        <v>9.5E-4</v>
      </c>
      <c r="G3254" s="1" t="s">
        <v>33</v>
      </c>
      <c r="H3254" s="1" t="s">
        <v>7428</v>
      </c>
    </row>
    <row r="3255" spans="1:8" ht="16.5">
      <c r="A3255" s="1" t="s">
        <v>2826</v>
      </c>
      <c r="B3255" s="1" t="s">
        <v>26</v>
      </c>
      <c r="C3255" s="1" t="s">
        <v>2935</v>
      </c>
      <c r="D3255" s="1" t="s">
        <v>32</v>
      </c>
      <c r="E3255" s="12">
        <f>8*F3255</f>
        <v>7.6E-3</v>
      </c>
      <c r="F3255" s="12">
        <f>Systems!P160</f>
        <v>9.5E-4</v>
      </c>
      <c r="G3255" s="1" t="s">
        <v>33</v>
      </c>
      <c r="H3255" s="1" t="s">
        <v>7428</v>
      </c>
    </row>
    <row r="3256" spans="1:8">
      <c r="A3256" s="1" t="s">
        <v>942</v>
      </c>
      <c r="B3256" s="1" t="s">
        <v>26</v>
      </c>
      <c r="C3256" s="1" t="s">
        <v>17</v>
      </c>
      <c r="D3256" s="1" t="s">
        <v>20</v>
      </c>
      <c r="E3256" s="12">
        <f>3*50*F3256</f>
        <v>202.5</v>
      </c>
      <c r="F3256" s="12">
        <f>Systems!L160</f>
        <v>1.35</v>
      </c>
      <c r="G3256" s="1" t="s">
        <v>23</v>
      </c>
      <c r="H3256" s="1" t="s">
        <v>7428</v>
      </c>
    </row>
    <row r="3257" spans="1:8">
      <c r="A3257" s="1" t="s">
        <v>1303</v>
      </c>
      <c r="B3257" s="1" t="s">
        <v>26</v>
      </c>
      <c r="C3257" s="1" t="s">
        <v>17</v>
      </c>
      <c r="D3257" s="1" t="s">
        <v>20</v>
      </c>
      <c r="E3257" s="12">
        <f>150*F3257</f>
        <v>202.5</v>
      </c>
      <c r="F3257" s="12">
        <f>Systems!L160</f>
        <v>1.35</v>
      </c>
      <c r="G3257" s="1" t="s">
        <v>23</v>
      </c>
      <c r="H3257" s="1" t="s">
        <v>7428</v>
      </c>
    </row>
    <row r="3258" spans="1:8">
      <c r="A3258" s="1" t="s">
        <v>1319</v>
      </c>
      <c r="B3258" s="1" t="s">
        <v>26</v>
      </c>
      <c r="C3258" s="1" t="s">
        <v>17</v>
      </c>
      <c r="D3258" s="1" t="s">
        <v>20</v>
      </c>
      <c r="E3258" s="12">
        <f>50*F3258</f>
        <v>67.5</v>
      </c>
      <c r="F3258" s="12">
        <f>Systems!L160</f>
        <v>1.35</v>
      </c>
      <c r="G3258" s="1" t="s">
        <v>23</v>
      </c>
      <c r="H3258" s="1" t="s">
        <v>7428</v>
      </c>
    </row>
    <row r="3259" spans="1:8">
      <c r="A3259" s="1" t="s">
        <v>1423</v>
      </c>
      <c r="B3259" s="1" t="s">
        <v>26</v>
      </c>
      <c r="C3259" s="1" t="s">
        <v>17</v>
      </c>
      <c r="D3259" s="1" t="s">
        <v>20</v>
      </c>
      <c r="E3259" s="12">
        <f>F3259/400</f>
        <v>3.3750000000000004E-3</v>
      </c>
      <c r="F3259" s="12">
        <f>Systems!L160</f>
        <v>1.35</v>
      </c>
      <c r="G3259" s="1" t="s">
        <v>23</v>
      </c>
      <c r="H3259" s="1" t="s">
        <v>7428</v>
      </c>
    </row>
    <row r="3260" spans="1:8">
      <c r="A3260" s="1" t="s">
        <v>1598</v>
      </c>
      <c r="B3260" s="1" t="s">
        <v>26</v>
      </c>
      <c r="C3260" s="1" t="s">
        <v>17</v>
      </c>
      <c r="D3260" s="4" t="s">
        <v>20</v>
      </c>
      <c r="E3260" s="12">
        <f>10*F3260</f>
        <v>13.5</v>
      </c>
      <c r="F3260" s="12">
        <f>Systems!L160</f>
        <v>1.35</v>
      </c>
      <c r="G3260" s="1" t="s">
        <v>23</v>
      </c>
      <c r="H3260" s="1" t="s">
        <v>7428</v>
      </c>
    </row>
    <row r="3261" spans="1:8">
      <c r="A3261" s="1" t="s">
        <v>1600</v>
      </c>
      <c r="B3261" s="1" t="s">
        <v>26</v>
      </c>
      <c r="C3261" s="1" t="s">
        <v>17</v>
      </c>
      <c r="D3261" s="1" t="s">
        <v>20</v>
      </c>
      <c r="E3261" s="12">
        <f>10*F3261</f>
        <v>13.5</v>
      </c>
      <c r="F3261" s="12">
        <f>Systems!L160</f>
        <v>1.35</v>
      </c>
      <c r="G3261" s="1" t="s">
        <v>23</v>
      </c>
      <c r="H3261" s="1" t="s">
        <v>7428</v>
      </c>
    </row>
    <row r="3262" spans="1:8">
      <c r="A3262" s="1" t="s">
        <v>1805</v>
      </c>
      <c r="B3262" s="1" t="s">
        <v>26</v>
      </c>
      <c r="C3262" s="1" t="s">
        <v>17</v>
      </c>
      <c r="D3262" s="1" t="s">
        <v>20</v>
      </c>
      <c r="E3262" s="12">
        <f>50*F3262</f>
        <v>67.5</v>
      </c>
      <c r="F3262" s="12">
        <f>Systems!L160</f>
        <v>1.35</v>
      </c>
      <c r="G3262" s="1" t="s">
        <v>23</v>
      </c>
      <c r="H3262" s="1" t="s">
        <v>7428</v>
      </c>
    </row>
    <row r="3263" spans="1:8">
      <c r="A3263" s="1" t="s">
        <v>903</v>
      </c>
      <c r="B3263" s="1" t="s">
        <v>26</v>
      </c>
      <c r="C3263" s="1" t="s">
        <v>17</v>
      </c>
      <c r="D3263" s="1" t="s">
        <v>20</v>
      </c>
      <c r="E3263" s="12">
        <v>1.35</v>
      </c>
      <c r="F3263" s="12">
        <f>Systems!L160</f>
        <v>1.35</v>
      </c>
      <c r="G3263" s="1" t="s">
        <v>23</v>
      </c>
      <c r="H3263" s="1" t="s">
        <v>7428</v>
      </c>
    </row>
    <row r="3264" spans="1:8">
      <c r="A3264" s="1" t="s">
        <v>2369</v>
      </c>
      <c r="B3264" s="1" t="s">
        <v>26</v>
      </c>
      <c r="C3264" s="1" t="s">
        <v>17</v>
      </c>
      <c r="D3264" s="1" t="s">
        <v>20</v>
      </c>
      <c r="E3264" s="12">
        <f>F3264/3</f>
        <v>0.45</v>
      </c>
      <c r="F3264" s="12">
        <f>Systems!L160</f>
        <v>1.35</v>
      </c>
      <c r="G3264" s="1" t="s">
        <v>23</v>
      </c>
      <c r="H3264" s="1" t="s">
        <v>7428</v>
      </c>
    </row>
    <row r="3265" spans="1:8">
      <c r="A3265" s="1" t="s">
        <v>2718</v>
      </c>
      <c r="B3265" s="1" t="s">
        <v>26</v>
      </c>
      <c r="C3265" s="1" t="s">
        <v>17</v>
      </c>
      <c r="D3265" s="1" t="s">
        <v>20</v>
      </c>
      <c r="E3265" s="12">
        <f>F3265/40</f>
        <v>3.3750000000000002E-2</v>
      </c>
      <c r="F3265" s="12">
        <f>Systems!L160</f>
        <v>1.35</v>
      </c>
      <c r="G3265" s="1" t="s">
        <v>23</v>
      </c>
      <c r="H3265" s="1" t="s">
        <v>7428</v>
      </c>
    </row>
    <row r="3266" spans="1:8">
      <c r="A3266" s="1" t="s">
        <v>2758</v>
      </c>
      <c r="B3266" s="1" t="s">
        <v>26</v>
      </c>
      <c r="C3266" s="1" t="s">
        <v>17</v>
      </c>
      <c r="D3266" s="1" t="s">
        <v>20</v>
      </c>
      <c r="E3266" s="12">
        <f>F3266/40</f>
        <v>3.3750000000000002E-2</v>
      </c>
      <c r="F3266" s="12">
        <f>Systems!L160</f>
        <v>1.35</v>
      </c>
      <c r="G3266" s="1" t="s">
        <v>23</v>
      </c>
      <c r="H3266" s="1" t="s">
        <v>7428</v>
      </c>
    </row>
    <row r="3267" spans="1:8">
      <c r="A3267" s="248"/>
      <c r="B3267" s="248"/>
      <c r="C3267" s="248"/>
      <c r="D3267" s="248"/>
      <c r="E3267" s="250"/>
      <c r="F3267" s="250"/>
      <c r="G3267" s="248"/>
      <c r="H3267" s="248"/>
    </row>
    <row r="3268" spans="1:8">
      <c r="A3268" s="1" t="s">
        <v>5132</v>
      </c>
      <c r="B3268" s="5" t="s">
        <v>2974</v>
      </c>
      <c r="C3268" s="1" t="s">
        <v>3033</v>
      </c>
      <c r="D3268" s="1" t="s">
        <v>19</v>
      </c>
      <c r="E3268" s="12">
        <f>1.0000148192E-10*F3268</f>
        <v>1.0000148192E-10</v>
      </c>
      <c r="F3268" s="12">
        <f>SI!E3</f>
        <v>1</v>
      </c>
      <c r="G3268" s="1" t="s">
        <v>14</v>
      </c>
      <c r="H3268" s="1" t="s">
        <v>982</v>
      </c>
    </row>
    <row r="3269" spans="1:8">
      <c r="A3269" s="1" t="s">
        <v>6929</v>
      </c>
      <c r="B3269" s="1" t="s">
        <v>2992</v>
      </c>
      <c r="C3269" s="1" t="s">
        <v>3033</v>
      </c>
      <c r="D3269" s="1" t="s">
        <v>19</v>
      </c>
      <c r="E3269" s="12">
        <f>F3269/10800</f>
        <v>2.9088820866572158E-4</v>
      </c>
      <c r="F3269" s="12">
        <f>PI()</f>
        <v>3.1415926535897931</v>
      </c>
      <c r="G3269" s="1" t="s">
        <v>14</v>
      </c>
      <c r="H3269" s="1" t="s">
        <v>982</v>
      </c>
    </row>
    <row r="3270" spans="1:8">
      <c r="A3270" s="1" t="s">
        <v>5133</v>
      </c>
      <c r="B3270" s="1" t="s">
        <v>2993</v>
      </c>
      <c r="C3270" s="1" t="s">
        <v>3033</v>
      </c>
      <c r="D3270" s="1" t="s">
        <v>19</v>
      </c>
      <c r="E3270" s="12">
        <f>F3270/648000</f>
        <v>4.8481368110953598E-6</v>
      </c>
      <c r="F3270" s="12">
        <f>PI()</f>
        <v>3.1415926535897931</v>
      </c>
      <c r="G3270" s="1" t="s">
        <v>14</v>
      </c>
      <c r="H3270" s="1" t="s">
        <v>982</v>
      </c>
    </row>
    <row r="3271" spans="1:8">
      <c r="A3271" s="1" t="s">
        <v>79</v>
      </c>
      <c r="B3271" s="1" t="s">
        <v>26</v>
      </c>
      <c r="C3271" s="1" t="s">
        <v>3033</v>
      </c>
      <c r="D3271" s="1" t="s">
        <v>19</v>
      </c>
      <c r="E3271" s="12">
        <f>F3271</f>
        <v>7.5006168270416978E-4</v>
      </c>
      <c r="F3271" s="12">
        <f>0.76/1013.25</f>
        <v>7.5006168270416978E-4</v>
      </c>
      <c r="G3271" s="1" t="s">
        <v>14</v>
      </c>
      <c r="H3271" s="1" t="s">
        <v>982</v>
      </c>
    </row>
    <row r="3272" spans="1:8">
      <c r="A3272" s="1" t="s">
        <v>1292</v>
      </c>
      <c r="B3272" s="1" t="s">
        <v>26</v>
      </c>
      <c r="C3272" s="1" t="s">
        <v>3033</v>
      </c>
      <c r="D3272" s="1" t="s">
        <v>19</v>
      </c>
      <c r="E3272" s="12">
        <f>0.000000000001*F3272</f>
        <v>9.9999999999999998E-13</v>
      </c>
      <c r="F3272" s="12">
        <f>SI!E3</f>
        <v>1</v>
      </c>
      <c r="G3272" s="1" t="s">
        <v>14</v>
      </c>
      <c r="H3272" s="1" t="s">
        <v>982</v>
      </c>
    </row>
    <row r="3273" spans="1:8" ht="16.8">
      <c r="A3273" s="1" t="s">
        <v>5134</v>
      </c>
      <c r="B3273" s="1" t="s">
        <v>182</v>
      </c>
      <c r="C3273" s="1" t="s">
        <v>3033</v>
      </c>
      <c r="D3273" s="1" t="s">
        <v>19</v>
      </c>
      <c r="E3273" s="12">
        <f>F3273</f>
        <v>2.817940326204928E-15</v>
      </c>
      <c r="F3273" s="12">
        <f>POWER('Physical Constants'!E4,2)/(4*PI()*'Physical Measurements'!E2*'Physical Measurements'!E4*'Physical Constants'!E3*'Physical Constants'!E3)</f>
        <v>2.817940326204928E-15</v>
      </c>
      <c r="G3273" s="1" t="s">
        <v>14</v>
      </c>
      <c r="H3273" s="1" t="s">
        <v>982</v>
      </c>
    </row>
    <row r="3274" spans="1:8">
      <c r="A3274" s="1" t="s">
        <v>196</v>
      </c>
      <c r="B3274" s="1" t="s">
        <v>197</v>
      </c>
      <c r="C3274" s="1" t="s">
        <v>3033</v>
      </c>
      <c r="D3274" s="1" t="s">
        <v>19</v>
      </c>
      <c r="E3274" s="12">
        <f>0.000000000000001*F3274</f>
        <v>1.0000000000000001E-15</v>
      </c>
      <c r="F3274" s="12">
        <f>SI!E3</f>
        <v>1</v>
      </c>
      <c r="G3274" s="1" t="s">
        <v>14</v>
      </c>
      <c r="H3274" s="1" t="s">
        <v>982</v>
      </c>
    </row>
    <row r="3275" spans="1:8">
      <c r="A3275" s="1" t="s">
        <v>553</v>
      </c>
      <c r="B3275" s="1" t="s">
        <v>26</v>
      </c>
      <c r="C3275" s="1" t="s">
        <v>3033</v>
      </c>
      <c r="D3275" s="1" t="s">
        <v>19</v>
      </c>
      <c r="E3275" s="12">
        <f>0.000106*F3275</f>
        <v>1.06E-4</v>
      </c>
      <c r="F3275" s="12">
        <f>SI!E3</f>
        <v>1</v>
      </c>
      <c r="G3275" s="1" t="s">
        <v>14</v>
      </c>
      <c r="H3275" s="1" t="s">
        <v>982</v>
      </c>
    </row>
    <row r="3276" spans="1:8">
      <c r="A3276" s="1" t="s">
        <v>2061</v>
      </c>
      <c r="B3276" s="1" t="s">
        <v>2973</v>
      </c>
      <c r="C3276" s="1" t="s">
        <v>3033</v>
      </c>
      <c r="D3276" s="1" t="s">
        <v>19</v>
      </c>
      <c r="E3276" s="12">
        <f>0.000000000001*F3276</f>
        <v>9.9999999999999998E-13</v>
      </c>
      <c r="F3276" s="12">
        <f>SI!E3</f>
        <v>1</v>
      </c>
      <c r="G3276" s="1" t="s">
        <v>14</v>
      </c>
      <c r="H3276" s="1" t="s">
        <v>982</v>
      </c>
    </row>
    <row r="3277" spans="1:8">
      <c r="A3277" s="1" t="s">
        <v>291</v>
      </c>
      <c r="B3277" s="1" t="s">
        <v>4114</v>
      </c>
      <c r="C3277" s="1" t="s">
        <v>3033</v>
      </c>
      <c r="D3277" s="1" t="s">
        <v>19</v>
      </c>
      <c r="E3277" s="12">
        <f>0.000001*F3277</f>
        <v>9.9999999999999995E-7</v>
      </c>
      <c r="F3277" s="12">
        <f>SI!E3</f>
        <v>1</v>
      </c>
      <c r="G3277" s="1" t="s">
        <v>14</v>
      </c>
      <c r="H3277" s="1" t="s">
        <v>982</v>
      </c>
    </row>
    <row r="3278" spans="1:8">
      <c r="A3278" s="1" t="s">
        <v>2078</v>
      </c>
      <c r="B3278" s="1" t="s">
        <v>2989</v>
      </c>
      <c r="C3278" s="1" t="s">
        <v>3033</v>
      </c>
      <c r="D3278" s="1" t="s">
        <v>19</v>
      </c>
      <c r="E3278" s="12">
        <f>0.000000001*F3278</f>
        <v>1.0000000000000001E-9</v>
      </c>
      <c r="F3278" s="12">
        <f>SI!E3</f>
        <v>1</v>
      </c>
      <c r="G3278" s="1" t="s">
        <v>14</v>
      </c>
      <c r="H3278" s="1" t="s">
        <v>982</v>
      </c>
    </row>
    <row r="3279" spans="1:8">
      <c r="A3279" s="1" t="s">
        <v>558</v>
      </c>
      <c r="B3279" s="1" t="s">
        <v>26</v>
      </c>
      <c r="C3279" s="1" t="s">
        <v>3033</v>
      </c>
      <c r="D3279" s="1" t="s">
        <v>19</v>
      </c>
      <c r="E3279" s="12">
        <f>F3279/12</f>
        <v>2.1166666666666669E-3</v>
      </c>
      <c r="F3279" s="12">
        <f>Systems!D6/12</f>
        <v>2.5400000000000002E-2</v>
      </c>
      <c r="G3279" s="1" t="s">
        <v>14</v>
      </c>
      <c r="H3279" s="1" t="s">
        <v>982</v>
      </c>
    </row>
    <row r="3280" spans="1:8">
      <c r="A3280" s="1" t="s">
        <v>559</v>
      </c>
      <c r="B3280" s="1" t="s">
        <v>26</v>
      </c>
      <c r="C3280" s="1" t="s">
        <v>3033</v>
      </c>
      <c r="D3280" s="1" t="s">
        <v>19</v>
      </c>
      <c r="E3280" s="12">
        <f>7*F3280</f>
        <v>2.4694444444444447E-3</v>
      </c>
      <c r="F3280" s="12">
        <f>Systems!D6/(12*72)</f>
        <v>3.5277777777777781E-4</v>
      </c>
      <c r="G3280" s="1" t="s">
        <v>14</v>
      </c>
      <c r="H3280" s="1" t="s">
        <v>982</v>
      </c>
    </row>
    <row r="3281" spans="1:8">
      <c r="A3281" s="1" t="s">
        <v>5135</v>
      </c>
      <c r="B3281" s="1" t="s">
        <v>26</v>
      </c>
      <c r="C3281" s="1" t="s">
        <v>3033</v>
      </c>
      <c r="D3281" s="1" t="s">
        <v>19</v>
      </c>
      <c r="E3281" s="12">
        <f>F3281/10800</f>
        <v>2.9088820866572158E-4</v>
      </c>
      <c r="F3281" s="12">
        <f>PI()</f>
        <v>3.1415926535897931</v>
      </c>
      <c r="G3281" s="1" t="s">
        <v>14</v>
      </c>
      <c r="H3281" s="1" t="s">
        <v>982</v>
      </c>
    </row>
    <row r="3282" spans="1:8">
      <c r="A3282" s="1" t="s">
        <v>305</v>
      </c>
      <c r="B3282" s="1" t="s">
        <v>26</v>
      </c>
      <c r="C3282" s="1" t="s">
        <v>3033</v>
      </c>
      <c r="D3282" s="1" t="s">
        <v>19</v>
      </c>
      <c r="E3282" s="12">
        <f>0.0003*F3282</f>
        <v>2.9999999999999997E-4</v>
      </c>
      <c r="F3282" s="12">
        <f>SI!E3</f>
        <v>1</v>
      </c>
      <c r="H3282" s="1" t="s">
        <v>982</v>
      </c>
    </row>
    <row r="3283" spans="1:8">
      <c r="A3283" s="1" t="s">
        <v>2836</v>
      </c>
      <c r="B3283" s="1" t="s">
        <v>26</v>
      </c>
      <c r="C3283" s="1" t="s">
        <v>3033</v>
      </c>
      <c r="D3283" s="1" t="s">
        <v>19</v>
      </c>
      <c r="E3283" s="12">
        <f>10*F3283</f>
        <v>10000</v>
      </c>
      <c r="F3283" s="12">
        <f>1000*SI!E3</f>
        <v>1000</v>
      </c>
      <c r="G3283" s="1" t="s">
        <v>14</v>
      </c>
      <c r="H3283" s="1" t="s">
        <v>982</v>
      </c>
    </row>
    <row r="3284" spans="1:8">
      <c r="A3284" s="1" t="s">
        <v>2120</v>
      </c>
      <c r="B3284" s="1" t="s">
        <v>26</v>
      </c>
      <c r="C3284" s="1" t="s">
        <v>3033</v>
      </c>
      <c r="D3284" s="1" t="s">
        <v>19</v>
      </c>
      <c r="E3284" s="12">
        <f>0.000000001*F3284</f>
        <v>1.0000000000000001E-9</v>
      </c>
      <c r="F3284" s="12">
        <f>SI!E3</f>
        <v>1</v>
      </c>
      <c r="G3284" s="1" t="s">
        <v>14</v>
      </c>
      <c r="H3284" s="1" t="s">
        <v>982</v>
      </c>
    </row>
    <row r="3285" spans="1:8">
      <c r="A3285" s="1" t="s">
        <v>574</v>
      </c>
      <c r="B3285" s="1" t="s">
        <v>26</v>
      </c>
      <c r="C3285" s="1" t="s">
        <v>3033</v>
      </c>
      <c r="D3285" s="1" t="s">
        <v>19</v>
      </c>
      <c r="E3285" s="12">
        <f>20*F3285</f>
        <v>7.0555555555555562E-3</v>
      </c>
      <c r="F3285" s="12">
        <f>Systems!D6/(12*72)</f>
        <v>3.5277777777777781E-4</v>
      </c>
      <c r="G3285" s="1" t="s">
        <v>14</v>
      </c>
      <c r="H3285" s="1" t="s">
        <v>982</v>
      </c>
    </row>
    <row r="3286" spans="1:8">
      <c r="A3286" s="1" t="s">
        <v>5136</v>
      </c>
      <c r="B3286" s="1" t="s">
        <v>26</v>
      </c>
      <c r="C3286" s="1" t="s">
        <v>3033</v>
      </c>
      <c r="D3286" s="1" t="s">
        <v>19</v>
      </c>
      <c r="E3286" s="12">
        <f>11*F3286</f>
        <v>3.8805555555555559E-3</v>
      </c>
      <c r="F3286" s="12">
        <f>Systems!D6/(12*72)</f>
        <v>3.5277777777777781E-4</v>
      </c>
      <c r="G3286" s="1" t="s">
        <v>14</v>
      </c>
      <c r="H3286" s="1" t="s">
        <v>982</v>
      </c>
    </row>
    <row r="3287" spans="1:8">
      <c r="A3287" s="1" t="s">
        <v>368</v>
      </c>
      <c r="B3287" s="1" t="s">
        <v>26</v>
      </c>
      <c r="C3287" s="1" t="s">
        <v>3033</v>
      </c>
      <c r="D3287" s="1" t="s">
        <v>19</v>
      </c>
      <c r="E3287" s="12">
        <f>0.0000000001*F3287</f>
        <v>1E-10</v>
      </c>
      <c r="F3287" s="12">
        <f>SI!E3</f>
        <v>1</v>
      </c>
      <c r="G3287" s="1" t="s">
        <v>14</v>
      </c>
      <c r="H3287" s="1" t="s">
        <v>982</v>
      </c>
    </row>
    <row r="3288" spans="1:8">
      <c r="A3288" s="1" t="s">
        <v>5137</v>
      </c>
      <c r="B3288" s="1" t="s">
        <v>26</v>
      </c>
      <c r="C3288" s="1" t="s">
        <v>3033</v>
      </c>
      <c r="D3288" s="1" t="s">
        <v>19</v>
      </c>
      <c r="E3288" s="12">
        <f>F3288/648000</f>
        <v>4.8481368110953598E-6</v>
      </c>
      <c r="F3288" s="12">
        <f>PI()</f>
        <v>3.1415926535897931</v>
      </c>
      <c r="G3288" s="1" t="s">
        <v>14</v>
      </c>
      <c r="H3288" s="1" t="s">
        <v>982</v>
      </c>
    </row>
    <row r="3289" spans="1:8">
      <c r="A3289" s="1" t="s">
        <v>7510</v>
      </c>
      <c r="B3289" s="1" t="s">
        <v>26</v>
      </c>
      <c r="C3289" s="1" t="s">
        <v>3033</v>
      </c>
      <c r="D3289" s="1" t="s">
        <v>19</v>
      </c>
      <c r="E3289" s="12">
        <f>1.0002077897E-13*F3289</f>
        <v>1.0002077897E-13</v>
      </c>
      <c r="F3289" s="12">
        <f>SI!E3</f>
        <v>1</v>
      </c>
      <c r="G3289" s="1" t="s">
        <v>14</v>
      </c>
      <c r="H3289" s="1" t="s">
        <v>982</v>
      </c>
    </row>
    <row r="3290" spans="1:8">
      <c r="A3290" s="1" t="s">
        <v>382</v>
      </c>
      <c r="B3290" s="4" t="s">
        <v>22</v>
      </c>
      <c r="C3290" s="1" t="s">
        <v>3033</v>
      </c>
      <c r="D3290" s="1" t="s">
        <v>19</v>
      </c>
      <c r="E3290" s="12">
        <f>0.000000000001*F3290</f>
        <v>9.9999999999999998E-13</v>
      </c>
      <c r="F3290" s="12">
        <f>SI!E3</f>
        <v>1</v>
      </c>
      <c r="G3290" s="1" t="s">
        <v>14</v>
      </c>
      <c r="H3290" s="1" t="s">
        <v>982</v>
      </c>
    </row>
    <row r="3291" spans="1:8">
      <c r="A3291" s="1" t="s">
        <v>5138</v>
      </c>
      <c r="B3291" s="1" t="s">
        <v>2994</v>
      </c>
      <c r="C3291" s="1" t="s">
        <v>3033</v>
      </c>
      <c r="D3291" s="1" t="s">
        <v>19</v>
      </c>
      <c r="E3291" s="12">
        <f>1.0002077897E-13*F3291</f>
        <v>1.0002077897E-13</v>
      </c>
      <c r="F3291" s="12">
        <f>SI!E3</f>
        <v>1</v>
      </c>
      <c r="G3291" s="1" t="s">
        <v>14</v>
      </c>
      <c r="H3291" s="1" t="s">
        <v>982</v>
      </c>
    </row>
    <row r="3292" spans="1:8" ht="16.5">
      <c r="A3292" s="1" t="s">
        <v>78</v>
      </c>
      <c r="B3292" s="1" t="s">
        <v>80</v>
      </c>
      <c r="C3292" s="1" t="s">
        <v>3034</v>
      </c>
      <c r="D3292" s="1" t="s">
        <v>38</v>
      </c>
      <c r="E3292" s="12">
        <f>1E-28*F3292</f>
        <v>9.9999999999999997E-29</v>
      </c>
      <c r="F3292" s="12">
        <f>POWER(SI!E3,2)</f>
        <v>1</v>
      </c>
      <c r="G3292" s="1" t="s">
        <v>39</v>
      </c>
      <c r="H3292" s="1" t="s">
        <v>982</v>
      </c>
    </row>
    <row r="3293" spans="1:8" ht="16.5">
      <c r="A3293" s="1" t="s">
        <v>157</v>
      </c>
      <c r="B3293" s="1" t="s">
        <v>26</v>
      </c>
      <c r="C3293" s="1" t="s">
        <v>3034</v>
      </c>
      <c r="D3293" s="1" t="s">
        <v>38</v>
      </c>
      <c r="E3293" s="12">
        <f>0.000000000001*F3293</f>
        <v>9.9999999999999998E-13</v>
      </c>
      <c r="F3293" s="12">
        <f>POWER(SI!E3,2)</f>
        <v>1</v>
      </c>
      <c r="G3293" s="1" t="s">
        <v>39</v>
      </c>
      <c r="H3293" s="1" t="s">
        <v>982</v>
      </c>
    </row>
    <row r="3294" spans="1:8" ht="16.5">
      <c r="A3294" s="1" t="s">
        <v>296</v>
      </c>
      <c r="B3294" s="1" t="s">
        <v>26</v>
      </c>
      <c r="C3294" s="1" t="s">
        <v>3034</v>
      </c>
      <c r="D3294" s="1" t="s">
        <v>38</v>
      </c>
      <c r="E3294" s="12">
        <v>9.8692326671599993E-16</v>
      </c>
      <c r="F3294" s="12">
        <f>10*SI!E2*'Physical Definitions'!E22*POWER('Physical Definitions'!E22,3)/(1000*'Physical Definitions'!E2*SI!E4*POWER(SI!E3,3))</f>
        <v>9.8692326671601295E-16</v>
      </c>
      <c r="G3294" s="1" t="s">
        <v>39</v>
      </c>
      <c r="H3294" s="1" t="s">
        <v>982</v>
      </c>
    </row>
    <row r="3295" spans="1:8" ht="16.5">
      <c r="A3295" s="1" t="s">
        <v>324</v>
      </c>
      <c r="B3295" s="1" t="s">
        <v>26</v>
      </c>
      <c r="C3295" s="1" t="s">
        <v>3034</v>
      </c>
      <c r="D3295" s="1" t="s">
        <v>38</v>
      </c>
      <c r="E3295" s="12">
        <f>F3295</f>
        <v>1E-4</v>
      </c>
      <c r="F3295" s="12">
        <f>POWER('Physical Definitions'!E22,2)</f>
        <v>1E-4</v>
      </c>
      <c r="G3295" s="1" t="s">
        <v>39</v>
      </c>
      <c r="H3295" s="1" t="s">
        <v>982</v>
      </c>
    </row>
    <row r="3296" spans="1:8" ht="16.5">
      <c r="A3296" s="1" t="s">
        <v>5139</v>
      </c>
      <c r="B3296" s="5" t="s">
        <v>2972</v>
      </c>
      <c r="C3296" s="1" t="s">
        <v>3034</v>
      </c>
      <c r="D3296" s="1" t="s">
        <v>38</v>
      </c>
      <c r="E3296" s="12">
        <f>F3296</f>
        <v>1.0000000000000001E-20</v>
      </c>
      <c r="F3296" s="12">
        <f>POWER('Physical Definitions'!E28,2)</f>
        <v>1.0000000000000001E-20</v>
      </c>
      <c r="G3296" s="1" t="s">
        <v>39</v>
      </c>
      <c r="H3296" s="1" t="s">
        <v>982</v>
      </c>
    </row>
    <row r="3297" spans="1:8" ht="16.5">
      <c r="A3297" s="1" t="s">
        <v>5140</v>
      </c>
      <c r="B3297" s="1" t="s">
        <v>392</v>
      </c>
      <c r="C3297" s="1" t="s">
        <v>3034</v>
      </c>
      <c r="D3297" s="1" t="s">
        <v>38</v>
      </c>
      <c r="E3297" s="12">
        <f>1E-30*F3297</f>
        <v>1.0000000000000001E-30</v>
      </c>
      <c r="F3297" s="12">
        <f>POWER(SI!E3,2)</f>
        <v>1</v>
      </c>
      <c r="G3297" s="1" t="s">
        <v>39</v>
      </c>
      <c r="H3297" s="1" t="s">
        <v>982</v>
      </c>
    </row>
    <row r="3298" spans="1:8" ht="16.5">
      <c r="A3298" s="1" t="s">
        <v>3966</v>
      </c>
      <c r="B3298" s="1" t="s">
        <v>3967</v>
      </c>
      <c r="C3298" s="1" t="s">
        <v>2935</v>
      </c>
      <c r="D3298" s="1" t="s">
        <v>32</v>
      </c>
      <c r="E3298" s="12">
        <f>0.00001*F3298</f>
        <v>1.0000000000000001E-5</v>
      </c>
      <c r="F3298" s="12">
        <f>POWER(SI!E3,2)</f>
        <v>1</v>
      </c>
      <c r="G3298" s="1" t="s">
        <v>33</v>
      </c>
      <c r="H3298" s="1" t="s">
        <v>982</v>
      </c>
    </row>
    <row r="3299" spans="1:8" ht="16.5">
      <c r="A3299" s="1" t="s">
        <v>5141</v>
      </c>
      <c r="B3299" s="1" t="s">
        <v>3965</v>
      </c>
      <c r="C3299" s="1" t="s">
        <v>2935</v>
      </c>
      <c r="D3299" s="1" t="s">
        <v>32</v>
      </c>
      <c r="E3299" s="12">
        <f>0.00000100238*F3299</f>
        <v>1.00238E-6</v>
      </c>
      <c r="F3299" s="12">
        <f>POWER(SI!E3,2)</f>
        <v>1</v>
      </c>
      <c r="G3299" s="1" t="s">
        <v>33</v>
      </c>
      <c r="H3299" s="1" t="s">
        <v>982</v>
      </c>
    </row>
    <row r="3300" spans="1:8" ht="16.5">
      <c r="A3300" s="1" t="s">
        <v>3963</v>
      </c>
      <c r="B3300" s="1" t="s">
        <v>3964</v>
      </c>
      <c r="C3300" s="1" t="s">
        <v>2935</v>
      </c>
      <c r="D3300" s="1" t="s">
        <v>32</v>
      </c>
      <c r="E3300" s="12">
        <f>0.0001*F3300</f>
        <v>1E-4</v>
      </c>
      <c r="F3300" s="12">
        <f>POWER(SI!E3,2)</f>
        <v>1</v>
      </c>
      <c r="G3300" s="1" t="s">
        <v>33</v>
      </c>
      <c r="H3300" s="1" t="s">
        <v>982</v>
      </c>
    </row>
    <row r="3301" spans="1:8" ht="16.5">
      <c r="A3301" s="1" t="s">
        <v>254</v>
      </c>
      <c r="B3301" s="1" t="s">
        <v>26</v>
      </c>
      <c r="C3301" s="1" t="s">
        <v>2935</v>
      </c>
      <c r="D3301" s="1" t="s">
        <v>32</v>
      </c>
      <c r="E3301" s="12">
        <f>F3301</f>
        <v>1.0000000000000002E-3</v>
      </c>
      <c r="F3301" s="12">
        <f>POWER('Physical Definitions'!E25,3)</f>
        <v>1.0000000000000002E-3</v>
      </c>
      <c r="G3301" s="1" t="s">
        <v>33</v>
      </c>
      <c r="H3301" s="1" t="s">
        <v>982</v>
      </c>
    </row>
    <row r="3302" spans="1:8" ht="16.5">
      <c r="A3302" s="1" t="s">
        <v>268</v>
      </c>
      <c r="B3302" s="4" t="s">
        <v>246</v>
      </c>
      <c r="C3302" s="1" t="s">
        <v>2935</v>
      </c>
      <c r="D3302" s="1" t="s">
        <v>32</v>
      </c>
      <c r="E3302" s="12">
        <f>0.000001*F3302</f>
        <v>1.0000000000000001E-9</v>
      </c>
      <c r="F3302" s="12">
        <f>'Physical Definitions'!E9</f>
        <v>1E-3</v>
      </c>
      <c r="G3302" s="1" t="s">
        <v>33</v>
      </c>
      <c r="H3302" s="1" t="s">
        <v>982</v>
      </c>
    </row>
    <row r="3303" spans="1:8" ht="16.5">
      <c r="A3303" s="1" t="s">
        <v>2060</v>
      </c>
      <c r="B3303" s="8" t="s">
        <v>2971</v>
      </c>
      <c r="C3303" s="1" t="s">
        <v>2935</v>
      </c>
      <c r="D3303" s="1" t="s">
        <v>32</v>
      </c>
      <c r="E3303" s="12">
        <f>0.000000001*F3303</f>
        <v>1.0000000000000001E-9</v>
      </c>
      <c r="F3303" s="12">
        <f>POWER(SI!E3,3)</f>
        <v>1</v>
      </c>
      <c r="G3303" s="1" t="s">
        <v>33</v>
      </c>
      <c r="H3303" s="1" t="s">
        <v>982</v>
      </c>
    </row>
    <row r="3304" spans="1:8" ht="16.5">
      <c r="A3304" s="1" t="s">
        <v>3968</v>
      </c>
      <c r="B3304" s="8" t="s">
        <v>3969</v>
      </c>
      <c r="C3304" s="1" t="s">
        <v>2935</v>
      </c>
      <c r="D3304" s="1" t="s">
        <v>32</v>
      </c>
      <c r="E3304" s="12">
        <f>0.000001*F3304</f>
        <v>9.9999999999999995E-7</v>
      </c>
      <c r="F3304" s="12">
        <f>POWER(SI!E3,3)</f>
        <v>1</v>
      </c>
      <c r="G3304" s="1" t="s">
        <v>33</v>
      </c>
      <c r="H3304" s="1" t="s">
        <v>982</v>
      </c>
    </row>
    <row r="3305" spans="1:8" ht="16.5">
      <c r="A3305" s="1" t="s">
        <v>2557</v>
      </c>
      <c r="B3305" s="1" t="s">
        <v>603</v>
      </c>
      <c r="C3305" s="1" t="s">
        <v>2936</v>
      </c>
      <c r="D3305" s="1" t="s">
        <v>32</v>
      </c>
      <c r="E3305" s="12">
        <f>165*F3305</f>
        <v>4.6722796876800006</v>
      </c>
      <c r="F3305" s="12">
        <f>POWER(Systems!D6,3)</f>
        <v>2.8316846592000004E-2</v>
      </c>
      <c r="G3305" s="1" t="s">
        <v>33</v>
      </c>
      <c r="H3305" s="1" t="s">
        <v>982</v>
      </c>
    </row>
    <row r="3306" spans="1:8" ht="16.5">
      <c r="A3306" s="1" t="s">
        <v>5142</v>
      </c>
      <c r="B3306" s="1" t="s">
        <v>5157</v>
      </c>
      <c r="C3306" s="1" t="s">
        <v>17</v>
      </c>
      <c r="D3306" s="1" t="s">
        <v>20</v>
      </c>
      <c r="E3306" s="12">
        <f>1.66053872801E-27*F3306</f>
        <v>1.6605387280099998E-27</v>
      </c>
      <c r="F3306" s="12">
        <f>SI!E2</f>
        <v>1</v>
      </c>
      <c r="G3306" s="1" t="s">
        <v>23</v>
      </c>
      <c r="H3306" s="1" t="s">
        <v>982</v>
      </c>
    </row>
    <row r="3307" spans="1:8" ht="16.5">
      <c r="A3307" s="1" t="s">
        <v>5143</v>
      </c>
      <c r="B3307" s="1" t="s">
        <v>5156</v>
      </c>
      <c r="C3307" s="1" t="s">
        <v>17</v>
      </c>
      <c r="D3307" s="1" t="s">
        <v>20</v>
      </c>
      <c r="E3307" s="12">
        <f>1.673532249686E-27*F3307</f>
        <v>1.673532249686E-27</v>
      </c>
      <c r="F3307" s="12">
        <f>SI!E2</f>
        <v>1</v>
      </c>
      <c r="G3307" s="1" t="s">
        <v>23</v>
      </c>
      <c r="H3307" s="1" t="s">
        <v>982</v>
      </c>
    </row>
    <row r="3308" spans="1:8" ht="16.5">
      <c r="A3308" s="1" t="s">
        <v>5144</v>
      </c>
      <c r="B3308" s="1" t="s">
        <v>5155</v>
      </c>
      <c r="C3308" s="1" t="s">
        <v>17</v>
      </c>
      <c r="D3308" s="1" t="s">
        <v>20</v>
      </c>
      <c r="E3308" s="12">
        <f>1.66001094883E-27*F3308</f>
        <v>1.6600109488300001E-27</v>
      </c>
      <c r="F3308" s="12">
        <f>SI!E2</f>
        <v>1</v>
      </c>
      <c r="G3308" s="1" t="s">
        <v>23</v>
      </c>
      <c r="H3308" s="1" t="s">
        <v>982</v>
      </c>
    </row>
    <row r="3309" spans="1:8">
      <c r="A3309" s="1" t="s">
        <v>5145</v>
      </c>
      <c r="B3309" s="1" t="s">
        <v>26</v>
      </c>
      <c r="C3309" s="1" t="s">
        <v>17</v>
      </c>
      <c r="D3309" s="1" t="s">
        <v>20</v>
      </c>
      <c r="E3309" s="12">
        <f>0.0000899384520569*F3309</f>
        <v>8.9938452056900002E-5</v>
      </c>
      <c r="F3309" s="12">
        <f>SI!E2</f>
        <v>1</v>
      </c>
      <c r="G3309" s="1" t="s">
        <v>23</v>
      </c>
      <c r="H3309" s="1" t="s">
        <v>982</v>
      </c>
    </row>
    <row r="3310" spans="1:8">
      <c r="A3310" s="1" t="s">
        <v>5146</v>
      </c>
      <c r="B3310" s="1" t="s">
        <v>26</v>
      </c>
      <c r="C3310" s="1" t="s">
        <v>17</v>
      </c>
      <c r="D3310" s="1" t="s">
        <v>20</v>
      </c>
      <c r="E3310" s="12">
        <f>0.0000887623509074*F3310</f>
        <v>8.8762350907399995E-5</v>
      </c>
      <c r="F3310" s="12">
        <f>SI!E2</f>
        <v>1</v>
      </c>
      <c r="G3310" s="1" t="s">
        <v>23</v>
      </c>
      <c r="H3310" s="1" t="s">
        <v>982</v>
      </c>
    </row>
    <row r="3311" spans="1:8">
      <c r="A3311" s="1" t="s">
        <v>1477</v>
      </c>
      <c r="B3311" s="1" t="s">
        <v>159</v>
      </c>
      <c r="C3311" s="1" t="s">
        <v>17</v>
      </c>
      <c r="D3311" s="1" t="s">
        <v>20</v>
      </c>
      <c r="E3311" s="12">
        <f>F3311</f>
        <v>1.6605390666E-27</v>
      </c>
      <c r="F3311" s="12">
        <f>'Physical Measurements'!E13</f>
        <v>1.6605390666E-27</v>
      </c>
      <c r="G3311" s="1" t="s">
        <v>23</v>
      </c>
      <c r="H3311" s="1" t="s">
        <v>982</v>
      </c>
    </row>
    <row r="3312" spans="1:8">
      <c r="A3312" s="1" t="s">
        <v>216</v>
      </c>
      <c r="B3312" s="4" t="s">
        <v>174</v>
      </c>
      <c r="C3312" s="1" t="s">
        <v>17</v>
      </c>
      <c r="D3312" s="1" t="s">
        <v>20</v>
      </c>
      <c r="E3312" s="12">
        <f>0.000000001*F3312</f>
        <v>1.0000000000000001E-9</v>
      </c>
      <c r="F3312" s="12">
        <f>SI!E2</f>
        <v>1</v>
      </c>
      <c r="G3312" s="1" t="s">
        <v>23</v>
      </c>
      <c r="H3312" s="1" t="s">
        <v>982</v>
      </c>
    </row>
    <row r="3313" spans="1:8">
      <c r="A3313" s="1" t="s">
        <v>2059</v>
      </c>
      <c r="B3313" s="4" t="s">
        <v>2991</v>
      </c>
      <c r="C3313" s="1" t="s">
        <v>17</v>
      </c>
      <c r="D3313" s="1" t="s">
        <v>20</v>
      </c>
      <c r="E3313" s="12">
        <f>0.000000000000001*F3313</f>
        <v>1.0000000000000001E-15</v>
      </c>
      <c r="F3313" s="12">
        <f>SI!E2</f>
        <v>1</v>
      </c>
      <c r="G3313" s="1" t="s">
        <v>23</v>
      </c>
      <c r="H3313" s="1" t="s">
        <v>982</v>
      </c>
    </row>
    <row r="3314" spans="1:8">
      <c r="A3314" s="1" t="s">
        <v>2077</v>
      </c>
      <c r="B3314" s="4" t="s">
        <v>2990</v>
      </c>
      <c r="C3314" s="1" t="s">
        <v>17</v>
      </c>
      <c r="D3314" s="1" t="s">
        <v>20</v>
      </c>
      <c r="E3314" s="12">
        <f>0.000000000001*F3314</f>
        <v>9.9999999999999998E-13</v>
      </c>
      <c r="F3314" s="12">
        <f>SI!E2</f>
        <v>1</v>
      </c>
      <c r="G3314" s="1" t="s">
        <v>23</v>
      </c>
      <c r="H3314" s="1" t="s">
        <v>982</v>
      </c>
    </row>
    <row r="3315" spans="1:8">
      <c r="A3315" s="1" t="s">
        <v>306</v>
      </c>
      <c r="B3315" s="1" t="s">
        <v>26</v>
      </c>
      <c r="C3315" s="1" t="s">
        <v>17</v>
      </c>
      <c r="D3315" s="1" t="s">
        <v>20</v>
      </c>
      <c r="E3315" s="12">
        <f>10*F3315</f>
        <v>10</v>
      </c>
      <c r="F3315" s="12">
        <f>SI!E2</f>
        <v>1</v>
      </c>
      <c r="G3315" s="1" t="s">
        <v>23</v>
      </c>
      <c r="H3315" s="1" t="s">
        <v>982</v>
      </c>
    </row>
    <row r="3316" spans="1:8" ht="16.5">
      <c r="A3316" s="1" t="s">
        <v>5147</v>
      </c>
      <c r="B3316" s="1" t="s">
        <v>5154</v>
      </c>
      <c r="C3316" s="1" t="s">
        <v>17</v>
      </c>
      <c r="D3316" s="1" t="s">
        <v>20</v>
      </c>
      <c r="E3316" s="12">
        <f>F3316</f>
        <v>1.4924180856015513E-10</v>
      </c>
      <c r="F3316" s="12">
        <f>'Physical Measurements'!E13*POWER('Physical Constants'!E3,2)</f>
        <v>1.4924180856015513E-10</v>
      </c>
      <c r="G3316" s="1" t="s">
        <v>23</v>
      </c>
      <c r="H3316" s="1" t="s">
        <v>982</v>
      </c>
    </row>
    <row r="3317" spans="1:8" ht="16.5">
      <c r="A3317" s="1" t="s">
        <v>5148</v>
      </c>
      <c r="B3317" s="1" t="s">
        <v>5153</v>
      </c>
      <c r="C3317" s="1" t="s">
        <v>17</v>
      </c>
      <c r="D3317" s="1" t="s">
        <v>20</v>
      </c>
      <c r="E3317" s="12">
        <f>15.99491461956*F3317/16</f>
        <v>1.4919437409927499E-10</v>
      </c>
      <c r="F3317" s="12">
        <f>'Physical Measurements'!E13*POWER('Physical Constants'!E3,2)</f>
        <v>1.4924180856015513E-10</v>
      </c>
      <c r="G3317" s="1" t="s">
        <v>23</v>
      </c>
      <c r="H3317" s="1" t="s">
        <v>982</v>
      </c>
    </row>
    <row r="3318" spans="1:8" ht="16.5">
      <c r="A3318" s="1" t="s">
        <v>5149</v>
      </c>
      <c r="B3318" s="1" t="s">
        <v>5152</v>
      </c>
      <c r="C3318" s="1" t="s">
        <v>17</v>
      </c>
      <c r="D3318" s="1" t="s">
        <v>20</v>
      </c>
      <c r="E3318" s="12">
        <f>1.007825031898*F3318/1</f>
        <v>1.5040963047265357E-10</v>
      </c>
      <c r="F3318" s="12">
        <f>'Physical Measurements'!E13*POWER('Physical Constants'!E3,2)</f>
        <v>1.4924180856015513E-10</v>
      </c>
      <c r="G3318" s="1" t="s">
        <v>23</v>
      </c>
      <c r="H3318" s="1" t="s">
        <v>982</v>
      </c>
    </row>
    <row r="3319" spans="1:8">
      <c r="A3319" s="248"/>
      <c r="B3319" s="248"/>
      <c r="C3319" s="248"/>
      <c r="D3319" s="248"/>
      <c r="E3319" s="250"/>
      <c r="F3319" s="250"/>
      <c r="G3319" s="248"/>
      <c r="H3319" s="248"/>
    </row>
    <row r="3320" spans="1:8">
      <c r="A3320" s="1" t="s">
        <v>1381</v>
      </c>
      <c r="B3320" s="1" t="s">
        <v>132</v>
      </c>
      <c r="C3320" s="1" t="s">
        <v>3033</v>
      </c>
      <c r="D3320" s="1" t="s">
        <v>19</v>
      </c>
      <c r="E3320" s="12">
        <f>74*F3320</f>
        <v>22.677010259808</v>
      </c>
      <c r="F3320" s="12">
        <f>Systems!D161</f>
        <v>0.30644608459200001</v>
      </c>
      <c r="G3320" s="1" t="s">
        <v>14</v>
      </c>
      <c r="H3320" s="1" t="s">
        <v>467</v>
      </c>
    </row>
    <row r="3321" spans="1:8">
      <c r="A3321" s="1" t="s">
        <v>838</v>
      </c>
      <c r="B3321" s="1" t="s">
        <v>26</v>
      </c>
      <c r="C3321" s="1" t="s">
        <v>3033</v>
      </c>
      <c r="D3321" s="1" t="s">
        <v>19</v>
      </c>
      <c r="E3321" s="12">
        <f>37*F3321/12</f>
        <v>0.94487542749200004</v>
      </c>
      <c r="F3321" s="12">
        <f>Systems!D161</f>
        <v>0.30644608459200001</v>
      </c>
      <c r="G3321" s="1" t="s">
        <v>14</v>
      </c>
      <c r="H3321" s="1" t="s">
        <v>467</v>
      </c>
    </row>
    <row r="3322" spans="1:8">
      <c r="A3322" s="1" t="s">
        <v>1590</v>
      </c>
      <c r="B3322" s="1" t="s">
        <v>26</v>
      </c>
      <c r="C3322" s="1" t="s">
        <v>3033</v>
      </c>
      <c r="D3322" s="1" t="s">
        <v>19</v>
      </c>
      <c r="E3322" s="12">
        <f>37*F3322/2</f>
        <v>5.669252564952</v>
      </c>
      <c r="F3322" s="12">
        <f>Systems!D161</f>
        <v>0.30644608459200001</v>
      </c>
      <c r="G3322" s="1" t="s">
        <v>14</v>
      </c>
      <c r="H3322" s="1" t="s">
        <v>467</v>
      </c>
    </row>
    <row r="3323" spans="1:8">
      <c r="A3323" s="1" t="s">
        <v>1603</v>
      </c>
      <c r="B3323" s="1" t="s">
        <v>26</v>
      </c>
      <c r="C3323" s="1" t="s">
        <v>3033</v>
      </c>
      <c r="D3323" s="1" t="s">
        <v>19</v>
      </c>
      <c r="E3323" s="12">
        <f>37*F3323/2</f>
        <v>5.669252564952</v>
      </c>
      <c r="F3323" s="12">
        <f>Systems!D161</f>
        <v>0.30644608459200001</v>
      </c>
      <c r="G3323" s="1" t="s">
        <v>14</v>
      </c>
      <c r="H3323" s="1" t="s">
        <v>467</v>
      </c>
    </row>
    <row r="3324" spans="1:8">
      <c r="A3324" s="1" t="s">
        <v>524</v>
      </c>
      <c r="B3324" s="1" t="s">
        <v>527</v>
      </c>
      <c r="C3324" s="1" t="s">
        <v>3033</v>
      </c>
      <c r="D3324" s="1" t="s">
        <v>19</v>
      </c>
      <c r="E3324" s="12">
        <f>F3324</f>
        <v>0.30644608459200001</v>
      </c>
      <c r="F3324" s="12">
        <f>Systems!D161</f>
        <v>0.30644608459200001</v>
      </c>
      <c r="G3324" s="1" t="s">
        <v>14</v>
      </c>
      <c r="H3324" s="1" t="s">
        <v>467</v>
      </c>
    </row>
    <row r="3325" spans="1:8">
      <c r="A3325" s="1" t="s">
        <v>200</v>
      </c>
      <c r="B3325" s="1" t="s">
        <v>6949</v>
      </c>
      <c r="C3325" s="1" t="s">
        <v>3033</v>
      </c>
      <c r="D3325" s="1" t="s">
        <v>19</v>
      </c>
      <c r="E3325" s="12">
        <f>F3325</f>
        <v>0.30645</v>
      </c>
      <c r="F3325" s="12">
        <f>Systems!D162</f>
        <v>0.30645</v>
      </c>
      <c r="G3325" s="1" t="s">
        <v>14</v>
      </c>
      <c r="H3325" s="1" t="s">
        <v>467</v>
      </c>
    </row>
    <row r="3326" spans="1:8">
      <c r="A3326" s="1" t="s">
        <v>5150</v>
      </c>
      <c r="B3326" s="1" t="s">
        <v>5151</v>
      </c>
      <c r="C3326" s="1" t="s">
        <v>3033</v>
      </c>
      <c r="D3326" s="1" t="s">
        <v>19</v>
      </c>
      <c r="E3326" s="12">
        <f>F3326</f>
        <v>0.30644608459200001</v>
      </c>
      <c r="F3326" s="12">
        <f>Systems!D161</f>
        <v>0.30644608459200001</v>
      </c>
      <c r="G3326" s="1" t="s">
        <v>14</v>
      </c>
      <c r="H3326" s="1" t="s">
        <v>467</v>
      </c>
    </row>
    <row r="3327" spans="1:8">
      <c r="A3327" s="1" t="s">
        <v>1640</v>
      </c>
      <c r="B3327" s="1" t="s">
        <v>211</v>
      </c>
      <c r="C3327" s="1" t="s">
        <v>3033</v>
      </c>
      <c r="D3327" s="1" t="s">
        <v>19</v>
      </c>
      <c r="E3327" s="12">
        <f>740*F3327</f>
        <v>226.77010259808</v>
      </c>
      <c r="F3327" s="12">
        <f>Systems!D161</f>
        <v>0.30644608459200001</v>
      </c>
      <c r="G3327" s="1" t="s">
        <v>14</v>
      </c>
      <c r="H3327" s="1" t="s">
        <v>467</v>
      </c>
    </row>
    <row r="3328" spans="1:8">
      <c r="A3328" s="1" t="s">
        <v>245</v>
      </c>
      <c r="B3328" s="1" t="s">
        <v>6974</v>
      </c>
      <c r="C3328" s="1" t="s">
        <v>3033</v>
      </c>
      <c r="D3328" s="1" t="s">
        <v>19</v>
      </c>
      <c r="E3328" s="12">
        <f>F3328/12</f>
        <v>2.5537173716000002E-2</v>
      </c>
      <c r="F3328" s="12">
        <f>Systems!D161</f>
        <v>0.30644608459200001</v>
      </c>
      <c r="G3328" s="1" t="s">
        <v>14</v>
      </c>
      <c r="H3328" s="1" t="s">
        <v>467</v>
      </c>
    </row>
    <row r="3329" spans="1:8">
      <c r="A3329" s="1" t="s">
        <v>1484</v>
      </c>
      <c r="B3329" s="1" t="s">
        <v>6971</v>
      </c>
      <c r="C3329" s="1" t="s">
        <v>3033</v>
      </c>
      <c r="D3329" s="1" t="s">
        <v>19</v>
      </c>
      <c r="E3329" s="12">
        <f>5951*F3329</f>
        <v>1813.8648000000001</v>
      </c>
      <c r="F3329" s="12">
        <f>Systems!D6</f>
        <v>0.30480000000000002</v>
      </c>
      <c r="G3329" s="1" t="s">
        <v>14</v>
      </c>
      <c r="H3329" s="1" t="s">
        <v>467</v>
      </c>
    </row>
    <row r="3330" spans="1:8">
      <c r="A3330" s="1" t="s">
        <v>2803</v>
      </c>
      <c r="B3330" s="1" t="s">
        <v>26</v>
      </c>
      <c r="C3330" s="1" t="s">
        <v>3033</v>
      </c>
      <c r="D3330" s="1" t="s">
        <v>19</v>
      </c>
      <c r="E3330" s="12">
        <f>3*F3330</f>
        <v>0.91933825377599998</v>
      </c>
      <c r="F3330" s="12">
        <f>Systems!D161</f>
        <v>0.30644608459200001</v>
      </c>
      <c r="G3330" s="1" t="s">
        <v>14</v>
      </c>
      <c r="H3330" s="1" t="s">
        <v>467</v>
      </c>
    </row>
    <row r="3331" spans="1:8">
      <c r="A3331" s="1" t="s">
        <v>431</v>
      </c>
      <c r="B3331" s="1" t="s">
        <v>6972</v>
      </c>
      <c r="C3331" s="1" t="s">
        <v>3033</v>
      </c>
      <c r="D3331" s="1" t="s">
        <v>19</v>
      </c>
      <c r="E3331" s="12">
        <f>3*F3331</f>
        <v>0.91933825377599998</v>
      </c>
      <c r="F3331" s="12">
        <f>Systems!D161</f>
        <v>0.30644608459200001</v>
      </c>
      <c r="G3331" s="1" t="s">
        <v>14</v>
      </c>
      <c r="H3331" s="1" t="s">
        <v>467</v>
      </c>
    </row>
    <row r="3332" spans="1:8" ht="16.5">
      <c r="A3332" s="1" t="s">
        <v>45</v>
      </c>
      <c r="B3332" s="1" t="s">
        <v>2995</v>
      </c>
      <c r="C3332" s="1" t="s">
        <v>3034</v>
      </c>
      <c r="D3332" s="1" t="s">
        <v>38</v>
      </c>
      <c r="E3332" s="12">
        <f>4840*F3332/0.82</f>
        <v>4935.1907590243918</v>
      </c>
      <c r="F3332" s="12">
        <f>POWER(3*Systems!D6,2)</f>
        <v>0.83612736000000021</v>
      </c>
      <c r="G3332" s="1" t="s">
        <v>39</v>
      </c>
      <c r="H3332" s="1" t="s">
        <v>467</v>
      </c>
    </row>
    <row r="3333" spans="1:8" ht="16.5">
      <c r="A3333" s="1" t="s">
        <v>5158</v>
      </c>
      <c r="B3333" s="1" t="s">
        <v>5159</v>
      </c>
      <c r="C3333" s="1" t="s">
        <v>3034</v>
      </c>
      <c r="D3333" s="1" t="s">
        <v>38</v>
      </c>
      <c r="E3333" s="12">
        <f>54760*F3333</f>
        <v>5142.4679432343737</v>
      </c>
      <c r="F3333" s="12">
        <f>POWER(Systems!D161,2)</f>
        <v>9.390920276176723E-2</v>
      </c>
      <c r="G3333" s="1" t="s">
        <v>39</v>
      </c>
      <c r="H3333" s="1" t="s">
        <v>467</v>
      </c>
    </row>
    <row r="3334" spans="1:8" ht="16.5">
      <c r="A3334" s="1" t="s">
        <v>1368</v>
      </c>
      <c r="B3334" s="1" t="s">
        <v>26</v>
      </c>
      <c r="C3334" s="1" t="s">
        <v>3034</v>
      </c>
      <c r="D3334" s="1" t="s">
        <v>38</v>
      </c>
      <c r="E3334" s="12">
        <f>240*F3334</f>
        <v>1234192.3063762498</v>
      </c>
      <c r="F3334" s="12">
        <f>54760*POWER(Systems!D161,2)</f>
        <v>5142.4679432343737</v>
      </c>
      <c r="G3334" s="1" t="s">
        <v>39</v>
      </c>
      <c r="H3334" s="1" t="s">
        <v>467</v>
      </c>
    </row>
    <row r="3335" spans="1:8" ht="16.5">
      <c r="A3335" s="1" t="s">
        <v>6930</v>
      </c>
      <c r="B3335" s="1" t="s">
        <v>26</v>
      </c>
      <c r="C3335" s="1" t="s">
        <v>3034</v>
      </c>
      <c r="D3335" s="1" t="s">
        <v>38</v>
      </c>
      <c r="E3335" s="12">
        <f>F3335/4</f>
        <v>1285.6169858085934</v>
      </c>
      <c r="F3335" s="12">
        <f>54760*POWER(Systems!D161,2)</f>
        <v>5142.4679432343737</v>
      </c>
      <c r="G3335" s="1" t="s">
        <v>39</v>
      </c>
      <c r="H3335" s="1" t="s">
        <v>467</v>
      </c>
    </row>
    <row r="3336" spans="1:8" ht="16.5">
      <c r="A3336" s="1" t="s">
        <v>1473</v>
      </c>
      <c r="B3336" s="1" t="s">
        <v>26</v>
      </c>
      <c r="C3336" s="1" t="s">
        <v>3034</v>
      </c>
      <c r="D3336" s="1" t="s">
        <v>38</v>
      </c>
      <c r="E3336" s="12">
        <f>640*F3336</f>
        <v>3291179.4836699991</v>
      </c>
      <c r="F3336" s="12">
        <f>54760*POWER(Systems!D161,2)</f>
        <v>5142.4679432343737</v>
      </c>
      <c r="G3336" s="1" t="s">
        <v>39</v>
      </c>
      <c r="H3336" s="1" t="s">
        <v>467</v>
      </c>
    </row>
    <row r="3337" spans="1:8" ht="16.5">
      <c r="A3337" s="1" t="s">
        <v>1489</v>
      </c>
      <c r="B3337" s="1" t="s">
        <v>26</v>
      </c>
      <c r="C3337" s="1" t="s">
        <v>3034</v>
      </c>
      <c r="D3337" s="1" t="s">
        <v>38</v>
      </c>
      <c r="E3337" s="12">
        <f>640*F3337</f>
        <v>3291179.4836699991</v>
      </c>
      <c r="F3337" s="12">
        <f>54760*POWER(Systems!D161,2)</f>
        <v>5142.4679432343737</v>
      </c>
      <c r="G3337" s="1" t="s">
        <v>39</v>
      </c>
      <c r="H3337" s="1" t="s">
        <v>467</v>
      </c>
    </row>
    <row r="3338" spans="1:8" ht="16.5">
      <c r="A3338" s="1" t="s">
        <v>1490</v>
      </c>
      <c r="B3338" s="1" t="s">
        <v>26</v>
      </c>
      <c r="C3338" s="1" t="s">
        <v>3034</v>
      </c>
      <c r="D3338" s="1" t="s">
        <v>38</v>
      </c>
      <c r="E3338" s="12">
        <f>640*F3338</f>
        <v>3291179.4836699991</v>
      </c>
      <c r="F3338" s="12">
        <f>54760*POWER(Systems!D161,2)</f>
        <v>5142.4679432343737</v>
      </c>
      <c r="G3338" s="1" t="s">
        <v>39</v>
      </c>
      <c r="H3338" s="1" t="s">
        <v>467</v>
      </c>
    </row>
    <row r="3339" spans="1:8" ht="16.5">
      <c r="A3339" s="1" t="s">
        <v>1698</v>
      </c>
      <c r="B3339" s="1" t="s">
        <v>26</v>
      </c>
      <c r="C3339" s="1" t="s">
        <v>3034</v>
      </c>
      <c r="D3339" s="1" t="s">
        <v>38</v>
      </c>
      <c r="E3339" s="12">
        <f>F3339/4</f>
        <v>1285.6169858085934</v>
      </c>
      <c r="F3339" s="12">
        <f>54760*POWER(Systems!D161,2)</f>
        <v>5142.4679432343737</v>
      </c>
      <c r="G3339" s="1" t="s">
        <v>39</v>
      </c>
      <c r="H3339" s="1" t="s">
        <v>467</v>
      </c>
    </row>
    <row r="3340" spans="1:8" ht="16.5">
      <c r="A3340" s="1" t="s">
        <v>2017</v>
      </c>
      <c r="B3340" s="1" t="s">
        <v>26</v>
      </c>
      <c r="C3340" s="1" t="s">
        <v>3034</v>
      </c>
      <c r="D3340" s="1" t="s">
        <v>38</v>
      </c>
      <c r="E3340" s="12">
        <f>960*F3340</f>
        <v>4936769.225504999</v>
      </c>
      <c r="F3340" s="12">
        <f>54760*POWER(Systems!D161,2)</f>
        <v>5142.4679432343737</v>
      </c>
      <c r="G3340" s="1" t="s">
        <v>39</v>
      </c>
      <c r="H3340" s="1" t="s">
        <v>467</v>
      </c>
    </row>
    <row r="3341" spans="1:8" ht="16.5">
      <c r="A3341" s="1" t="s">
        <v>2023</v>
      </c>
      <c r="B3341" s="1" t="s">
        <v>26</v>
      </c>
      <c r="C3341" s="1" t="s">
        <v>3034</v>
      </c>
      <c r="D3341" s="1" t="s">
        <v>38</v>
      </c>
      <c r="E3341" s="12">
        <f>960*F3341</f>
        <v>4936769.225504999</v>
      </c>
      <c r="F3341" s="12">
        <f>54760*POWER(Systems!D161,2)</f>
        <v>5142.4679432343737</v>
      </c>
      <c r="G3341" s="1" t="s">
        <v>39</v>
      </c>
      <c r="H3341" s="1" t="s">
        <v>467</v>
      </c>
    </row>
    <row r="3342" spans="1:8" ht="16.5">
      <c r="A3342" s="1" t="s">
        <v>2049</v>
      </c>
      <c r="B3342" s="1" t="s">
        <v>26</v>
      </c>
      <c r="C3342" s="1" t="s">
        <v>3034</v>
      </c>
      <c r="D3342" s="1" t="s">
        <v>38</v>
      </c>
      <c r="E3342" s="12">
        <f>960*F3342</f>
        <v>4936769.225504999</v>
      </c>
      <c r="F3342" s="12">
        <f>54760*POWER(Systems!D161,2)</f>
        <v>5142.4679432343737</v>
      </c>
      <c r="G3342" s="1" t="s">
        <v>39</v>
      </c>
      <c r="H3342" s="1" t="s">
        <v>467</v>
      </c>
    </row>
    <row r="3343" spans="1:8" ht="16.5">
      <c r="A3343" s="1" t="s">
        <v>5160</v>
      </c>
      <c r="B3343" s="1" t="s">
        <v>26</v>
      </c>
      <c r="C3343" s="1" t="s">
        <v>3034</v>
      </c>
      <c r="D3343" s="1" t="s">
        <v>38</v>
      </c>
      <c r="E3343" s="12">
        <f>1095200*F3343</f>
        <v>102849.35886468747</v>
      </c>
      <c r="F3343" s="12">
        <f>Systems!H161</f>
        <v>9.390920276176723E-2</v>
      </c>
      <c r="G3343" s="1" t="s">
        <v>39</v>
      </c>
      <c r="H3343" s="1" t="s">
        <v>467</v>
      </c>
    </row>
    <row r="3344" spans="1:8" ht="16.5">
      <c r="A3344" s="1" t="s">
        <v>2142</v>
      </c>
      <c r="B3344" s="1" t="s">
        <v>26</v>
      </c>
      <c r="C3344" s="1" t="s">
        <v>3034</v>
      </c>
      <c r="D3344" s="1" t="s">
        <v>38</v>
      </c>
      <c r="E3344" s="12">
        <f>20*F3344</f>
        <v>80937.128448000018</v>
      </c>
      <c r="F3344" s="12">
        <f>4840*POWER(3*Systems!D6,2)</f>
        <v>4046.8564224000011</v>
      </c>
      <c r="G3344" s="1" t="s">
        <v>39</v>
      </c>
      <c r="H3344" s="1" t="s">
        <v>467</v>
      </c>
    </row>
    <row r="3345" spans="1:8" ht="16.5">
      <c r="A3345" s="1" t="s">
        <v>2191</v>
      </c>
      <c r="B3345" s="1" t="s">
        <v>26</v>
      </c>
      <c r="C3345" s="1" t="s">
        <v>3034</v>
      </c>
      <c r="D3345" s="1" t="s">
        <v>38</v>
      </c>
      <c r="E3345" s="12">
        <f>160*F3345</f>
        <v>822794.87091749976</v>
      </c>
      <c r="F3345" s="12">
        <f>54760*POWER(Systems!D161,2)</f>
        <v>5142.4679432343737</v>
      </c>
      <c r="G3345" s="1" t="s">
        <v>39</v>
      </c>
      <c r="H3345" s="1" t="s">
        <v>467</v>
      </c>
    </row>
    <row r="3346" spans="1:8" ht="16.5">
      <c r="A3346" s="1" t="s">
        <v>2195</v>
      </c>
      <c r="B3346" s="1" t="s">
        <v>26</v>
      </c>
      <c r="C3346" s="1" t="s">
        <v>3034</v>
      </c>
      <c r="D3346" s="1" t="s">
        <v>38</v>
      </c>
      <c r="E3346" s="12">
        <f>20*F3346</f>
        <v>102849.35886468747</v>
      </c>
      <c r="F3346" s="12">
        <f>54760*POWER(Systems!D161,2)</f>
        <v>5142.4679432343737</v>
      </c>
      <c r="G3346" s="1" t="s">
        <v>39</v>
      </c>
      <c r="H3346" s="1" t="s">
        <v>467</v>
      </c>
    </row>
    <row r="3347" spans="1:8" ht="16.5">
      <c r="A3347" s="1" t="s">
        <v>2243</v>
      </c>
      <c r="B3347" s="1" t="s">
        <v>26</v>
      </c>
      <c r="C3347" s="1" t="s">
        <v>3034</v>
      </c>
      <c r="D3347" s="1" t="s">
        <v>38</v>
      </c>
      <c r="E3347" s="12">
        <f>8*F3347</f>
        <v>41139.74354587499</v>
      </c>
      <c r="F3347" s="12">
        <f>54760*POWER(Systems!D161,2)</f>
        <v>5142.4679432343737</v>
      </c>
      <c r="G3347" s="1" t="s">
        <v>39</v>
      </c>
      <c r="H3347" s="1" t="s">
        <v>467</v>
      </c>
    </row>
    <row r="3348" spans="1:8" ht="16.5">
      <c r="A3348" s="1" t="s">
        <v>2246</v>
      </c>
      <c r="B3348" s="1" t="s">
        <v>26</v>
      </c>
      <c r="C3348" s="1" t="s">
        <v>3034</v>
      </c>
      <c r="D3348" s="1" t="s">
        <v>38</v>
      </c>
      <c r="E3348" s="12">
        <f>8*F3348</f>
        <v>41139.74354587499</v>
      </c>
      <c r="F3348" s="12">
        <f>54760*POWER(Systems!D161,2)</f>
        <v>5142.4679432343737</v>
      </c>
      <c r="G3348" s="1" t="s">
        <v>39</v>
      </c>
      <c r="H3348" s="1" t="s">
        <v>467</v>
      </c>
    </row>
    <row r="3349" spans="1:8" ht="16.5">
      <c r="A3349" s="1" t="s">
        <v>2281</v>
      </c>
      <c r="B3349" s="1" t="s">
        <v>26</v>
      </c>
      <c r="C3349" s="1" t="s">
        <v>3034</v>
      </c>
      <c r="D3349" s="1" t="s">
        <v>38</v>
      </c>
      <c r="E3349" s="12">
        <f>160*F3349</f>
        <v>822794.87091749976</v>
      </c>
      <c r="F3349" s="12">
        <f>54760*POWER(Systems!D161,2)</f>
        <v>5142.4679432343737</v>
      </c>
      <c r="G3349" s="1" t="s">
        <v>39</v>
      </c>
      <c r="H3349" s="1" t="s">
        <v>467</v>
      </c>
    </row>
    <row r="3350" spans="1:8" ht="16.5">
      <c r="A3350" s="1" t="s">
        <v>2282</v>
      </c>
      <c r="B3350" s="1" t="s">
        <v>26</v>
      </c>
      <c r="C3350" s="1" t="s">
        <v>3034</v>
      </c>
      <c r="D3350" s="1" t="s">
        <v>38</v>
      </c>
      <c r="E3350" s="12">
        <f>160*F3350</f>
        <v>822794.87091749976</v>
      </c>
      <c r="F3350" s="12">
        <f>54760*POWER(Systems!D161,2)</f>
        <v>5142.4679432343737</v>
      </c>
      <c r="G3350" s="1" t="s">
        <v>39</v>
      </c>
      <c r="H3350" s="1" t="s">
        <v>467</v>
      </c>
    </row>
    <row r="3351" spans="1:8" ht="16.5">
      <c r="A3351" s="1" t="s">
        <v>2340</v>
      </c>
      <c r="B3351" s="1" t="s">
        <v>26</v>
      </c>
      <c r="C3351" s="1" t="s">
        <v>3034</v>
      </c>
      <c r="D3351" s="1" t="s">
        <v>38</v>
      </c>
      <c r="E3351" s="12">
        <f>240*F3351</f>
        <v>1234192.3063762498</v>
      </c>
      <c r="F3351" s="12">
        <f>54760*POWER(Systems!D161,2)</f>
        <v>5142.4679432343737</v>
      </c>
      <c r="G3351" s="1" t="s">
        <v>39</v>
      </c>
      <c r="H3351" s="1" t="s">
        <v>467</v>
      </c>
    </row>
    <row r="3352" spans="1:8" ht="16.5">
      <c r="A3352" s="1" t="s">
        <v>2387</v>
      </c>
      <c r="B3352" s="1" t="s">
        <v>26</v>
      </c>
      <c r="C3352" s="1" t="s">
        <v>3034</v>
      </c>
      <c r="D3352" s="1" t="s">
        <v>38</v>
      </c>
      <c r="E3352" s="12">
        <f>13690*F3352</f>
        <v>1285.6169858085934</v>
      </c>
      <c r="F3352" s="12">
        <f>POWER(Systems!D161,2)</f>
        <v>9.390920276176723E-2</v>
      </c>
      <c r="G3352" s="1" t="s">
        <v>39</v>
      </c>
      <c r="H3352" s="1" t="s">
        <v>467</v>
      </c>
    </row>
    <row r="3353" spans="1:8" ht="16.5">
      <c r="A3353" s="1" t="s">
        <v>2393</v>
      </c>
      <c r="B3353" s="1" t="s">
        <v>26</v>
      </c>
      <c r="C3353" s="1" t="s">
        <v>3034</v>
      </c>
      <c r="D3353" s="1" t="s">
        <v>38</v>
      </c>
      <c r="E3353" s="12">
        <f>13690*F3353</f>
        <v>1285.6169858085934</v>
      </c>
      <c r="F3353" s="12">
        <f>POWER(Systems!D161,2)</f>
        <v>9.390920276176723E-2</v>
      </c>
      <c r="G3353" s="1" t="s">
        <v>39</v>
      </c>
      <c r="H3353" s="1" t="s">
        <v>467</v>
      </c>
    </row>
    <row r="3354" spans="1:8" ht="16.5">
      <c r="A3354" s="1" t="s">
        <v>2401</v>
      </c>
      <c r="B3354" s="1" t="s">
        <v>26</v>
      </c>
      <c r="C3354" s="1" t="s">
        <v>3034</v>
      </c>
      <c r="D3354" s="1" t="s">
        <v>38</v>
      </c>
      <c r="E3354" s="12">
        <f>13690*F3354</f>
        <v>1285.6169858085934</v>
      </c>
      <c r="F3354" s="12">
        <f>POWER(Systems!D161,2)</f>
        <v>9.390920276176723E-2</v>
      </c>
      <c r="G3354" s="1" t="s">
        <v>39</v>
      </c>
      <c r="H3354" s="1" t="s">
        <v>467</v>
      </c>
    </row>
    <row r="3355" spans="1:8" ht="16.5">
      <c r="A3355" s="1" t="s">
        <v>5161</v>
      </c>
      <c r="B3355" s="1" t="s">
        <v>26</v>
      </c>
      <c r="C3355" s="1" t="s">
        <v>3034</v>
      </c>
      <c r="D3355" s="1" t="s">
        <v>38</v>
      </c>
      <c r="E3355" s="12">
        <f>F3355</f>
        <v>0.89278957347818988</v>
      </c>
      <c r="F3355" s="12">
        <f>POWER(37*Systems!D161/12,2)</f>
        <v>0.89278957347818988</v>
      </c>
      <c r="G3355" s="1" t="s">
        <v>39</v>
      </c>
      <c r="H3355" s="1" t="s">
        <v>467</v>
      </c>
    </row>
    <row r="3356" spans="1:8" ht="16.5">
      <c r="A3356" s="1" t="s">
        <v>5162</v>
      </c>
      <c r="B3356" s="1" t="s">
        <v>26</v>
      </c>
      <c r="C3356" s="1" t="s">
        <v>3034</v>
      </c>
      <c r="D3356" s="1" t="s">
        <v>38</v>
      </c>
      <c r="E3356" s="12">
        <f>1369*F3356/4</f>
        <v>32.140424645214836</v>
      </c>
      <c r="F3356" s="12">
        <f>POWER(Systems!D161,2)</f>
        <v>9.390920276176723E-2</v>
      </c>
      <c r="G3356" s="1" t="s">
        <v>39</v>
      </c>
      <c r="H3356" s="1" t="s">
        <v>467</v>
      </c>
    </row>
    <row r="3357" spans="1:8" ht="16.5">
      <c r="A3357" s="1" t="s">
        <v>5163</v>
      </c>
      <c r="B3357" s="1" t="s">
        <v>26</v>
      </c>
      <c r="C3357" s="1" t="s">
        <v>3034</v>
      </c>
      <c r="D3357" s="1" t="s">
        <v>38</v>
      </c>
      <c r="E3357" s="12">
        <f>1369*F3357/4</f>
        <v>32.140424645214836</v>
      </c>
      <c r="F3357" s="12">
        <f>POWER(Systems!D161,2)</f>
        <v>9.390920276176723E-2</v>
      </c>
      <c r="G3357" s="1" t="s">
        <v>39</v>
      </c>
      <c r="H3357" s="1" t="s">
        <v>467</v>
      </c>
    </row>
    <row r="3358" spans="1:8" ht="16.5">
      <c r="A3358" s="1" t="s">
        <v>4453</v>
      </c>
      <c r="B3358" s="1" t="s">
        <v>6950</v>
      </c>
      <c r="C3358" s="1" t="s">
        <v>3034</v>
      </c>
      <c r="D3358" s="1" t="s">
        <v>38</v>
      </c>
      <c r="E3358" s="12">
        <f>F3358</f>
        <v>9.390920276176723E-2</v>
      </c>
      <c r="F3358" s="12">
        <f>POWER(Systems!D161,2)</f>
        <v>9.390920276176723E-2</v>
      </c>
      <c r="G3358" s="1" t="s">
        <v>39</v>
      </c>
      <c r="H3358" s="1" t="s">
        <v>467</v>
      </c>
    </row>
    <row r="3359" spans="1:8" ht="16.5">
      <c r="A3359" s="1" t="s">
        <v>4588</v>
      </c>
      <c r="B3359" s="1" t="s">
        <v>6975</v>
      </c>
      <c r="C3359" s="1" t="s">
        <v>3034</v>
      </c>
      <c r="D3359" s="1" t="s">
        <v>38</v>
      </c>
      <c r="E3359" s="12">
        <f>F3359</f>
        <v>6.5214724140116138E-4</v>
      </c>
      <c r="F3359" s="12">
        <f>POWER(Systems!D161/12,2)</f>
        <v>6.5214724140116138E-4</v>
      </c>
      <c r="G3359" s="1" t="s">
        <v>39</v>
      </c>
      <c r="H3359" s="1" t="s">
        <v>467</v>
      </c>
    </row>
    <row r="3360" spans="1:8" ht="16.5">
      <c r="A3360" s="1" t="s">
        <v>2703</v>
      </c>
      <c r="B3360" s="1" t="s">
        <v>26</v>
      </c>
      <c r="C3360" s="1" t="s">
        <v>3034</v>
      </c>
      <c r="D3360" s="1" t="s">
        <v>38</v>
      </c>
      <c r="E3360" s="12">
        <f>160*F3360</f>
        <v>822794.87091749976</v>
      </c>
      <c r="F3360" s="12">
        <f>54760*POWER(Systems!D161,2)</f>
        <v>5142.4679432343737</v>
      </c>
      <c r="G3360" s="1" t="s">
        <v>39</v>
      </c>
      <c r="H3360" s="1" t="s">
        <v>467</v>
      </c>
    </row>
    <row r="3361" spans="1:8" ht="16.5">
      <c r="A3361" s="1" t="s">
        <v>2738</v>
      </c>
      <c r="B3361" s="1" t="s">
        <v>26</v>
      </c>
      <c r="C3361" s="1" t="s">
        <v>3034</v>
      </c>
      <c r="D3361" s="1" t="s">
        <v>38</v>
      </c>
      <c r="E3361" s="12">
        <f>160*F3361</f>
        <v>822794.87091749976</v>
      </c>
      <c r="F3361" s="12">
        <f>54760*POWER(Systems!D161,2)</f>
        <v>5142.4679432343737</v>
      </c>
      <c r="G3361" s="1" t="s">
        <v>39</v>
      </c>
      <c r="H3361" s="1" t="s">
        <v>467</v>
      </c>
    </row>
    <row r="3362" spans="1:8" ht="16.5">
      <c r="A3362" s="1" t="s">
        <v>5164</v>
      </c>
      <c r="B3362" s="1" t="s">
        <v>5165</v>
      </c>
      <c r="C3362" s="1" t="s">
        <v>2936</v>
      </c>
      <c r="D3362" s="1" t="s">
        <v>32</v>
      </c>
      <c r="E3362" s="12">
        <f t="shared" ref="E3362:E3377" si="5">64*F3362</f>
        <v>0.21011624557312003</v>
      </c>
      <c r="F3362" s="12">
        <f>Systems!T161</f>
        <v>3.2830663370800005E-3</v>
      </c>
      <c r="G3362" s="1" t="s">
        <v>33</v>
      </c>
      <c r="H3362" s="1" t="s">
        <v>467</v>
      </c>
    </row>
    <row r="3363" spans="1:8" ht="16.5">
      <c r="A3363" s="1" t="s">
        <v>5173</v>
      </c>
      <c r="B3363" s="1" t="s">
        <v>5166</v>
      </c>
      <c r="C3363" s="1" t="s">
        <v>2936</v>
      </c>
      <c r="D3363" s="1" t="s">
        <v>32</v>
      </c>
      <c r="E3363" s="12">
        <f t="shared" si="5"/>
        <v>0.14403101825996803</v>
      </c>
      <c r="F3363" s="12">
        <f>Systems!T162</f>
        <v>2.2504846603120005E-3</v>
      </c>
      <c r="G3363" s="1" t="s">
        <v>33</v>
      </c>
      <c r="H3363" s="1" t="s">
        <v>467</v>
      </c>
    </row>
    <row r="3364" spans="1:8" ht="16.5">
      <c r="A3364" s="1" t="s">
        <v>5174</v>
      </c>
      <c r="B3364" s="1" t="s">
        <v>5167</v>
      </c>
      <c r="C3364" s="1" t="s">
        <v>2936</v>
      </c>
      <c r="D3364" s="1" t="s">
        <v>32</v>
      </c>
      <c r="E3364" s="12">
        <f t="shared" si="5"/>
        <v>0.21011624557312003</v>
      </c>
      <c r="F3364" s="12">
        <f>Systems!T161</f>
        <v>3.2830663370800005E-3</v>
      </c>
      <c r="G3364" s="1" t="s">
        <v>33</v>
      </c>
      <c r="H3364" s="1" t="s">
        <v>467</v>
      </c>
    </row>
    <row r="3365" spans="1:8" ht="16.5">
      <c r="A3365" s="1" t="s">
        <v>5175</v>
      </c>
      <c r="B3365" s="1" t="s">
        <v>5168</v>
      </c>
      <c r="C3365" s="1" t="s">
        <v>2936</v>
      </c>
      <c r="D3365" s="1" t="s">
        <v>32</v>
      </c>
      <c r="E3365" s="12">
        <f t="shared" si="5"/>
        <v>0.21011624557312003</v>
      </c>
      <c r="F3365" s="12">
        <f>Systems!T161</f>
        <v>3.2830663370800005E-3</v>
      </c>
      <c r="G3365" s="1" t="s">
        <v>33</v>
      </c>
      <c r="H3365" s="1" t="s">
        <v>467</v>
      </c>
    </row>
    <row r="3366" spans="1:8" ht="16.5">
      <c r="A3366" s="1" t="s">
        <v>5176</v>
      </c>
      <c r="B3366" s="1" t="s">
        <v>5169</v>
      </c>
      <c r="C3366" s="1" t="s">
        <v>2936</v>
      </c>
      <c r="D3366" s="1" t="s">
        <v>32</v>
      </c>
      <c r="E3366" s="12">
        <f t="shared" si="5"/>
        <v>0.14403101825996803</v>
      </c>
      <c r="F3366" s="12">
        <f>Systems!T162</f>
        <v>2.2504846603120005E-3</v>
      </c>
      <c r="G3366" s="1" t="s">
        <v>33</v>
      </c>
      <c r="H3366" s="1" t="s">
        <v>467</v>
      </c>
    </row>
    <row r="3367" spans="1:8" ht="16.5">
      <c r="A3367" s="1" t="s">
        <v>5177</v>
      </c>
      <c r="B3367" s="1" t="s">
        <v>5170</v>
      </c>
      <c r="C3367" s="1" t="s">
        <v>2936</v>
      </c>
      <c r="D3367" s="1" t="s">
        <v>32</v>
      </c>
      <c r="E3367" s="12">
        <f t="shared" si="5"/>
        <v>0.14403101825996803</v>
      </c>
      <c r="F3367" s="12">
        <f>Systems!T162</f>
        <v>2.2504846603120005E-3</v>
      </c>
      <c r="G3367" s="1" t="s">
        <v>33</v>
      </c>
      <c r="H3367" s="1" t="s">
        <v>467</v>
      </c>
    </row>
    <row r="3368" spans="1:8" ht="16.5">
      <c r="A3368" s="1" t="s">
        <v>5178</v>
      </c>
      <c r="B3368" s="1" t="s">
        <v>5171</v>
      </c>
      <c r="C3368" s="1" t="s">
        <v>2936</v>
      </c>
      <c r="D3368" s="1" t="s">
        <v>32</v>
      </c>
      <c r="E3368" s="12">
        <f t="shared" si="5"/>
        <v>0.14403101825996803</v>
      </c>
      <c r="F3368" s="12">
        <f>Systems!T162</f>
        <v>2.2504846603120005E-3</v>
      </c>
      <c r="G3368" s="1" t="s">
        <v>33</v>
      </c>
      <c r="H3368" s="1" t="s">
        <v>467</v>
      </c>
    </row>
    <row r="3369" spans="1:8" ht="16.5">
      <c r="A3369" s="1" t="s">
        <v>5179</v>
      </c>
      <c r="B3369" s="1" t="s">
        <v>5172</v>
      </c>
      <c r="C3369" s="1" t="s">
        <v>2936</v>
      </c>
      <c r="D3369" s="1" t="s">
        <v>32</v>
      </c>
      <c r="E3369" s="12">
        <f t="shared" si="5"/>
        <v>0.14403101825996803</v>
      </c>
      <c r="F3369" s="12">
        <f>Systems!T162</f>
        <v>2.2504846603120005E-3</v>
      </c>
      <c r="G3369" s="1" t="s">
        <v>33</v>
      </c>
      <c r="H3369" s="1" t="s">
        <v>467</v>
      </c>
    </row>
    <row r="3370" spans="1:8" ht="16.5">
      <c r="A3370" s="1" t="s">
        <v>5182</v>
      </c>
      <c r="B3370" s="1" t="s">
        <v>26</v>
      </c>
      <c r="C3370" s="1" t="s">
        <v>2936</v>
      </c>
      <c r="D3370" s="1" t="s">
        <v>32</v>
      </c>
      <c r="E3370" s="12">
        <f t="shared" si="5"/>
        <v>0.14403101825996803</v>
      </c>
      <c r="F3370" s="12">
        <f>Systems!T162</f>
        <v>2.2504846603120005E-3</v>
      </c>
      <c r="G3370" s="1" t="s">
        <v>33</v>
      </c>
      <c r="H3370" s="1" t="s">
        <v>467</v>
      </c>
    </row>
    <row r="3371" spans="1:8" ht="16.5">
      <c r="A3371" s="1" t="s">
        <v>5180</v>
      </c>
      <c r="B3371" s="1" t="s">
        <v>26</v>
      </c>
      <c r="C3371" s="1" t="s">
        <v>2936</v>
      </c>
      <c r="D3371" s="1" t="s">
        <v>32</v>
      </c>
      <c r="E3371" s="12">
        <f t="shared" si="5"/>
        <v>0.21011624557312003</v>
      </c>
      <c r="F3371" s="12">
        <f>Systems!T161</f>
        <v>3.2830663370800005E-3</v>
      </c>
      <c r="G3371" s="1" t="s">
        <v>33</v>
      </c>
      <c r="H3371" s="1" t="s">
        <v>467</v>
      </c>
    </row>
    <row r="3372" spans="1:8" ht="16.5">
      <c r="A3372" s="1" t="s">
        <v>5181</v>
      </c>
      <c r="B3372" s="1" t="s">
        <v>26</v>
      </c>
      <c r="C3372" s="1" t="s">
        <v>2936</v>
      </c>
      <c r="D3372" s="1" t="s">
        <v>32</v>
      </c>
      <c r="E3372" s="12">
        <f t="shared" si="5"/>
        <v>0.14403101825996803</v>
      </c>
      <c r="F3372" s="12">
        <f>Systems!T162</f>
        <v>2.2504846603120005E-3</v>
      </c>
      <c r="G3372" s="1" t="s">
        <v>33</v>
      </c>
      <c r="H3372" s="1" t="s">
        <v>467</v>
      </c>
    </row>
    <row r="3373" spans="1:8" ht="16.5">
      <c r="A3373" s="1" t="s">
        <v>5183</v>
      </c>
      <c r="B3373" s="1" t="s">
        <v>26</v>
      </c>
      <c r="C3373" s="1" t="s">
        <v>2936</v>
      </c>
      <c r="D3373" s="1" t="s">
        <v>32</v>
      </c>
      <c r="E3373" s="12">
        <f t="shared" si="5"/>
        <v>0.21011624557312003</v>
      </c>
      <c r="F3373" s="12">
        <f>Systems!T161</f>
        <v>3.2830663370800005E-3</v>
      </c>
      <c r="G3373" s="1" t="s">
        <v>33</v>
      </c>
      <c r="H3373" s="1" t="s">
        <v>467</v>
      </c>
    </row>
    <row r="3374" spans="1:8" ht="16.5">
      <c r="A3374" s="1" t="s">
        <v>5184</v>
      </c>
      <c r="B3374" s="1" t="s">
        <v>26</v>
      </c>
      <c r="C3374" s="1" t="s">
        <v>2936</v>
      </c>
      <c r="D3374" s="1" t="s">
        <v>32</v>
      </c>
      <c r="E3374" s="12">
        <f t="shared" si="5"/>
        <v>0.21011624557312003</v>
      </c>
      <c r="F3374" s="12">
        <f>Systems!T161</f>
        <v>3.2830663370800005E-3</v>
      </c>
      <c r="G3374" s="1" t="s">
        <v>33</v>
      </c>
      <c r="H3374" s="1" t="s">
        <v>467</v>
      </c>
    </row>
    <row r="3375" spans="1:8" ht="16.5">
      <c r="A3375" s="1" t="s">
        <v>5185</v>
      </c>
      <c r="B3375" s="1" t="s">
        <v>26</v>
      </c>
      <c r="C3375" s="1" t="s">
        <v>2936</v>
      </c>
      <c r="D3375" s="1" t="s">
        <v>32</v>
      </c>
      <c r="E3375" s="12">
        <f t="shared" si="5"/>
        <v>0.14403101825996803</v>
      </c>
      <c r="F3375" s="12">
        <f>Systems!T162</f>
        <v>2.2504846603120005E-3</v>
      </c>
      <c r="G3375" s="1" t="s">
        <v>33</v>
      </c>
      <c r="H3375" s="1" t="s">
        <v>467</v>
      </c>
    </row>
    <row r="3376" spans="1:8" ht="16.5">
      <c r="A3376" s="1" t="s">
        <v>5186</v>
      </c>
      <c r="B3376" s="1" t="s">
        <v>26</v>
      </c>
      <c r="C3376" s="1" t="s">
        <v>2936</v>
      </c>
      <c r="D3376" s="1" t="s">
        <v>32</v>
      </c>
      <c r="E3376" s="12">
        <f t="shared" si="5"/>
        <v>0.14403101825996803</v>
      </c>
      <c r="F3376" s="12">
        <f>Systems!T162</f>
        <v>2.2504846603120005E-3</v>
      </c>
      <c r="G3376" s="1" t="s">
        <v>33</v>
      </c>
      <c r="H3376" s="1" t="s">
        <v>467</v>
      </c>
    </row>
    <row r="3377" spans="1:8" ht="16.5">
      <c r="A3377" s="1" t="s">
        <v>5187</v>
      </c>
      <c r="B3377" s="1" t="s">
        <v>26</v>
      </c>
      <c r="C3377" s="1" t="s">
        <v>2936</v>
      </c>
      <c r="D3377" s="1" t="s">
        <v>32</v>
      </c>
      <c r="E3377" s="12">
        <f t="shared" si="5"/>
        <v>0.14403101825996803</v>
      </c>
      <c r="F3377" s="12">
        <f>Systems!T162</f>
        <v>2.2504846603120005E-3</v>
      </c>
      <c r="G3377" s="1" t="s">
        <v>33</v>
      </c>
      <c r="H3377" s="1" t="s">
        <v>467</v>
      </c>
    </row>
    <row r="3378" spans="1:8" ht="16.5">
      <c r="A3378" s="1" t="s">
        <v>5188</v>
      </c>
      <c r="B3378" s="1" t="s">
        <v>26</v>
      </c>
      <c r="C3378" s="1" t="s">
        <v>2936</v>
      </c>
      <c r="D3378" s="1" t="s">
        <v>32</v>
      </c>
      <c r="E3378" s="12">
        <f t="shared" ref="E3378:E3393" si="6">1024*F3378</f>
        <v>2.3044962921594885</v>
      </c>
      <c r="F3378" s="12">
        <f>Systems!T162</f>
        <v>2.2504846603120005E-3</v>
      </c>
      <c r="G3378" s="1" t="s">
        <v>33</v>
      </c>
      <c r="H3378" s="1" t="s">
        <v>467</v>
      </c>
    </row>
    <row r="3379" spans="1:8" ht="16.5">
      <c r="A3379" s="1" t="s">
        <v>5189</v>
      </c>
      <c r="B3379" s="1" t="s">
        <v>26</v>
      </c>
      <c r="C3379" s="1" t="s">
        <v>2936</v>
      </c>
      <c r="D3379" s="1" t="s">
        <v>32</v>
      </c>
      <c r="E3379" s="12">
        <f t="shared" si="6"/>
        <v>3.3618599291699205</v>
      </c>
      <c r="F3379" s="12">
        <f>Systems!T161</f>
        <v>3.2830663370800005E-3</v>
      </c>
      <c r="G3379" s="1" t="s">
        <v>33</v>
      </c>
      <c r="H3379" s="1" t="s">
        <v>467</v>
      </c>
    </row>
    <row r="3380" spans="1:8" ht="16.5">
      <c r="A3380" s="1" t="s">
        <v>5190</v>
      </c>
      <c r="B3380" s="1" t="s">
        <v>26</v>
      </c>
      <c r="C3380" s="1" t="s">
        <v>2936</v>
      </c>
      <c r="D3380" s="1" t="s">
        <v>32</v>
      </c>
      <c r="E3380" s="12">
        <f t="shared" si="6"/>
        <v>2.3044962921594885</v>
      </c>
      <c r="F3380" s="12">
        <f>Systems!T162</f>
        <v>2.2504846603120005E-3</v>
      </c>
      <c r="G3380" s="1" t="s">
        <v>33</v>
      </c>
      <c r="H3380" s="1" t="s">
        <v>467</v>
      </c>
    </row>
    <row r="3381" spans="1:8" ht="16.5">
      <c r="A3381" s="1" t="s">
        <v>5191</v>
      </c>
      <c r="B3381" s="1" t="s">
        <v>26</v>
      </c>
      <c r="C3381" s="1" t="s">
        <v>2936</v>
      </c>
      <c r="D3381" s="1" t="s">
        <v>32</v>
      </c>
      <c r="E3381" s="12">
        <f t="shared" si="6"/>
        <v>3.3618599291699205</v>
      </c>
      <c r="F3381" s="12">
        <f>Systems!T161</f>
        <v>3.2830663370800005E-3</v>
      </c>
      <c r="G3381" s="1" t="s">
        <v>33</v>
      </c>
      <c r="H3381" s="1" t="s">
        <v>467</v>
      </c>
    </row>
    <row r="3382" spans="1:8" ht="16.5">
      <c r="A3382" s="1" t="s">
        <v>5192</v>
      </c>
      <c r="B3382" s="1" t="s">
        <v>26</v>
      </c>
      <c r="C3382" s="1" t="s">
        <v>2936</v>
      </c>
      <c r="D3382" s="1" t="s">
        <v>32</v>
      </c>
      <c r="E3382" s="12">
        <f t="shared" si="6"/>
        <v>3.3618599291699205</v>
      </c>
      <c r="F3382" s="12">
        <f>Systems!T161</f>
        <v>3.2830663370800005E-3</v>
      </c>
      <c r="G3382" s="1" t="s">
        <v>33</v>
      </c>
      <c r="H3382" s="1" t="s">
        <v>467</v>
      </c>
    </row>
    <row r="3383" spans="1:8" ht="16.5">
      <c r="A3383" s="1" t="s">
        <v>5193</v>
      </c>
      <c r="B3383" s="1" t="s">
        <v>26</v>
      </c>
      <c r="C3383" s="1" t="s">
        <v>2936</v>
      </c>
      <c r="D3383" s="1" t="s">
        <v>32</v>
      </c>
      <c r="E3383" s="12">
        <f t="shared" si="6"/>
        <v>2.3044962921594885</v>
      </c>
      <c r="F3383" s="12">
        <f>Systems!T162</f>
        <v>2.2504846603120005E-3</v>
      </c>
      <c r="G3383" s="1" t="s">
        <v>33</v>
      </c>
      <c r="H3383" s="1" t="s">
        <v>467</v>
      </c>
    </row>
    <row r="3384" spans="1:8" ht="16.5">
      <c r="A3384" s="1" t="s">
        <v>5194</v>
      </c>
      <c r="B3384" s="1" t="s">
        <v>26</v>
      </c>
      <c r="C3384" s="1" t="s">
        <v>2936</v>
      </c>
      <c r="D3384" s="1" t="s">
        <v>32</v>
      </c>
      <c r="E3384" s="12">
        <f t="shared" si="6"/>
        <v>2.3044962921594885</v>
      </c>
      <c r="F3384" s="12">
        <f>Systems!T162</f>
        <v>2.2504846603120005E-3</v>
      </c>
      <c r="G3384" s="1" t="s">
        <v>33</v>
      </c>
      <c r="H3384" s="1" t="s">
        <v>467</v>
      </c>
    </row>
    <row r="3385" spans="1:8" ht="16.5">
      <c r="A3385" s="1" t="s">
        <v>5195</v>
      </c>
      <c r="B3385" s="1" t="s">
        <v>26</v>
      </c>
      <c r="C3385" s="1" t="s">
        <v>2936</v>
      </c>
      <c r="D3385" s="1" t="s">
        <v>32</v>
      </c>
      <c r="E3385" s="12">
        <f t="shared" si="6"/>
        <v>2.3044962921594885</v>
      </c>
      <c r="F3385" s="12">
        <f>Systems!T162</f>
        <v>2.2504846603120005E-3</v>
      </c>
      <c r="G3385" s="1" t="s">
        <v>33</v>
      </c>
      <c r="H3385" s="1" t="s">
        <v>467</v>
      </c>
    </row>
    <row r="3386" spans="1:8" ht="16.5">
      <c r="A3386" s="1" t="s">
        <v>5196</v>
      </c>
      <c r="B3386" s="1" t="s">
        <v>26</v>
      </c>
      <c r="C3386" s="1" t="s">
        <v>2936</v>
      </c>
      <c r="D3386" s="1" t="s">
        <v>32</v>
      </c>
      <c r="E3386" s="12">
        <f t="shared" si="6"/>
        <v>3.3618599291699205</v>
      </c>
      <c r="F3386" s="12">
        <f>Systems!T161</f>
        <v>3.2830663370800005E-3</v>
      </c>
      <c r="G3386" s="1" t="s">
        <v>33</v>
      </c>
      <c r="H3386" s="1" t="s">
        <v>467</v>
      </c>
    </row>
    <row r="3387" spans="1:8" ht="16.5">
      <c r="A3387" s="1" t="s">
        <v>5197</v>
      </c>
      <c r="B3387" s="1" t="s">
        <v>26</v>
      </c>
      <c r="C3387" s="1" t="s">
        <v>2936</v>
      </c>
      <c r="D3387" s="1" t="s">
        <v>32</v>
      </c>
      <c r="E3387" s="12">
        <f t="shared" si="6"/>
        <v>2.3044962921594885</v>
      </c>
      <c r="F3387" s="12">
        <f>Systems!T162</f>
        <v>2.2504846603120005E-3</v>
      </c>
      <c r="G3387" s="1" t="s">
        <v>33</v>
      </c>
      <c r="H3387" s="1" t="s">
        <v>467</v>
      </c>
    </row>
    <row r="3388" spans="1:8" ht="16.5">
      <c r="A3388" s="1" t="s">
        <v>5198</v>
      </c>
      <c r="B3388" s="1" t="s">
        <v>26</v>
      </c>
      <c r="C3388" s="1" t="s">
        <v>2936</v>
      </c>
      <c r="D3388" s="1" t="s">
        <v>32</v>
      </c>
      <c r="E3388" s="12">
        <f t="shared" si="6"/>
        <v>3.3618599291699205</v>
      </c>
      <c r="F3388" s="12">
        <f>Systems!T161</f>
        <v>3.2830663370800005E-3</v>
      </c>
      <c r="G3388" s="1" t="s">
        <v>33</v>
      </c>
      <c r="H3388" s="1" t="s">
        <v>467</v>
      </c>
    </row>
    <row r="3389" spans="1:8" ht="16.5">
      <c r="A3389" s="1" t="s">
        <v>5199</v>
      </c>
      <c r="B3389" s="1" t="s">
        <v>26</v>
      </c>
      <c r="C3389" s="1" t="s">
        <v>2936</v>
      </c>
      <c r="D3389" s="1" t="s">
        <v>32</v>
      </c>
      <c r="E3389" s="12">
        <f t="shared" si="6"/>
        <v>3.3618599291699205</v>
      </c>
      <c r="F3389" s="12">
        <f>Systems!T161</f>
        <v>3.2830663370800005E-3</v>
      </c>
      <c r="G3389" s="1" t="s">
        <v>33</v>
      </c>
      <c r="H3389" s="1" t="s">
        <v>467</v>
      </c>
    </row>
    <row r="3390" spans="1:8" ht="16.5">
      <c r="A3390" s="1" t="s">
        <v>5200</v>
      </c>
      <c r="B3390" s="1" t="s">
        <v>26</v>
      </c>
      <c r="C3390" s="1" t="s">
        <v>2936</v>
      </c>
      <c r="D3390" s="1" t="s">
        <v>32</v>
      </c>
      <c r="E3390" s="12">
        <f t="shared" si="6"/>
        <v>2.3044962921594885</v>
      </c>
      <c r="F3390" s="12">
        <f>Systems!T162</f>
        <v>2.2504846603120005E-3</v>
      </c>
      <c r="G3390" s="1" t="s">
        <v>33</v>
      </c>
      <c r="H3390" s="1" t="s">
        <v>467</v>
      </c>
    </row>
    <row r="3391" spans="1:8" ht="16.5">
      <c r="A3391" s="1" t="s">
        <v>5201</v>
      </c>
      <c r="B3391" s="1" t="s">
        <v>26</v>
      </c>
      <c r="C3391" s="1" t="s">
        <v>2936</v>
      </c>
      <c r="D3391" s="1" t="s">
        <v>32</v>
      </c>
      <c r="E3391" s="12">
        <f t="shared" si="6"/>
        <v>2.3044962921594885</v>
      </c>
      <c r="F3391" s="12">
        <f>Systems!T162</f>
        <v>2.2504846603120005E-3</v>
      </c>
      <c r="G3391" s="1" t="s">
        <v>33</v>
      </c>
      <c r="H3391" s="1" t="s">
        <v>467</v>
      </c>
    </row>
    <row r="3392" spans="1:8" ht="16.5">
      <c r="A3392" s="1" t="s">
        <v>5202</v>
      </c>
      <c r="B3392" s="1" t="s">
        <v>26</v>
      </c>
      <c r="C3392" s="1" t="s">
        <v>2936</v>
      </c>
      <c r="D3392" s="1" t="s">
        <v>32</v>
      </c>
      <c r="E3392" s="12">
        <f t="shared" si="6"/>
        <v>2.3044962921594885</v>
      </c>
      <c r="F3392" s="12">
        <f>Systems!T162</f>
        <v>2.2504846603120005E-3</v>
      </c>
      <c r="G3392" s="1" t="s">
        <v>33</v>
      </c>
      <c r="H3392" s="1" t="s">
        <v>467</v>
      </c>
    </row>
    <row r="3393" spans="1:8" ht="16.5">
      <c r="A3393" s="1" t="s">
        <v>5203</v>
      </c>
      <c r="B3393" s="1" t="s">
        <v>26</v>
      </c>
      <c r="C3393" s="1" t="s">
        <v>2936</v>
      </c>
      <c r="D3393" s="1" t="s">
        <v>32</v>
      </c>
      <c r="E3393" s="12">
        <f t="shared" si="6"/>
        <v>2.3044962921594885</v>
      </c>
      <c r="F3393" s="12">
        <f>Systems!T162</f>
        <v>2.2504846603120005E-3</v>
      </c>
      <c r="G3393" s="1" t="s">
        <v>33</v>
      </c>
      <c r="H3393" s="1" t="s">
        <v>467</v>
      </c>
    </row>
    <row r="3394" spans="1:8" ht="16.5">
      <c r="A3394" s="1" t="s">
        <v>5204</v>
      </c>
      <c r="B3394" s="1" t="s">
        <v>26</v>
      </c>
      <c r="C3394" s="1" t="s">
        <v>2936</v>
      </c>
      <c r="D3394" s="1" t="s">
        <v>32</v>
      </c>
      <c r="E3394" s="12">
        <f t="shared" ref="E3394:E3401" si="7">16*F3394</f>
        <v>3.6007754564992007E-2</v>
      </c>
      <c r="F3394" s="12">
        <f>Systems!T162</f>
        <v>2.2504846603120005E-3</v>
      </c>
      <c r="G3394" s="1" t="s">
        <v>33</v>
      </c>
      <c r="H3394" s="1" t="s">
        <v>467</v>
      </c>
    </row>
    <row r="3395" spans="1:8" ht="16.5">
      <c r="A3395" s="1" t="s">
        <v>5205</v>
      </c>
      <c r="B3395" s="1" t="s">
        <v>26</v>
      </c>
      <c r="C3395" s="1" t="s">
        <v>2936</v>
      </c>
      <c r="D3395" s="1" t="s">
        <v>32</v>
      </c>
      <c r="E3395" s="12">
        <f t="shared" si="7"/>
        <v>5.2529061393280008E-2</v>
      </c>
      <c r="F3395" s="12">
        <f>Systems!T161</f>
        <v>3.2830663370800005E-3</v>
      </c>
      <c r="G3395" s="1" t="s">
        <v>33</v>
      </c>
      <c r="H3395" s="1" t="s">
        <v>467</v>
      </c>
    </row>
    <row r="3396" spans="1:8" ht="16.5">
      <c r="A3396" s="1" t="s">
        <v>5206</v>
      </c>
      <c r="B3396" s="1" t="s">
        <v>26</v>
      </c>
      <c r="C3396" s="1" t="s">
        <v>2936</v>
      </c>
      <c r="D3396" s="1" t="s">
        <v>32</v>
      </c>
      <c r="E3396" s="12">
        <f t="shared" si="7"/>
        <v>5.2529061393280008E-2</v>
      </c>
      <c r="F3396" s="12">
        <f>Systems!T161</f>
        <v>3.2830663370800005E-3</v>
      </c>
      <c r="G3396" s="1" t="s">
        <v>33</v>
      </c>
      <c r="H3396" s="1" t="s">
        <v>467</v>
      </c>
    </row>
    <row r="3397" spans="1:8" ht="16.5">
      <c r="A3397" s="1" t="s">
        <v>5207</v>
      </c>
      <c r="B3397" s="1" t="s">
        <v>26</v>
      </c>
      <c r="C3397" s="1" t="s">
        <v>2936</v>
      </c>
      <c r="D3397" s="1" t="s">
        <v>32</v>
      </c>
      <c r="E3397" s="12">
        <f t="shared" si="7"/>
        <v>5.2529061393280008E-2</v>
      </c>
      <c r="F3397" s="12">
        <f>Systems!T161</f>
        <v>3.2830663370800005E-3</v>
      </c>
      <c r="G3397" s="1" t="s">
        <v>33</v>
      </c>
      <c r="H3397" s="1" t="s">
        <v>467</v>
      </c>
    </row>
    <row r="3398" spans="1:8" ht="16.5">
      <c r="A3398" s="1" t="s">
        <v>5208</v>
      </c>
      <c r="B3398" s="1" t="s">
        <v>26</v>
      </c>
      <c r="C3398" s="1" t="s">
        <v>2936</v>
      </c>
      <c r="D3398" s="1" t="s">
        <v>32</v>
      </c>
      <c r="E3398" s="12">
        <f t="shared" si="7"/>
        <v>3.6007754564992007E-2</v>
      </c>
      <c r="F3398" s="12">
        <f>Systems!T162</f>
        <v>2.2504846603120005E-3</v>
      </c>
      <c r="G3398" s="1" t="s">
        <v>33</v>
      </c>
      <c r="H3398" s="1" t="s">
        <v>467</v>
      </c>
    </row>
    <row r="3399" spans="1:8" ht="16.5">
      <c r="A3399" s="1" t="s">
        <v>5209</v>
      </c>
      <c r="B3399" s="1" t="s">
        <v>26</v>
      </c>
      <c r="C3399" s="1" t="s">
        <v>2936</v>
      </c>
      <c r="D3399" s="1" t="s">
        <v>32</v>
      </c>
      <c r="E3399" s="12">
        <f t="shared" si="7"/>
        <v>3.6007754564992007E-2</v>
      </c>
      <c r="F3399" s="12">
        <f>Systems!T162</f>
        <v>2.2504846603120005E-3</v>
      </c>
      <c r="G3399" s="1" t="s">
        <v>33</v>
      </c>
      <c r="H3399" s="1" t="s">
        <v>467</v>
      </c>
    </row>
    <row r="3400" spans="1:8" ht="16.5">
      <c r="A3400" s="1" t="s">
        <v>5210</v>
      </c>
      <c r="B3400" s="1" t="s">
        <v>26</v>
      </c>
      <c r="C3400" s="1" t="s">
        <v>2936</v>
      </c>
      <c r="D3400" s="1" t="s">
        <v>32</v>
      </c>
      <c r="E3400" s="12">
        <f t="shared" si="7"/>
        <v>3.6007754564992007E-2</v>
      </c>
      <c r="F3400" s="12">
        <f>Systems!T162</f>
        <v>2.2504846603120005E-3</v>
      </c>
      <c r="G3400" s="1" t="s">
        <v>33</v>
      </c>
      <c r="H3400" s="1" t="s">
        <v>467</v>
      </c>
    </row>
    <row r="3401" spans="1:8" ht="16.5">
      <c r="A3401" s="1" t="s">
        <v>5211</v>
      </c>
      <c r="B3401" s="1" t="s">
        <v>26</v>
      </c>
      <c r="C3401" s="1" t="s">
        <v>2936</v>
      </c>
      <c r="D3401" s="1" t="s">
        <v>32</v>
      </c>
      <c r="E3401" s="12">
        <f t="shared" si="7"/>
        <v>3.6007754564992007E-2</v>
      </c>
      <c r="F3401" s="12">
        <f>Systems!T162</f>
        <v>2.2504846603120005E-3</v>
      </c>
      <c r="G3401" s="1" t="s">
        <v>33</v>
      </c>
      <c r="H3401" s="1" t="s">
        <v>467</v>
      </c>
    </row>
    <row r="3402" spans="1:8" ht="16.5">
      <c r="A3402" s="1" t="s">
        <v>5212</v>
      </c>
      <c r="B3402" s="1" t="s">
        <v>26</v>
      </c>
      <c r="C3402" s="1" t="s">
        <v>2936</v>
      </c>
      <c r="D3402" s="1" t="s">
        <v>32</v>
      </c>
      <c r="E3402" s="12">
        <f t="shared" ref="E3402:E3417" si="8">F3402</f>
        <v>3.2830663370800005E-3</v>
      </c>
      <c r="F3402" s="12">
        <f>Systems!T161</f>
        <v>3.2830663370800005E-3</v>
      </c>
      <c r="G3402" s="1" t="s">
        <v>33</v>
      </c>
      <c r="H3402" s="1" t="s">
        <v>467</v>
      </c>
    </row>
    <row r="3403" spans="1:8" ht="16.5">
      <c r="A3403" s="1" t="s">
        <v>5213</v>
      </c>
      <c r="B3403" s="1" t="s">
        <v>26</v>
      </c>
      <c r="C3403" s="1" t="s">
        <v>2936</v>
      </c>
      <c r="D3403" s="1" t="s">
        <v>32</v>
      </c>
      <c r="E3403" s="12">
        <f t="shared" si="8"/>
        <v>2.2504846603120005E-3</v>
      </c>
      <c r="F3403" s="12">
        <f>Systems!T162</f>
        <v>2.2504846603120005E-3</v>
      </c>
      <c r="G3403" s="1" t="s">
        <v>33</v>
      </c>
      <c r="H3403" s="1" t="s">
        <v>467</v>
      </c>
    </row>
    <row r="3404" spans="1:8" ht="16.5">
      <c r="A3404" s="1" t="s">
        <v>5214</v>
      </c>
      <c r="B3404" s="1" t="s">
        <v>26</v>
      </c>
      <c r="C3404" s="1" t="s">
        <v>2936</v>
      </c>
      <c r="D3404" s="1" t="s">
        <v>32</v>
      </c>
      <c r="E3404" s="12">
        <f t="shared" si="8"/>
        <v>3.2830663370800005E-3</v>
      </c>
      <c r="F3404" s="12">
        <f>Systems!T161</f>
        <v>3.2830663370800005E-3</v>
      </c>
      <c r="G3404" s="1" t="s">
        <v>33</v>
      </c>
      <c r="H3404" s="1" t="s">
        <v>467</v>
      </c>
    </row>
    <row r="3405" spans="1:8" ht="16.5">
      <c r="A3405" s="1" t="s">
        <v>5215</v>
      </c>
      <c r="B3405" s="1" t="s">
        <v>26</v>
      </c>
      <c r="C3405" s="1" t="s">
        <v>2936</v>
      </c>
      <c r="D3405" s="1" t="s">
        <v>32</v>
      </c>
      <c r="E3405" s="12">
        <f t="shared" si="8"/>
        <v>3.2830663370800005E-3</v>
      </c>
      <c r="F3405" s="12">
        <f>Systems!T161</f>
        <v>3.2830663370800005E-3</v>
      </c>
      <c r="G3405" s="1" t="s">
        <v>33</v>
      </c>
      <c r="H3405" s="1" t="s">
        <v>467</v>
      </c>
    </row>
    <row r="3406" spans="1:8" ht="16.5">
      <c r="A3406" s="1" t="s">
        <v>5216</v>
      </c>
      <c r="B3406" s="1" t="s">
        <v>26</v>
      </c>
      <c r="C3406" s="1" t="s">
        <v>2936</v>
      </c>
      <c r="D3406" s="1" t="s">
        <v>32</v>
      </c>
      <c r="E3406" s="12">
        <f t="shared" si="8"/>
        <v>2.2504846603120005E-3</v>
      </c>
      <c r="F3406" s="12">
        <f>Systems!T162</f>
        <v>2.2504846603120005E-3</v>
      </c>
      <c r="G3406" s="1" t="s">
        <v>33</v>
      </c>
      <c r="H3406" s="1" t="s">
        <v>467</v>
      </c>
    </row>
    <row r="3407" spans="1:8" ht="16.5">
      <c r="A3407" s="1" t="s">
        <v>5217</v>
      </c>
      <c r="B3407" s="1" t="s">
        <v>26</v>
      </c>
      <c r="C3407" s="1" t="s">
        <v>2936</v>
      </c>
      <c r="D3407" s="1" t="s">
        <v>32</v>
      </c>
      <c r="E3407" s="12">
        <f t="shared" si="8"/>
        <v>2.2504846603120005E-3</v>
      </c>
      <c r="F3407" s="12">
        <f>Systems!T162</f>
        <v>2.2504846603120005E-3</v>
      </c>
      <c r="G3407" s="1" t="s">
        <v>33</v>
      </c>
      <c r="H3407" s="1" t="s">
        <v>467</v>
      </c>
    </row>
    <row r="3408" spans="1:8" ht="16.5">
      <c r="A3408" s="1" t="s">
        <v>5218</v>
      </c>
      <c r="B3408" s="1" t="s">
        <v>26</v>
      </c>
      <c r="C3408" s="1" t="s">
        <v>2936</v>
      </c>
      <c r="D3408" s="1" t="s">
        <v>32</v>
      </c>
      <c r="E3408" s="12">
        <f t="shared" si="8"/>
        <v>2.2504846603120005E-3</v>
      </c>
      <c r="F3408" s="12">
        <f>Systems!T162</f>
        <v>2.2504846603120005E-3</v>
      </c>
      <c r="G3408" s="1" t="s">
        <v>33</v>
      </c>
      <c r="H3408" s="1" t="s">
        <v>467</v>
      </c>
    </row>
    <row r="3409" spans="1:8" ht="16.5">
      <c r="A3409" s="1" t="s">
        <v>5219</v>
      </c>
      <c r="B3409" s="1" t="s">
        <v>26</v>
      </c>
      <c r="C3409" s="1" t="s">
        <v>2936</v>
      </c>
      <c r="D3409" s="1" t="s">
        <v>32</v>
      </c>
      <c r="E3409" s="12">
        <f t="shared" si="8"/>
        <v>2.2504846603120005E-3</v>
      </c>
      <c r="F3409" s="12">
        <f>Systems!T162</f>
        <v>2.2504846603120005E-3</v>
      </c>
      <c r="G3409" s="1" t="s">
        <v>33</v>
      </c>
      <c r="H3409" s="1" t="s">
        <v>467</v>
      </c>
    </row>
    <row r="3410" spans="1:8" ht="16.5">
      <c r="A3410" s="1" t="s">
        <v>5220</v>
      </c>
      <c r="B3410" s="1" t="s">
        <v>5222</v>
      </c>
      <c r="C3410" s="1" t="s">
        <v>2936</v>
      </c>
      <c r="D3410" s="1" t="s">
        <v>32</v>
      </c>
      <c r="E3410" s="12">
        <f t="shared" si="8"/>
        <v>3.2830663370800005E-3</v>
      </c>
      <c r="F3410" s="12">
        <f>Systems!T161</f>
        <v>3.2830663370800005E-3</v>
      </c>
      <c r="G3410" s="1" t="s">
        <v>33</v>
      </c>
      <c r="H3410" s="1" t="s">
        <v>467</v>
      </c>
    </row>
    <row r="3411" spans="1:8" ht="16.5">
      <c r="A3411" s="1" t="s">
        <v>5221</v>
      </c>
      <c r="B3411" s="1" t="s">
        <v>5223</v>
      </c>
      <c r="C3411" s="1" t="s">
        <v>2936</v>
      </c>
      <c r="D3411" s="1" t="s">
        <v>32</v>
      </c>
      <c r="E3411" s="12">
        <f t="shared" si="8"/>
        <v>2.2504846603120005E-3</v>
      </c>
      <c r="F3411" s="12">
        <f>Systems!T162</f>
        <v>2.2504846603120005E-3</v>
      </c>
      <c r="G3411" s="1" t="s">
        <v>33</v>
      </c>
      <c r="H3411" s="1" t="s">
        <v>467</v>
      </c>
    </row>
    <row r="3412" spans="1:8" ht="16.5">
      <c r="A3412" s="1" t="s">
        <v>5226</v>
      </c>
      <c r="B3412" s="1" t="s">
        <v>5224</v>
      </c>
      <c r="C3412" s="1" t="s">
        <v>2936</v>
      </c>
      <c r="D3412" s="1" t="s">
        <v>32</v>
      </c>
      <c r="E3412" s="12">
        <f t="shared" si="8"/>
        <v>3.2830663370800005E-3</v>
      </c>
      <c r="F3412" s="12">
        <f>Systems!T161</f>
        <v>3.2830663370800005E-3</v>
      </c>
      <c r="G3412" s="1" t="s">
        <v>33</v>
      </c>
      <c r="H3412" s="1" t="s">
        <v>467</v>
      </c>
    </row>
    <row r="3413" spans="1:8" ht="16.5">
      <c r="A3413" s="1" t="s">
        <v>5227</v>
      </c>
      <c r="B3413" s="1" t="s">
        <v>5225</v>
      </c>
      <c r="C3413" s="1" t="s">
        <v>2936</v>
      </c>
      <c r="D3413" s="1" t="s">
        <v>32</v>
      </c>
      <c r="E3413" s="12">
        <f t="shared" si="8"/>
        <v>3.2830663370800005E-3</v>
      </c>
      <c r="F3413" s="12">
        <f>Systems!T161</f>
        <v>3.2830663370800005E-3</v>
      </c>
      <c r="G3413" s="1" t="s">
        <v>33</v>
      </c>
      <c r="H3413" s="1" t="s">
        <v>467</v>
      </c>
    </row>
    <row r="3414" spans="1:8" ht="16.5">
      <c r="A3414" s="1" t="s">
        <v>5228</v>
      </c>
      <c r="B3414" s="1" t="s">
        <v>5229</v>
      </c>
      <c r="C3414" s="1" t="s">
        <v>2936</v>
      </c>
      <c r="D3414" s="1" t="s">
        <v>32</v>
      </c>
      <c r="E3414" s="12">
        <f t="shared" si="8"/>
        <v>2.2504846603120005E-3</v>
      </c>
      <c r="F3414" s="12">
        <f>Systems!T162</f>
        <v>2.2504846603120005E-3</v>
      </c>
      <c r="G3414" s="1" t="s">
        <v>33</v>
      </c>
      <c r="H3414" s="1" t="s">
        <v>467</v>
      </c>
    </row>
    <row r="3415" spans="1:8" ht="16.5">
      <c r="A3415" s="1" t="s">
        <v>5231</v>
      </c>
      <c r="B3415" s="1" t="s">
        <v>5230</v>
      </c>
      <c r="C3415" s="1" t="s">
        <v>2936</v>
      </c>
      <c r="D3415" s="1" t="s">
        <v>32</v>
      </c>
      <c r="E3415" s="12">
        <f t="shared" si="8"/>
        <v>2.2504846603120005E-3</v>
      </c>
      <c r="F3415" s="12">
        <f>Systems!T162</f>
        <v>2.2504846603120005E-3</v>
      </c>
      <c r="G3415" s="1" t="s">
        <v>33</v>
      </c>
      <c r="H3415" s="1" t="s">
        <v>467</v>
      </c>
    </row>
    <row r="3416" spans="1:8" ht="16.5">
      <c r="A3416" s="1" t="s">
        <v>5232</v>
      </c>
      <c r="B3416" s="1" t="s">
        <v>5233</v>
      </c>
      <c r="C3416" s="1" t="s">
        <v>2936</v>
      </c>
      <c r="D3416" s="1" t="s">
        <v>32</v>
      </c>
      <c r="E3416" s="12">
        <f t="shared" si="8"/>
        <v>2.2504846603120005E-3</v>
      </c>
      <c r="F3416" s="12">
        <f>Systems!T162</f>
        <v>2.2504846603120005E-3</v>
      </c>
      <c r="G3416" s="1" t="s">
        <v>33</v>
      </c>
      <c r="H3416" s="1" t="s">
        <v>467</v>
      </c>
    </row>
    <row r="3417" spans="1:8" ht="16.5">
      <c r="A3417" s="1" t="s">
        <v>5235</v>
      </c>
      <c r="B3417" s="1" t="s">
        <v>5234</v>
      </c>
      <c r="C3417" s="1" t="s">
        <v>2936</v>
      </c>
      <c r="D3417" s="1" t="s">
        <v>32</v>
      </c>
      <c r="E3417" s="12">
        <f t="shared" si="8"/>
        <v>2.2504846603120005E-3</v>
      </c>
      <c r="F3417" s="12">
        <f>Systems!T162</f>
        <v>2.2504846603120005E-3</v>
      </c>
      <c r="G3417" s="1" t="s">
        <v>33</v>
      </c>
      <c r="H3417" s="1" t="s">
        <v>467</v>
      </c>
    </row>
    <row r="3418" spans="1:8" ht="16.5">
      <c r="A3418" s="1" t="s">
        <v>5236</v>
      </c>
      <c r="B3418" s="1" t="s">
        <v>26</v>
      </c>
      <c r="C3418" s="1" t="s">
        <v>2936</v>
      </c>
      <c r="D3418" s="1" t="s">
        <v>32</v>
      </c>
      <c r="E3418" s="12">
        <f t="shared" ref="E3418:E3425" si="9">4*F3418</f>
        <v>9.0019386412480019E-3</v>
      </c>
      <c r="F3418" s="12">
        <f>Systems!T162</f>
        <v>2.2504846603120005E-3</v>
      </c>
      <c r="G3418" s="1" t="s">
        <v>33</v>
      </c>
      <c r="H3418" s="1" t="s">
        <v>467</v>
      </c>
    </row>
    <row r="3419" spans="1:8" ht="16.5">
      <c r="A3419" s="1" t="s">
        <v>5237</v>
      </c>
      <c r="B3419" s="1" t="s">
        <v>26</v>
      </c>
      <c r="C3419" s="1" t="s">
        <v>2936</v>
      </c>
      <c r="D3419" s="1" t="s">
        <v>32</v>
      </c>
      <c r="E3419" s="12">
        <f t="shared" si="9"/>
        <v>1.3132265348320002E-2</v>
      </c>
      <c r="F3419" s="12">
        <f>Systems!T161</f>
        <v>3.2830663370800005E-3</v>
      </c>
      <c r="G3419" s="1" t="s">
        <v>33</v>
      </c>
      <c r="H3419" s="1" t="s">
        <v>467</v>
      </c>
    </row>
    <row r="3420" spans="1:8" ht="16.5">
      <c r="A3420" s="1" t="s">
        <v>5238</v>
      </c>
      <c r="B3420" s="1" t="s">
        <v>26</v>
      </c>
      <c r="C3420" s="1" t="s">
        <v>2936</v>
      </c>
      <c r="D3420" s="1" t="s">
        <v>32</v>
      </c>
      <c r="E3420" s="12">
        <f t="shared" si="9"/>
        <v>1.3132265348320002E-2</v>
      </c>
      <c r="F3420" s="12">
        <f>Systems!T161</f>
        <v>3.2830663370800005E-3</v>
      </c>
      <c r="G3420" s="1" t="s">
        <v>33</v>
      </c>
      <c r="H3420" s="1" t="s">
        <v>467</v>
      </c>
    </row>
    <row r="3421" spans="1:8" ht="16.5">
      <c r="A3421" s="1" t="s">
        <v>5239</v>
      </c>
      <c r="B3421" s="1" t="s">
        <v>26</v>
      </c>
      <c r="C3421" s="1" t="s">
        <v>2936</v>
      </c>
      <c r="D3421" s="1" t="s">
        <v>32</v>
      </c>
      <c r="E3421" s="12">
        <f t="shared" si="9"/>
        <v>1.3132265348320002E-2</v>
      </c>
      <c r="F3421" s="12">
        <f>Systems!T161</f>
        <v>3.2830663370800005E-3</v>
      </c>
      <c r="G3421" s="1" t="s">
        <v>33</v>
      </c>
      <c r="H3421" s="1" t="s">
        <v>467</v>
      </c>
    </row>
    <row r="3422" spans="1:8" ht="16.5">
      <c r="A3422" s="1" t="s">
        <v>5240</v>
      </c>
      <c r="B3422" s="1" t="s">
        <v>26</v>
      </c>
      <c r="C3422" s="1" t="s">
        <v>2936</v>
      </c>
      <c r="D3422" s="1" t="s">
        <v>32</v>
      </c>
      <c r="E3422" s="12">
        <f t="shared" si="9"/>
        <v>9.0019386412480019E-3</v>
      </c>
      <c r="F3422" s="12">
        <f>Systems!T162</f>
        <v>2.2504846603120005E-3</v>
      </c>
      <c r="G3422" s="1" t="s">
        <v>33</v>
      </c>
      <c r="H3422" s="1" t="s">
        <v>467</v>
      </c>
    </row>
    <row r="3423" spans="1:8" ht="16.5">
      <c r="A3423" s="1" t="s">
        <v>5241</v>
      </c>
      <c r="B3423" s="1" t="s">
        <v>26</v>
      </c>
      <c r="C3423" s="1" t="s">
        <v>2936</v>
      </c>
      <c r="D3423" s="1" t="s">
        <v>32</v>
      </c>
      <c r="E3423" s="12">
        <f t="shared" si="9"/>
        <v>9.0019386412480019E-3</v>
      </c>
      <c r="F3423" s="12">
        <f>Systems!T162</f>
        <v>2.2504846603120005E-3</v>
      </c>
      <c r="G3423" s="1" t="s">
        <v>33</v>
      </c>
      <c r="H3423" s="1" t="s">
        <v>467</v>
      </c>
    </row>
    <row r="3424" spans="1:8" ht="16.5">
      <c r="A3424" s="1" t="s">
        <v>5242</v>
      </c>
      <c r="B3424" s="1" t="s">
        <v>26</v>
      </c>
      <c r="C3424" s="1" t="s">
        <v>2936</v>
      </c>
      <c r="D3424" s="1" t="s">
        <v>32</v>
      </c>
      <c r="E3424" s="12">
        <f t="shared" si="9"/>
        <v>9.0019386412480019E-3</v>
      </c>
      <c r="F3424" s="12">
        <f>Systems!T162</f>
        <v>2.2504846603120005E-3</v>
      </c>
      <c r="G3424" s="1" t="s">
        <v>33</v>
      </c>
      <c r="H3424" s="1" t="s">
        <v>467</v>
      </c>
    </row>
    <row r="3425" spans="1:8" ht="16.5">
      <c r="A3425" s="1" t="s">
        <v>5243</v>
      </c>
      <c r="B3425" s="1" t="s">
        <v>26</v>
      </c>
      <c r="C3425" s="1" t="s">
        <v>2936</v>
      </c>
      <c r="D3425" s="1" t="s">
        <v>32</v>
      </c>
      <c r="E3425" s="12">
        <f t="shared" si="9"/>
        <v>9.0019386412480019E-3</v>
      </c>
      <c r="F3425" s="12">
        <f>Systems!T162</f>
        <v>2.2504846603120005E-3</v>
      </c>
      <c r="G3425" s="1" t="s">
        <v>33</v>
      </c>
      <c r="H3425" s="1" t="s">
        <v>467</v>
      </c>
    </row>
    <row r="3426" spans="1:8" ht="16.5">
      <c r="A3426" s="18" t="s">
        <v>1264</v>
      </c>
      <c r="B3426" s="1" t="s">
        <v>465</v>
      </c>
      <c r="C3426" s="1" t="s">
        <v>2935</v>
      </c>
      <c r="D3426" s="1" t="s">
        <v>32</v>
      </c>
      <c r="E3426" s="16">
        <f>8*F3426</f>
        <v>0.108447229814784</v>
      </c>
      <c r="F3426" s="16">
        <f>Systems!P161</f>
        <v>1.3555903726848E-2</v>
      </c>
      <c r="G3426" s="1" t="s">
        <v>33</v>
      </c>
      <c r="H3426" s="1" t="s">
        <v>467</v>
      </c>
    </row>
    <row r="3427" spans="1:8" ht="16.5">
      <c r="A3427" s="1" t="s">
        <v>1412</v>
      </c>
      <c r="B3427" s="1" t="s">
        <v>26</v>
      </c>
      <c r="C3427" s="1" t="s">
        <v>2935</v>
      </c>
      <c r="D3427" s="1" t="s">
        <v>32</v>
      </c>
      <c r="E3427" s="12">
        <f>F3427/16</f>
        <v>8.4724398292799997E-4</v>
      </c>
      <c r="F3427" s="12">
        <f>Systems!P161</f>
        <v>1.3555903726848E-2</v>
      </c>
      <c r="G3427" s="1" t="s">
        <v>33</v>
      </c>
      <c r="H3427" s="1" t="s">
        <v>467</v>
      </c>
    </row>
    <row r="3428" spans="1:8" ht="16.5">
      <c r="A3428" s="1" t="s">
        <v>818</v>
      </c>
      <c r="B3428" s="1" t="s">
        <v>26</v>
      </c>
      <c r="C3428" s="1" t="s">
        <v>2935</v>
      </c>
      <c r="D3428" s="1" t="s">
        <v>32</v>
      </c>
      <c r="E3428" s="12">
        <f>827.232*F3428</f>
        <v>1.3555903726848001E-2</v>
      </c>
      <c r="F3428" s="12">
        <f>POWER(Systems!D6/12,3)</f>
        <v>1.6387064000000003E-5</v>
      </c>
      <c r="G3428" s="1" t="s">
        <v>33</v>
      </c>
      <c r="H3428" s="1" t="s">
        <v>467</v>
      </c>
    </row>
    <row r="3429" spans="1:8" ht="16.5">
      <c r="A3429" s="1" t="s">
        <v>1679</v>
      </c>
      <c r="B3429" s="1" t="s">
        <v>26</v>
      </c>
      <c r="C3429" s="1" t="s">
        <v>2935</v>
      </c>
      <c r="D3429" s="1" t="s">
        <v>32</v>
      </c>
      <c r="E3429" s="12">
        <f>F3429/128</f>
        <v>1.05905497866E-4</v>
      </c>
      <c r="F3429" s="12">
        <f>Systems!P161</f>
        <v>1.3555903726848E-2</v>
      </c>
      <c r="G3429" s="1" t="s">
        <v>33</v>
      </c>
      <c r="H3429" s="1" t="s">
        <v>467</v>
      </c>
    </row>
    <row r="3430" spans="1:8" ht="16.5">
      <c r="A3430" s="1" t="s">
        <v>962</v>
      </c>
      <c r="B3430" s="1" t="s">
        <v>26</v>
      </c>
      <c r="C3430" s="1" t="s">
        <v>2935</v>
      </c>
      <c r="D3430" s="1" t="s">
        <v>32</v>
      </c>
      <c r="E3430" s="12">
        <f>F3430</f>
        <v>1.69491813E-3</v>
      </c>
      <c r="F3430" s="12">
        <f>Systems!P162</f>
        <v>1.69491813E-3</v>
      </c>
      <c r="G3430" s="1" t="s">
        <v>33</v>
      </c>
      <c r="H3430" s="1" t="s">
        <v>467</v>
      </c>
    </row>
    <row r="3431" spans="1:8" ht="16.5">
      <c r="A3431" s="1" t="s">
        <v>1780</v>
      </c>
      <c r="B3431" s="1" t="s">
        <v>26</v>
      </c>
      <c r="C3431" s="1" t="s">
        <v>2935</v>
      </c>
      <c r="D3431" s="1" t="s">
        <v>32</v>
      </c>
      <c r="E3431" s="12">
        <f>F3431/8</f>
        <v>1.6944879658559999E-3</v>
      </c>
      <c r="F3431" s="12">
        <f>Systems!P161</f>
        <v>1.3555903726848E-2</v>
      </c>
      <c r="G3431" s="1" t="s">
        <v>33</v>
      </c>
      <c r="H3431" s="1" t="s">
        <v>467</v>
      </c>
    </row>
    <row r="3432" spans="1:8" ht="16.5">
      <c r="A3432" s="1" t="s">
        <v>2108</v>
      </c>
      <c r="B3432" s="1" t="s">
        <v>26</v>
      </c>
      <c r="C3432" s="1" t="s">
        <v>2935</v>
      </c>
      <c r="D3432" s="1" t="s">
        <v>32</v>
      </c>
      <c r="E3432" s="12">
        <f>15*F3432</f>
        <v>4.2619612499999997E-3</v>
      </c>
      <c r="F3432" s="12">
        <f>Systems!T6/16</f>
        <v>2.8413074999999999E-4</v>
      </c>
      <c r="G3432" s="1" t="s">
        <v>33</v>
      </c>
      <c r="H3432" s="1" t="s">
        <v>467</v>
      </c>
    </row>
    <row r="3433" spans="1:8" ht="16.5">
      <c r="A3433" s="1" t="s">
        <v>5244</v>
      </c>
      <c r="B3433" s="1" t="s">
        <v>26</v>
      </c>
      <c r="C3433" s="1" t="s">
        <v>2935</v>
      </c>
      <c r="D3433" s="1" t="s">
        <v>32</v>
      </c>
      <c r="E3433" s="12">
        <f>F3433/32</f>
        <v>4.2362199146399999E-4</v>
      </c>
      <c r="F3433" s="12">
        <f>Systems!P161</f>
        <v>1.3555903726848E-2</v>
      </c>
      <c r="G3433" s="1" t="s">
        <v>33</v>
      </c>
      <c r="H3433" s="1" t="s">
        <v>467</v>
      </c>
    </row>
    <row r="3434" spans="1:8" ht="16.5">
      <c r="A3434" s="1" t="s">
        <v>2275</v>
      </c>
      <c r="B3434" s="1" t="s">
        <v>545</v>
      </c>
      <c r="C3434" s="1" t="s">
        <v>2935</v>
      </c>
      <c r="D3434" s="1" t="s">
        <v>32</v>
      </c>
      <c r="E3434" s="12">
        <f>F3434/8</f>
        <v>1.6944879658559999E-3</v>
      </c>
      <c r="F3434" s="12">
        <f>Systems!P161</f>
        <v>1.3555903726848E-2</v>
      </c>
      <c r="G3434" s="1" t="s">
        <v>33</v>
      </c>
      <c r="H3434" s="1" t="s">
        <v>467</v>
      </c>
    </row>
    <row r="3435" spans="1:8" ht="16.5">
      <c r="A3435" s="1" t="s">
        <v>842</v>
      </c>
      <c r="B3435" s="1" t="s">
        <v>582</v>
      </c>
      <c r="C3435" s="1" t="s">
        <v>2935</v>
      </c>
      <c r="D3435" s="1" t="s">
        <v>32</v>
      </c>
      <c r="E3435" s="12">
        <f>F3435/4</f>
        <v>3.3889759317119999E-3</v>
      </c>
      <c r="F3435" s="12">
        <f>Systems!P161</f>
        <v>1.3555903726848E-2</v>
      </c>
      <c r="G3435" s="1" t="s">
        <v>33</v>
      </c>
      <c r="H3435" s="1" t="s">
        <v>467</v>
      </c>
    </row>
    <row r="3436" spans="1:8">
      <c r="A3436" s="1" t="s">
        <v>5165</v>
      </c>
      <c r="B3436" s="1" t="s">
        <v>26</v>
      </c>
      <c r="C3436" s="1" t="s">
        <v>17</v>
      </c>
      <c r="D3436" s="1" t="s">
        <v>20</v>
      </c>
      <c r="E3436" s="12">
        <f>320*F3436</f>
        <v>197.40339942399999</v>
      </c>
      <c r="F3436" s="12">
        <f>Systems!L161</f>
        <v>0.61688562319999996</v>
      </c>
      <c r="G3436" s="1" t="s">
        <v>23</v>
      </c>
      <c r="H3436" s="1" t="s">
        <v>467</v>
      </c>
    </row>
    <row r="3437" spans="1:8">
      <c r="A3437" s="1" t="s">
        <v>5166</v>
      </c>
      <c r="B3437" s="1" t="s">
        <v>26</v>
      </c>
      <c r="C3437" s="1" t="s">
        <v>17</v>
      </c>
      <c r="D3437" s="1" t="s">
        <v>20</v>
      </c>
      <c r="E3437" s="12">
        <f>280*F3437</f>
        <v>172.727974496</v>
      </c>
      <c r="F3437" s="12">
        <f>Systems!L161</f>
        <v>0.61688562319999996</v>
      </c>
      <c r="G3437" s="1" t="s">
        <v>23</v>
      </c>
      <c r="H3437" s="1" t="s">
        <v>467</v>
      </c>
    </row>
    <row r="3438" spans="1:8">
      <c r="A3438" s="1" t="s">
        <v>5245</v>
      </c>
      <c r="B3438" s="1" t="s">
        <v>26</v>
      </c>
      <c r="C3438" s="1" t="s">
        <v>17</v>
      </c>
      <c r="D3438" s="1" t="s">
        <v>20</v>
      </c>
      <c r="E3438" s="12">
        <f>140*F3438</f>
        <v>86.363987248000001</v>
      </c>
      <c r="F3438" s="12">
        <f>Systems!L161</f>
        <v>0.61688562319999996</v>
      </c>
      <c r="G3438" s="1" t="s">
        <v>23</v>
      </c>
      <c r="H3438" s="1" t="s">
        <v>467</v>
      </c>
    </row>
    <row r="3439" spans="1:8">
      <c r="A3439" s="1" t="s">
        <v>5168</v>
      </c>
      <c r="B3439" s="1" t="s">
        <v>26</v>
      </c>
      <c r="C3439" s="1" t="s">
        <v>17</v>
      </c>
      <c r="D3439" s="1" t="s">
        <v>20</v>
      </c>
      <c r="E3439" s="12">
        <f>264*F3439</f>
        <v>162.85780452479997</v>
      </c>
      <c r="F3439" s="12">
        <f>Systems!L161</f>
        <v>0.61688562319999996</v>
      </c>
      <c r="G3439" s="1" t="s">
        <v>23</v>
      </c>
      <c r="H3439" s="1" t="s">
        <v>467</v>
      </c>
    </row>
    <row r="3440" spans="1:8">
      <c r="A3440" s="1" t="s">
        <v>5246</v>
      </c>
      <c r="B3440" s="1" t="s">
        <v>26</v>
      </c>
      <c r="C3440" s="1" t="s">
        <v>17</v>
      </c>
      <c r="D3440" s="1" t="s">
        <v>20</v>
      </c>
      <c r="E3440" s="12">
        <f>140*F3440</f>
        <v>86.363987248000001</v>
      </c>
      <c r="F3440" s="12">
        <f>Systems!L161</f>
        <v>0.61688562319999996</v>
      </c>
      <c r="G3440" s="1" t="s">
        <v>23</v>
      </c>
      <c r="H3440" s="1" t="s">
        <v>467</v>
      </c>
    </row>
    <row r="3441" spans="1:8">
      <c r="A3441" s="1" t="s">
        <v>5169</v>
      </c>
      <c r="B3441" s="1" t="s">
        <v>26</v>
      </c>
      <c r="C3441" s="1" t="s">
        <v>17</v>
      </c>
      <c r="D3441" s="1" t="s">
        <v>20</v>
      </c>
      <c r="E3441" s="12">
        <f>280*F3441</f>
        <v>172.727974496</v>
      </c>
      <c r="F3441" s="12">
        <f>Systems!L161</f>
        <v>0.61688562319999996</v>
      </c>
      <c r="G3441" s="1" t="s">
        <v>23</v>
      </c>
      <c r="H3441" s="1" t="s">
        <v>467</v>
      </c>
    </row>
    <row r="3442" spans="1:8">
      <c r="A3442" s="1" t="s">
        <v>1554</v>
      </c>
      <c r="B3442" s="1" t="s">
        <v>26</v>
      </c>
      <c r="C3442" s="1" t="s">
        <v>17</v>
      </c>
      <c r="D3442" s="1" t="s">
        <v>20</v>
      </c>
      <c r="E3442" s="12">
        <f>F3442/320</f>
        <v>1.9277675724999998E-3</v>
      </c>
      <c r="F3442" s="12">
        <f>Systems!L161</f>
        <v>0.61688562319999996</v>
      </c>
      <c r="G3442" s="1" t="s">
        <v>23</v>
      </c>
      <c r="H3442" s="1" t="s">
        <v>467</v>
      </c>
    </row>
    <row r="3443" spans="1:8">
      <c r="A3443" s="1" t="s">
        <v>1559</v>
      </c>
      <c r="B3443" s="1" t="s">
        <v>515</v>
      </c>
      <c r="C3443" s="1" t="s">
        <v>17</v>
      </c>
      <c r="D3443" s="1" t="s">
        <v>20</v>
      </c>
      <c r="E3443" s="12">
        <f>F3443/320</f>
        <v>1.9277675724999998E-3</v>
      </c>
      <c r="F3443" s="12">
        <f>Systems!L161</f>
        <v>0.61688562319999996</v>
      </c>
      <c r="G3443" s="1" t="s">
        <v>23</v>
      </c>
      <c r="H3443" s="1" t="s">
        <v>467</v>
      </c>
    </row>
    <row r="3444" spans="1:8">
      <c r="A3444" s="1" t="s">
        <v>1538</v>
      </c>
      <c r="B3444" s="1" t="s">
        <v>26</v>
      </c>
      <c r="C3444" s="1" t="s">
        <v>17</v>
      </c>
      <c r="D3444" s="1" t="s">
        <v>20</v>
      </c>
      <c r="E3444" s="12">
        <f>F3444/5760</f>
        <v>6.5104166666666666E-5</v>
      </c>
      <c r="F3444" s="12">
        <f>Systems!L169</f>
        <v>0.375</v>
      </c>
      <c r="G3444" s="1" t="s">
        <v>23</v>
      </c>
      <c r="H3444" s="1" t="s">
        <v>467</v>
      </c>
    </row>
    <row r="3445" spans="1:8">
      <c r="A3445" s="1" t="s">
        <v>957</v>
      </c>
      <c r="B3445" s="1" t="s">
        <v>570</v>
      </c>
      <c r="C3445" s="1" t="s">
        <v>17</v>
      </c>
      <c r="D3445" s="1" t="s">
        <v>20</v>
      </c>
      <c r="E3445" s="12">
        <f>F3445/20</f>
        <v>3.0844281159999997E-2</v>
      </c>
      <c r="F3445" s="12">
        <f>Systems!L161</f>
        <v>0.61688562319999996</v>
      </c>
      <c r="G3445" s="1" t="s">
        <v>23</v>
      </c>
      <c r="H3445" s="1" t="s">
        <v>467</v>
      </c>
    </row>
    <row r="3446" spans="1:8">
      <c r="A3446" s="1" t="s">
        <v>819</v>
      </c>
      <c r="B3446" s="1" t="s">
        <v>580</v>
      </c>
      <c r="C3446" s="1" t="s">
        <v>17</v>
      </c>
      <c r="D3446" s="1" t="s">
        <v>20</v>
      </c>
      <c r="E3446" s="12">
        <f>F3446</f>
        <v>0.61688562319999996</v>
      </c>
      <c r="F3446" s="12">
        <f>Systems!L161</f>
        <v>0.61688562319999996</v>
      </c>
      <c r="G3446" s="1" t="s">
        <v>23</v>
      </c>
      <c r="H3446" s="1" t="s">
        <v>467</v>
      </c>
    </row>
    <row r="3447" spans="1:8">
      <c r="A3447" s="1" t="s">
        <v>858</v>
      </c>
      <c r="B3447" s="1" t="s">
        <v>26</v>
      </c>
      <c r="C3447" s="1" t="s">
        <v>17</v>
      </c>
      <c r="D3447" s="1" t="s">
        <v>20</v>
      </c>
      <c r="E3447" s="12">
        <f>F3447</f>
        <v>0.61688562319999996</v>
      </c>
      <c r="F3447" s="12">
        <f>Systems!L161</f>
        <v>0.61688562319999996</v>
      </c>
      <c r="G3447" s="1" t="s">
        <v>23</v>
      </c>
      <c r="H3447" s="1" t="s">
        <v>467</v>
      </c>
    </row>
    <row r="3448" spans="1:8">
      <c r="A3448" s="1" t="s">
        <v>2556</v>
      </c>
      <c r="B3448" s="1" t="s">
        <v>26</v>
      </c>
      <c r="C3448" s="1" t="s">
        <v>17</v>
      </c>
      <c r="D3448" s="1" t="s">
        <v>20</v>
      </c>
      <c r="E3448" s="12">
        <f>16*F3448</f>
        <v>9.8701699711999993</v>
      </c>
      <c r="F3448" s="12">
        <f>Systems!L161</f>
        <v>0.61688562319999996</v>
      </c>
      <c r="G3448" s="1" t="s">
        <v>23</v>
      </c>
      <c r="H3448" s="1" t="s">
        <v>467</v>
      </c>
    </row>
    <row r="3449" spans="1:8">
      <c r="A3449" s="1" t="s">
        <v>2580</v>
      </c>
      <c r="B3449" s="1" t="s">
        <v>397</v>
      </c>
      <c r="C3449" s="1" t="s">
        <v>17</v>
      </c>
      <c r="D3449" s="1" t="s">
        <v>20</v>
      </c>
      <c r="E3449" s="12">
        <f>16*F3449</f>
        <v>9.8701699711999993</v>
      </c>
      <c r="F3449" s="12">
        <f>Systems!L161</f>
        <v>0.61688562319999996</v>
      </c>
      <c r="G3449" s="1" t="s">
        <v>23</v>
      </c>
      <c r="H3449" s="1" t="s">
        <v>467</v>
      </c>
    </row>
    <row r="3450" spans="1:8">
      <c r="A3450" s="1" t="s">
        <v>2737</v>
      </c>
      <c r="B3450" s="1" t="s">
        <v>26</v>
      </c>
      <c r="C3450" s="1" t="s">
        <v>17</v>
      </c>
      <c r="D3450" s="1" t="s">
        <v>20</v>
      </c>
      <c r="E3450" s="12">
        <f>F3450/20</f>
        <v>3.0844281159999997E-2</v>
      </c>
      <c r="F3450" s="12">
        <f>Systems!L161</f>
        <v>0.61688562319999996</v>
      </c>
      <c r="G3450" s="1" t="s">
        <v>23</v>
      </c>
      <c r="H3450" s="1" t="s">
        <v>467</v>
      </c>
    </row>
    <row r="3451" spans="1:8">
      <c r="A3451" s="248"/>
      <c r="B3451" s="248"/>
      <c r="C3451" s="248"/>
      <c r="D3451" s="248"/>
      <c r="E3451" s="250"/>
      <c r="F3451" s="250"/>
      <c r="G3451" s="248"/>
      <c r="H3451" s="248"/>
    </row>
    <row r="3452" spans="1:8">
      <c r="A3452" s="1" t="s">
        <v>1977</v>
      </c>
      <c r="B3452" s="1" t="s">
        <v>6994</v>
      </c>
      <c r="C3452" s="1" t="s">
        <v>3033</v>
      </c>
      <c r="D3452" s="1" t="s">
        <v>19</v>
      </c>
      <c r="E3452" s="12">
        <f>F3452</f>
        <v>1</v>
      </c>
      <c r="F3452" s="12">
        <f>SI!E3</f>
        <v>1</v>
      </c>
      <c r="G3452" s="1" t="s">
        <v>14</v>
      </c>
      <c r="H3452" s="1" t="s">
        <v>42</v>
      </c>
    </row>
    <row r="3453" spans="1:8" ht="16.5">
      <c r="A3453" s="1" t="s">
        <v>5247</v>
      </c>
      <c r="B3453" s="1" t="s">
        <v>39</v>
      </c>
      <c r="C3453" s="1" t="s">
        <v>3034</v>
      </c>
      <c r="D3453" s="1" t="s">
        <v>38</v>
      </c>
      <c r="E3453" s="12">
        <f>F3453</f>
        <v>1</v>
      </c>
      <c r="F3453" s="12">
        <f>POWER(SI!E3,2)</f>
        <v>1</v>
      </c>
      <c r="G3453" s="1" t="s">
        <v>39</v>
      </c>
      <c r="H3453" s="1" t="s">
        <v>42</v>
      </c>
    </row>
    <row r="3454" spans="1:8" ht="16.5">
      <c r="A3454" s="1" t="s">
        <v>5248</v>
      </c>
      <c r="B3454" s="1" t="s">
        <v>33</v>
      </c>
      <c r="C3454" s="1" t="s">
        <v>2936</v>
      </c>
      <c r="D3454" s="1" t="s">
        <v>32</v>
      </c>
      <c r="E3454" s="12">
        <f>F3454</f>
        <v>1</v>
      </c>
      <c r="F3454" s="12">
        <f>POWER(SI!E3,3)</f>
        <v>1</v>
      </c>
      <c r="G3454" s="1" t="s">
        <v>33</v>
      </c>
      <c r="H3454" s="1" t="s">
        <v>42</v>
      </c>
    </row>
    <row r="3455" spans="1:8" ht="16.5">
      <c r="A3455" s="1" t="s">
        <v>1976</v>
      </c>
      <c r="B3455" s="1" t="s">
        <v>6995</v>
      </c>
      <c r="C3455" s="1" t="s">
        <v>2935</v>
      </c>
      <c r="D3455" s="1" t="s">
        <v>32</v>
      </c>
      <c r="E3455" s="12">
        <f>F3455/1000</f>
        <v>1E-3</v>
      </c>
      <c r="F3455" s="12">
        <f>Systems!P19</f>
        <v>1</v>
      </c>
      <c r="G3455" s="1" t="s">
        <v>33</v>
      </c>
      <c r="H3455" s="1" t="s">
        <v>42</v>
      </c>
    </row>
    <row r="3456" spans="1:8">
      <c r="A3456" s="1" t="s">
        <v>227</v>
      </c>
      <c r="B3456" s="1" t="s">
        <v>6996</v>
      </c>
      <c r="C3456" s="1" t="s">
        <v>17</v>
      </c>
      <c r="D3456" s="1" t="s">
        <v>20</v>
      </c>
      <c r="E3456" s="12">
        <f>0.001*F3456</f>
        <v>1E-3</v>
      </c>
      <c r="F3456" s="12">
        <f>SI!E2</f>
        <v>1</v>
      </c>
      <c r="G3456" s="1" t="s">
        <v>23</v>
      </c>
      <c r="H3456" s="1" t="s">
        <v>42</v>
      </c>
    </row>
    <row r="3457" spans="1:8">
      <c r="A3457" t="s">
        <v>3064</v>
      </c>
      <c r="B3457" t="s">
        <v>3081</v>
      </c>
      <c r="C3457" s="1" t="s">
        <v>3033</v>
      </c>
      <c r="D3457" s="1" t="s">
        <v>19</v>
      </c>
      <c r="E3457" s="11">
        <f>1E+24*F3457</f>
        <v>9.9999999999999998E+23</v>
      </c>
      <c r="F3457" s="12">
        <f>SI!E3</f>
        <v>1</v>
      </c>
      <c r="G3457" s="1" t="s">
        <v>14</v>
      </c>
      <c r="H3457" s="1" t="s">
        <v>42</v>
      </c>
    </row>
    <row r="3458" spans="1:8">
      <c r="A3458" t="s">
        <v>3065</v>
      </c>
      <c r="B3458" t="s">
        <v>3082</v>
      </c>
      <c r="C3458" s="1" t="s">
        <v>3033</v>
      </c>
      <c r="D3458" s="1" t="s">
        <v>19</v>
      </c>
      <c r="E3458" s="11">
        <f>1E+21*F3458</f>
        <v>1E+21</v>
      </c>
      <c r="F3458" s="12">
        <f>SI!E3</f>
        <v>1</v>
      </c>
      <c r="G3458" s="1" t="s">
        <v>14</v>
      </c>
      <c r="H3458" s="1" t="s">
        <v>42</v>
      </c>
    </row>
    <row r="3459" spans="1:8">
      <c r="A3459" t="s">
        <v>3066</v>
      </c>
      <c r="B3459" t="s">
        <v>3083</v>
      </c>
      <c r="C3459" s="1" t="s">
        <v>3033</v>
      </c>
      <c r="D3459" s="1" t="s">
        <v>19</v>
      </c>
      <c r="E3459" s="11">
        <f>1000000000000000000*F3459</f>
        <v>1E+18</v>
      </c>
      <c r="F3459" s="12">
        <f>SI!E3</f>
        <v>1</v>
      </c>
      <c r="G3459" s="1" t="s">
        <v>14</v>
      </c>
      <c r="H3459" s="1" t="s">
        <v>42</v>
      </c>
    </row>
    <row r="3460" spans="1:8">
      <c r="A3460" t="s">
        <v>3080</v>
      </c>
      <c r="B3460" t="s">
        <v>3084</v>
      </c>
      <c r="C3460" s="1" t="s">
        <v>3033</v>
      </c>
      <c r="D3460" s="1" t="s">
        <v>19</v>
      </c>
      <c r="E3460" s="11">
        <f>1000000000000000*F3460</f>
        <v>1000000000000000</v>
      </c>
      <c r="F3460" s="12">
        <f>SI!E3</f>
        <v>1</v>
      </c>
      <c r="G3460" s="1" t="s">
        <v>14</v>
      </c>
      <c r="H3460" s="1" t="s">
        <v>42</v>
      </c>
    </row>
    <row r="3461" spans="1:8">
      <c r="A3461" t="s">
        <v>3079</v>
      </c>
      <c r="B3461" t="s">
        <v>3085</v>
      </c>
      <c r="C3461" s="1" t="s">
        <v>3033</v>
      </c>
      <c r="D3461" s="1" t="s">
        <v>19</v>
      </c>
      <c r="E3461" s="11">
        <f>1000000000000*F3461</f>
        <v>1000000000000</v>
      </c>
      <c r="F3461" s="12">
        <f>SI!E3</f>
        <v>1</v>
      </c>
      <c r="G3461" s="1" t="s">
        <v>14</v>
      </c>
      <c r="H3461" s="1" t="s">
        <v>42</v>
      </c>
    </row>
    <row r="3462" spans="1:8">
      <c r="A3462" t="s">
        <v>3078</v>
      </c>
      <c r="B3462" t="s">
        <v>3086</v>
      </c>
      <c r="C3462" s="1" t="s">
        <v>3033</v>
      </c>
      <c r="D3462" s="1" t="s">
        <v>19</v>
      </c>
      <c r="E3462" s="11">
        <f>1000000000*F3462</f>
        <v>1000000000</v>
      </c>
      <c r="F3462" s="12">
        <f>SI!E3</f>
        <v>1</v>
      </c>
      <c r="G3462" s="1" t="s">
        <v>14</v>
      </c>
      <c r="H3462" s="1" t="s">
        <v>42</v>
      </c>
    </row>
    <row r="3463" spans="1:8">
      <c r="A3463" t="s">
        <v>3077</v>
      </c>
      <c r="B3463" t="s">
        <v>3087</v>
      </c>
      <c r="C3463" s="1" t="s">
        <v>3033</v>
      </c>
      <c r="D3463" s="1" t="s">
        <v>19</v>
      </c>
      <c r="E3463" s="11">
        <f>1000000*F3463</f>
        <v>1000000</v>
      </c>
      <c r="F3463" s="12">
        <f>SI!E3</f>
        <v>1</v>
      </c>
      <c r="G3463" s="1" t="s">
        <v>14</v>
      </c>
      <c r="H3463" s="1" t="s">
        <v>42</v>
      </c>
    </row>
    <row r="3464" spans="1:8">
      <c r="A3464" t="s">
        <v>3076</v>
      </c>
      <c r="B3464" t="s">
        <v>3088</v>
      </c>
      <c r="C3464" s="1" t="s">
        <v>3033</v>
      </c>
      <c r="D3464" s="1" t="s">
        <v>19</v>
      </c>
      <c r="E3464" s="11">
        <f>1000*F3464</f>
        <v>1000</v>
      </c>
      <c r="F3464" s="12">
        <f>SI!E3</f>
        <v>1</v>
      </c>
      <c r="G3464" s="1" t="s">
        <v>14</v>
      </c>
      <c r="H3464" s="1" t="s">
        <v>42</v>
      </c>
    </row>
    <row r="3465" spans="1:8">
      <c r="A3465" t="s">
        <v>3075</v>
      </c>
      <c r="B3465" t="s">
        <v>3089</v>
      </c>
      <c r="C3465" s="1" t="s">
        <v>3033</v>
      </c>
      <c r="D3465" s="1" t="s">
        <v>19</v>
      </c>
      <c r="E3465" s="11">
        <f>100*F3465</f>
        <v>100</v>
      </c>
      <c r="F3465" s="12">
        <f>SI!E3</f>
        <v>1</v>
      </c>
      <c r="G3465" s="1" t="s">
        <v>14</v>
      </c>
      <c r="H3465" s="1" t="s">
        <v>42</v>
      </c>
    </row>
    <row r="3466" spans="1:8">
      <c r="A3466" t="s">
        <v>3074</v>
      </c>
      <c r="B3466" t="s">
        <v>165</v>
      </c>
      <c r="C3466" s="1" t="s">
        <v>3033</v>
      </c>
      <c r="D3466" s="1" t="s">
        <v>19</v>
      </c>
      <c r="E3466" s="11">
        <f>10*F3466</f>
        <v>10</v>
      </c>
      <c r="F3466" s="12">
        <f>SI!E3</f>
        <v>1</v>
      </c>
      <c r="G3466" s="1" t="s">
        <v>14</v>
      </c>
      <c r="H3466" s="1" t="s">
        <v>42</v>
      </c>
    </row>
    <row r="3467" spans="1:8">
      <c r="A3467" t="s">
        <v>970</v>
      </c>
      <c r="B3467" t="s">
        <v>171</v>
      </c>
      <c r="C3467" s="1" t="s">
        <v>3033</v>
      </c>
      <c r="D3467" s="1" t="s">
        <v>19</v>
      </c>
      <c r="E3467" s="11">
        <f>0.1*F3467</f>
        <v>0.1</v>
      </c>
      <c r="F3467" s="12">
        <f>SI!E3</f>
        <v>1</v>
      </c>
      <c r="G3467" s="1" t="s">
        <v>14</v>
      </c>
      <c r="H3467" s="1" t="s">
        <v>42</v>
      </c>
    </row>
    <row r="3468" spans="1:8">
      <c r="A3468" t="s">
        <v>967</v>
      </c>
      <c r="B3468" t="s">
        <v>124</v>
      </c>
      <c r="C3468" s="1" t="s">
        <v>3033</v>
      </c>
      <c r="D3468" s="1" t="s">
        <v>19</v>
      </c>
      <c r="E3468" s="11">
        <f>0.01*F3468</f>
        <v>0.01</v>
      </c>
      <c r="F3468" s="12">
        <f>SI!E3</f>
        <v>1</v>
      </c>
      <c r="G3468" s="1" t="s">
        <v>14</v>
      </c>
      <c r="H3468" s="1" t="s">
        <v>42</v>
      </c>
    </row>
    <row r="3469" spans="1:8">
      <c r="A3469" t="s">
        <v>966</v>
      </c>
      <c r="B3469" t="s">
        <v>95</v>
      </c>
      <c r="C3469" s="1" t="s">
        <v>3033</v>
      </c>
      <c r="D3469" s="1" t="s">
        <v>19</v>
      </c>
      <c r="E3469" s="11">
        <f>0.001*F3469</f>
        <v>1E-3</v>
      </c>
      <c r="F3469" s="12">
        <f>SI!E3</f>
        <v>1</v>
      </c>
      <c r="G3469" s="1" t="s">
        <v>14</v>
      </c>
      <c r="H3469" s="1" t="s">
        <v>42</v>
      </c>
    </row>
    <row r="3470" spans="1:8">
      <c r="A3470" t="s">
        <v>3073</v>
      </c>
      <c r="B3470" t="s">
        <v>3095</v>
      </c>
      <c r="C3470" s="1" t="s">
        <v>3033</v>
      </c>
      <c r="D3470" s="1" t="s">
        <v>19</v>
      </c>
      <c r="E3470" s="11">
        <f>0.000001*F3470</f>
        <v>9.9999999999999995E-7</v>
      </c>
      <c r="F3470" s="12">
        <f>SI!E3</f>
        <v>1</v>
      </c>
      <c r="G3470" s="1" t="s">
        <v>14</v>
      </c>
      <c r="H3470" s="1" t="s">
        <v>42</v>
      </c>
    </row>
    <row r="3471" spans="1:8">
      <c r="A3471" t="s">
        <v>3072</v>
      </c>
      <c r="B3471" t="s">
        <v>3090</v>
      </c>
      <c r="C3471" s="1" t="s">
        <v>3033</v>
      </c>
      <c r="D3471" s="1" t="s">
        <v>19</v>
      </c>
      <c r="E3471" s="11">
        <f>0.000000001*F3471</f>
        <v>1.0000000000000001E-9</v>
      </c>
      <c r="F3471" s="12">
        <f>SI!E3</f>
        <v>1</v>
      </c>
      <c r="G3471" s="1" t="s">
        <v>14</v>
      </c>
      <c r="H3471" s="1" t="s">
        <v>42</v>
      </c>
    </row>
    <row r="3472" spans="1:8">
      <c r="A3472" t="s">
        <v>3071</v>
      </c>
      <c r="B3472" t="s">
        <v>3091</v>
      </c>
      <c r="C3472" s="1" t="s">
        <v>3033</v>
      </c>
      <c r="D3472" s="1" t="s">
        <v>19</v>
      </c>
      <c r="E3472" s="11">
        <f>0.000000000001*F3472</f>
        <v>9.9999999999999998E-13</v>
      </c>
      <c r="F3472" s="12">
        <f>SI!E3</f>
        <v>1</v>
      </c>
      <c r="G3472" s="1" t="s">
        <v>14</v>
      </c>
      <c r="H3472" s="1" t="s">
        <v>42</v>
      </c>
    </row>
    <row r="3473" spans="1:8">
      <c r="A3473" t="s">
        <v>3070</v>
      </c>
      <c r="B3473" t="s">
        <v>3092</v>
      </c>
      <c r="C3473" s="1" t="s">
        <v>3033</v>
      </c>
      <c r="D3473" s="1" t="s">
        <v>19</v>
      </c>
      <c r="E3473" s="11">
        <f>0.000000000000001*F3473</f>
        <v>1.0000000000000001E-15</v>
      </c>
      <c r="F3473" s="12">
        <f>SI!E3</f>
        <v>1</v>
      </c>
      <c r="G3473" s="1" t="s">
        <v>14</v>
      </c>
      <c r="H3473" s="1" t="s">
        <v>42</v>
      </c>
    </row>
    <row r="3474" spans="1:8">
      <c r="A3474" t="s">
        <v>3069</v>
      </c>
      <c r="B3474" t="s">
        <v>69</v>
      </c>
      <c r="C3474" s="1" t="s">
        <v>3033</v>
      </c>
      <c r="D3474" s="1" t="s">
        <v>19</v>
      </c>
      <c r="E3474" s="11">
        <f>0.000000000000000001*F3474</f>
        <v>1.0000000000000001E-18</v>
      </c>
      <c r="F3474" s="12">
        <f>SI!E3</f>
        <v>1</v>
      </c>
      <c r="G3474" s="1" t="s">
        <v>14</v>
      </c>
      <c r="H3474" s="1" t="s">
        <v>42</v>
      </c>
    </row>
    <row r="3475" spans="1:8">
      <c r="A3475" t="s">
        <v>3068</v>
      </c>
      <c r="B3475" t="s">
        <v>3093</v>
      </c>
      <c r="C3475" s="1" t="s">
        <v>3033</v>
      </c>
      <c r="D3475" s="1" t="s">
        <v>19</v>
      </c>
      <c r="E3475" s="11">
        <f>1E-21*F3475</f>
        <v>9.9999999999999991E-22</v>
      </c>
      <c r="F3475" s="12">
        <f>SI!E3</f>
        <v>1</v>
      </c>
      <c r="G3475" s="1" t="s">
        <v>14</v>
      </c>
      <c r="H3475" s="1" t="s">
        <v>42</v>
      </c>
    </row>
    <row r="3476" spans="1:8">
      <c r="A3476" t="s">
        <v>3067</v>
      </c>
      <c r="B3476" t="s">
        <v>3094</v>
      </c>
      <c r="C3476" s="1" t="s">
        <v>3033</v>
      </c>
      <c r="D3476" s="1" t="s">
        <v>19</v>
      </c>
      <c r="E3476" s="11">
        <f>1E-24*F3476</f>
        <v>9.9999999999999992E-25</v>
      </c>
      <c r="F3476" s="12">
        <f>SI!E3</f>
        <v>1</v>
      </c>
      <c r="G3476" s="1" t="s">
        <v>14</v>
      </c>
      <c r="H3476" s="1" t="s">
        <v>42</v>
      </c>
    </row>
    <row r="3477" spans="1:8" ht="16.5">
      <c r="A3477" t="s">
        <v>5249</v>
      </c>
      <c r="B3477" t="s">
        <v>5262</v>
      </c>
      <c r="C3477" s="1" t="s">
        <v>3034</v>
      </c>
      <c r="D3477" s="1" t="s">
        <v>38</v>
      </c>
      <c r="E3477" s="11">
        <f>POWER(1E+24,2)*F3477</f>
        <v>1E+48</v>
      </c>
      <c r="F3477" s="12">
        <f>POWER(SI!E3,2)</f>
        <v>1</v>
      </c>
      <c r="G3477" s="1" t="s">
        <v>39</v>
      </c>
      <c r="H3477" s="1" t="s">
        <v>42</v>
      </c>
    </row>
    <row r="3478" spans="1:8" ht="16.5">
      <c r="A3478" t="s">
        <v>5250</v>
      </c>
      <c r="B3478" t="s">
        <v>5263</v>
      </c>
      <c r="C3478" s="1" t="s">
        <v>3034</v>
      </c>
      <c r="D3478" s="1" t="s">
        <v>38</v>
      </c>
      <c r="E3478" s="11">
        <f>POWER(1E+21,2)*F3478</f>
        <v>1E+42</v>
      </c>
      <c r="F3478" s="12">
        <f>POWER(SI!E3,2)</f>
        <v>1</v>
      </c>
      <c r="G3478" s="1" t="s">
        <v>39</v>
      </c>
      <c r="H3478" s="1" t="s">
        <v>42</v>
      </c>
    </row>
    <row r="3479" spans="1:8" ht="16.5">
      <c r="A3479" t="s">
        <v>5251</v>
      </c>
      <c r="B3479" t="s">
        <v>5264</v>
      </c>
      <c r="C3479" s="1" t="s">
        <v>3034</v>
      </c>
      <c r="D3479" s="1" t="s">
        <v>38</v>
      </c>
      <c r="E3479" s="11">
        <f>POWER(1000000000000000000,2)*F3479</f>
        <v>1E+36</v>
      </c>
      <c r="F3479" s="12">
        <f>POWER(SI!E3,2)</f>
        <v>1</v>
      </c>
      <c r="G3479" s="1" t="s">
        <v>39</v>
      </c>
      <c r="H3479" s="1" t="s">
        <v>42</v>
      </c>
    </row>
    <row r="3480" spans="1:8" ht="16.5">
      <c r="A3480" t="s">
        <v>5252</v>
      </c>
      <c r="B3480" t="s">
        <v>5265</v>
      </c>
      <c r="C3480" s="1" t="s">
        <v>3034</v>
      </c>
      <c r="D3480" s="1" t="s">
        <v>38</v>
      </c>
      <c r="E3480" s="11">
        <f>POWER(1000000000000000,2)*F3480</f>
        <v>1E+30</v>
      </c>
      <c r="F3480" s="12">
        <f>POWER(SI!E3,2)</f>
        <v>1</v>
      </c>
      <c r="G3480" s="1" t="s">
        <v>39</v>
      </c>
      <c r="H3480" s="1" t="s">
        <v>42</v>
      </c>
    </row>
    <row r="3481" spans="1:8" ht="16.5">
      <c r="A3481" t="s">
        <v>5253</v>
      </c>
      <c r="B3481" t="s">
        <v>5266</v>
      </c>
      <c r="C3481" s="1" t="s">
        <v>3034</v>
      </c>
      <c r="D3481" s="1" t="s">
        <v>38</v>
      </c>
      <c r="E3481" s="11">
        <f>POWER(1000000000000,2)*F3481</f>
        <v>9.9999999999999998E+23</v>
      </c>
      <c r="F3481" s="12">
        <f>POWER(SI!E3,2)</f>
        <v>1</v>
      </c>
      <c r="G3481" s="1" t="s">
        <v>39</v>
      </c>
      <c r="H3481" s="1" t="s">
        <v>42</v>
      </c>
    </row>
    <row r="3482" spans="1:8" ht="16.5">
      <c r="A3482" t="s">
        <v>5254</v>
      </c>
      <c r="B3482" t="s">
        <v>5267</v>
      </c>
      <c r="C3482" s="1" t="s">
        <v>3034</v>
      </c>
      <c r="D3482" s="1" t="s">
        <v>38</v>
      </c>
      <c r="E3482" s="11">
        <f>POWER(1000000000,2)*F3482</f>
        <v>1E+18</v>
      </c>
      <c r="F3482" s="12">
        <f>POWER(SI!E3,2)</f>
        <v>1</v>
      </c>
      <c r="G3482" s="1" t="s">
        <v>39</v>
      </c>
      <c r="H3482" s="1" t="s">
        <v>42</v>
      </c>
    </row>
    <row r="3483" spans="1:8" ht="16.5">
      <c r="A3483" t="s">
        <v>5255</v>
      </c>
      <c r="B3483" t="s">
        <v>5268</v>
      </c>
      <c r="C3483" s="1" t="s">
        <v>3034</v>
      </c>
      <c r="D3483" s="1" t="s">
        <v>38</v>
      </c>
      <c r="E3483" s="11">
        <f>POWER(1000000,2)*F3483</f>
        <v>1000000000000</v>
      </c>
      <c r="F3483" s="12">
        <f>POWER(SI!E3,2)</f>
        <v>1</v>
      </c>
      <c r="G3483" s="1" t="s">
        <v>39</v>
      </c>
      <c r="H3483" s="1" t="s">
        <v>42</v>
      </c>
    </row>
    <row r="3484" spans="1:8" ht="16.5">
      <c r="A3484" t="s">
        <v>4606</v>
      </c>
      <c r="B3484" t="s">
        <v>5269</v>
      </c>
      <c r="C3484" s="1" t="s">
        <v>3034</v>
      </c>
      <c r="D3484" s="1" t="s">
        <v>38</v>
      </c>
      <c r="E3484" s="11">
        <f>POWER(1000,2)*F3484</f>
        <v>1000000</v>
      </c>
      <c r="F3484" s="12">
        <f>POWER(SI!E3,2)</f>
        <v>1</v>
      </c>
      <c r="G3484" s="1" t="s">
        <v>39</v>
      </c>
      <c r="H3484" s="1" t="s">
        <v>42</v>
      </c>
    </row>
    <row r="3485" spans="1:8" ht="16.5">
      <c r="A3485" t="s">
        <v>4605</v>
      </c>
      <c r="B3485" t="s">
        <v>5270</v>
      </c>
      <c r="C3485" s="1" t="s">
        <v>3034</v>
      </c>
      <c r="D3485" s="1" t="s">
        <v>38</v>
      </c>
      <c r="E3485" s="11">
        <f>POWER(100,2)*F3485</f>
        <v>10000</v>
      </c>
      <c r="F3485" s="12">
        <f>POWER(SI!E3,2)</f>
        <v>1</v>
      </c>
      <c r="G3485" s="1" t="s">
        <v>39</v>
      </c>
      <c r="H3485" s="1" t="s">
        <v>42</v>
      </c>
    </row>
    <row r="3486" spans="1:8" ht="16.5">
      <c r="A3486" t="s">
        <v>4603</v>
      </c>
      <c r="B3486" t="s">
        <v>5271</v>
      </c>
      <c r="C3486" s="1" t="s">
        <v>3034</v>
      </c>
      <c r="D3486" s="1" t="s">
        <v>38</v>
      </c>
      <c r="E3486" s="11">
        <f>POWER(10,2)*F3486</f>
        <v>100</v>
      </c>
      <c r="F3486" s="12">
        <f>POWER(SI!E3,2)</f>
        <v>1</v>
      </c>
      <c r="G3486" s="1" t="s">
        <v>39</v>
      </c>
      <c r="H3486" s="1" t="s">
        <v>42</v>
      </c>
    </row>
    <row r="3487" spans="1:8" ht="16.5">
      <c r="A3487" t="s">
        <v>4599</v>
      </c>
      <c r="B3487" t="s">
        <v>5272</v>
      </c>
      <c r="C3487" s="1" t="s">
        <v>3034</v>
      </c>
      <c r="D3487" s="1" t="s">
        <v>38</v>
      </c>
      <c r="E3487" s="11">
        <f>POWER(0.1,2)*F3487</f>
        <v>1.0000000000000002E-2</v>
      </c>
      <c r="F3487" s="12">
        <f>POWER(SI!E3,2)</f>
        <v>1</v>
      </c>
      <c r="G3487" s="1" t="s">
        <v>39</v>
      </c>
      <c r="H3487" s="1" t="s">
        <v>42</v>
      </c>
    </row>
    <row r="3488" spans="1:8" ht="16.5">
      <c r="A3488" t="s">
        <v>4489</v>
      </c>
      <c r="B3488" t="s">
        <v>5273</v>
      </c>
      <c r="C3488" s="1" t="s">
        <v>3034</v>
      </c>
      <c r="D3488" s="1" t="s">
        <v>38</v>
      </c>
      <c r="E3488" s="11">
        <f>POWER(0.01,2)*F3488</f>
        <v>1E-4</v>
      </c>
      <c r="F3488" s="12">
        <f>POWER(SI!E3,2)</f>
        <v>1</v>
      </c>
      <c r="G3488" s="1" t="s">
        <v>39</v>
      </c>
      <c r="H3488" s="1" t="s">
        <v>42</v>
      </c>
    </row>
    <row r="3489" spans="1:8" ht="16.5">
      <c r="A3489" t="s">
        <v>4600</v>
      </c>
      <c r="B3489" t="s">
        <v>5274</v>
      </c>
      <c r="C3489" s="1" t="s">
        <v>3034</v>
      </c>
      <c r="D3489" s="1" t="s">
        <v>38</v>
      </c>
      <c r="E3489" s="11">
        <f>POWER(0.001,2)*F3489</f>
        <v>9.9999999999999995E-7</v>
      </c>
      <c r="F3489" s="12">
        <f>POWER(SI!E3,2)</f>
        <v>1</v>
      </c>
      <c r="G3489" s="1" t="s">
        <v>39</v>
      </c>
      <c r="H3489" s="1" t="s">
        <v>42</v>
      </c>
    </row>
    <row r="3490" spans="1:8" ht="16.5">
      <c r="A3490" t="s">
        <v>5256</v>
      </c>
      <c r="B3490" t="s">
        <v>5275</v>
      </c>
      <c r="C3490" s="1" t="s">
        <v>3034</v>
      </c>
      <c r="D3490" s="1" t="s">
        <v>38</v>
      </c>
      <c r="E3490" s="11">
        <f>POWER(0.000001,2)*F3490</f>
        <v>9.9999999999999998E-13</v>
      </c>
      <c r="F3490" s="12">
        <f>POWER(SI!E3,2)</f>
        <v>1</v>
      </c>
      <c r="G3490" s="1" t="s">
        <v>39</v>
      </c>
      <c r="H3490" s="1" t="s">
        <v>42</v>
      </c>
    </row>
    <row r="3491" spans="1:8" ht="16.5">
      <c r="A3491" t="s">
        <v>4602</v>
      </c>
      <c r="B3491" t="s">
        <v>5276</v>
      </c>
      <c r="C3491" s="1" t="s">
        <v>3034</v>
      </c>
      <c r="D3491" s="1" t="s">
        <v>38</v>
      </c>
      <c r="E3491" s="11">
        <f>POWER(0.000000001,2)*F3491</f>
        <v>1.0000000000000001E-18</v>
      </c>
      <c r="F3491" s="12">
        <f>POWER(SI!E3,2)</f>
        <v>1</v>
      </c>
      <c r="G3491" s="1" t="s">
        <v>39</v>
      </c>
      <c r="H3491" s="1" t="s">
        <v>42</v>
      </c>
    </row>
    <row r="3492" spans="1:8" ht="16.5">
      <c r="A3492" t="s">
        <v>5257</v>
      </c>
      <c r="B3492" t="s">
        <v>5277</v>
      </c>
      <c r="C3492" s="1" t="s">
        <v>3034</v>
      </c>
      <c r="D3492" s="1" t="s">
        <v>38</v>
      </c>
      <c r="E3492" s="11">
        <f>POWER(0.000000000001,2)*F3492</f>
        <v>9.9999999999999992E-25</v>
      </c>
      <c r="F3492" s="12">
        <f>POWER(SI!E3,2)</f>
        <v>1</v>
      </c>
      <c r="G3492" s="1" t="s">
        <v>39</v>
      </c>
      <c r="H3492" s="1" t="s">
        <v>42</v>
      </c>
    </row>
    <row r="3493" spans="1:8" ht="16.5">
      <c r="A3493" t="s">
        <v>5258</v>
      </c>
      <c r="B3493" t="s">
        <v>5278</v>
      </c>
      <c r="C3493" s="1" t="s">
        <v>3034</v>
      </c>
      <c r="D3493" s="1" t="s">
        <v>38</v>
      </c>
      <c r="E3493" s="11">
        <f>POWER(0.000000000000001,2)*F3493</f>
        <v>1.0000000000000001E-30</v>
      </c>
      <c r="F3493" s="12">
        <f>POWER(SI!E3,2)</f>
        <v>1</v>
      </c>
      <c r="G3493" s="1" t="s">
        <v>39</v>
      </c>
      <c r="H3493" s="1" t="s">
        <v>42</v>
      </c>
    </row>
    <row r="3494" spans="1:8" ht="16.5">
      <c r="A3494" t="s">
        <v>5259</v>
      </c>
      <c r="B3494" t="s">
        <v>5279</v>
      </c>
      <c r="C3494" s="1" t="s">
        <v>3034</v>
      </c>
      <c r="D3494" s="1" t="s">
        <v>38</v>
      </c>
      <c r="E3494" s="11">
        <f>POWER(0.000000000000000001,2)*F3494</f>
        <v>1.0000000000000001E-36</v>
      </c>
      <c r="F3494" s="12">
        <f>POWER(SI!E3,2)</f>
        <v>1</v>
      </c>
      <c r="G3494" s="1" t="s">
        <v>39</v>
      </c>
      <c r="H3494" s="1" t="s">
        <v>42</v>
      </c>
    </row>
    <row r="3495" spans="1:8" ht="16.5">
      <c r="A3495" t="s">
        <v>5260</v>
      </c>
      <c r="B3495" t="s">
        <v>5280</v>
      </c>
      <c r="C3495" s="1" t="s">
        <v>3034</v>
      </c>
      <c r="D3495" s="1" t="s">
        <v>38</v>
      </c>
      <c r="E3495" s="11">
        <f>POWER(1E-21,2)*F3495</f>
        <v>9.9999999999999988E-43</v>
      </c>
      <c r="F3495" s="12">
        <f>POWER(SI!E3,2)</f>
        <v>1</v>
      </c>
      <c r="G3495" s="1" t="s">
        <v>39</v>
      </c>
      <c r="H3495" s="1" t="s">
        <v>42</v>
      </c>
    </row>
    <row r="3496" spans="1:8" ht="16.5">
      <c r="A3496" t="s">
        <v>5261</v>
      </c>
      <c r="B3496" t="s">
        <v>5281</v>
      </c>
      <c r="C3496" s="1" t="s">
        <v>3034</v>
      </c>
      <c r="D3496" s="1" t="s">
        <v>38</v>
      </c>
      <c r="E3496" s="11">
        <f>POWER(1E-24,2)*F3496</f>
        <v>9.9999999999999982E-49</v>
      </c>
      <c r="F3496" s="12">
        <f>POWER(SI!E3,2)</f>
        <v>1</v>
      </c>
      <c r="G3496" s="1" t="s">
        <v>39</v>
      </c>
      <c r="H3496" s="1" t="s">
        <v>42</v>
      </c>
    </row>
    <row r="3497" spans="1:8" ht="16.5">
      <c r="A3497" t="s">
        <v>5302</v>
      </c>
      <c r="B3497" t="s">
        <v>5282</v>
      </c>
      <c r="C3497" s="1" t="s">
        <v>2936</v>
      </c>
      <c r="D3497" s="1" t="s">
        <v>32</v>
      </c>
      <c r="E3497" s="11">
        <f>POWER(1E+24,3)*F3497</f>
        <v>9.9999999999999994E+71</v>
      </c>
      <c r="F3497" s="12">
        <f>POWER(SI!E3,3)</f>
        <v>1</v>
      </c>
      <c r="G3497" s="1" t="s">
        <v>33</v>
      </c>
      <c r="H3497" s="1" t="s">
        <v>42</v>
      </c>
    </row>
    <row r="3498" spans="1:8" ht="16.5">
      <c r="A3498" t="s">
        <v>5303</v>
      </c>
      <c r="B3498" t="s">
        <v>5283</v>
      </c>
      <c r="C3498" s="1" t="s">
        <v>2936</v>
      </c>
      <c r="D3498" s="1" t="s">
        <v>32</v>
      </c>
      <c r="E3498" s="11">
        <f>POWER(1E+21,3)*F3498</f>
        <v>1.0000000000000001E+63</v>
      </c>
      <c r="F3498" s="12">
        <f>POWER(SI!E3,3)</f>
        <v>1</v>
      </c>
      <c r="G3498" s="1" t="s">
        <v>33</v>
      </c>
      <c r="H3498" s="1" t="s">
        <v>42</v>
      </c>
    </row>
    <row r="3499" spans="1:8" ht="16.5">
      <c r="A3499" t="s">
        <v>5304</v>
      </c>
      <c r="B3499" t="s">
        <v>5284</v>
      </c>
      <c r="C3499" s="1" t="s">
        <v>2936</v>
      </c>
      <c r="D3499" s="1" t="s">
        <v>32</v>
      </c>
      <c r="E3499" s="11">
        <f>POWER(1000000000000000000,3)*F3499</f>
        <v>1.0000000000000001E+54</v>
      </c>
      <c r="F3499" s="12">
        <f>POWER(SI!E3,3)</f>
        <v>1</v>
      </c>
      <c r="G3499" s="1" t="s">
        <v>33</v>
      </c>
      <c r="H3499" s="1" t="s">
        <v>42</v>
      </c>
    </row>
    <row r="3500" spans="1:8" ht="16.5">
      <c r="A3500" t="s">
        <v>5305</v>
      </c>
      <c r="B3500" t="s">
        <v>5285</v>
      </c>
      <c r="C3500" s="1" t="s">
        <v>2936</v>
      </c>
      <c r="D3500" s="1" t="s">
        <v>32</v>
      </c>
      <c r="E3500" s="11">
        <f>POWER(1000000000000000,3)*F3500</f>
        <v>1.0000000000000001E+45</v>
      </c>
      <c r="F3500" s="12">
        <f>POWER(SI!E3,3)</f>
        <v>1</v>
      </c>
      <c r="G3500" s="1" t="s">
        <v>33</v>
      </c>
      <c r="H3500" s="1" t="s">
        <v>42</v>
      </c>
    </row>
    <row r="3501" spans="1:8" ht="16.5">
      <c r="A3501" t="s">
        <v>5306</v>
      </c>
      <c r="B3501" t="s">
        <v>5286</v>
      </c>
      <c r="C3501" s="1" t="s">
        <v>2936</v>
      </c>
      <c r="D3501" s="1" t="s">
        <v>32</v>
      </c>
      <c r="E3501" s="11">
        <f>POWER(1000000000000,3)*F3501</f>
        <v>1E+36</v>
      </c>
      <c r="F3501" s="12">
        <f>POWER(SI!E3,3)</f>
        <v>1</v>
      </c>
      <c r="G3501" s="1" t="s">
        <v>33</v>
      </c>
      <c r="H3501" s="1" t="s">
        <v>42</v>
      </c>
    </row>
    <row r="3502" spans="1:8" ht="16.5">
      <c r="A3502" t="s">
        <v>5307</v>
      </c>
      <c r="B3502" t="s">
        <v>5287</v>
      </c>
      <c r="C3502" s="1" t="s">
        <v>2936</v>
      </c>
      <c r="D3502" s="1" t="s">
        <v>32</v>
      </c>
      <c r="E3502" s="11">
        <f>POWER(1000000000,3)*F3502</f>
        <v>1E+27</v>
      </c>
      <c r="F3502" s="12">
        <f>POWER(SI!E3,3)</f>
        <v>1</v>
      </c>
      <c r="G3502" s="1" t="s">
        <v>33</v>
      </c>
      <c r="H3502" s="1" t="s">
        <v>42</v>
      </c>
    </row>
    <row r="3503" spans="1:8" ht="16.5">
      <c r="A3503" t="s">
        <v>5308</v>
      </c>
      <c r="B3503" t="s">
        <v>5288</v>
      </c>
      <c r="C3503" s="1" t="s">
        <v>2936</v>
      </c>
      <c r="D3503" s="1" t="s">
        <v>32</v>
      </c>
      <c r="E3503" s="11">
        <f>POWER(1000000,3)*F3503</f>
        <v>1E+18</v>
      </c>
      <c r="F3503" s="12">
        <f>POWER(SI!E3,3)</f>
        <v>1</v>
      </c>
      <c r="G3503" s="1" t="s">
        <v>33</v>
      </c>
      <c r="H3503" s="1" t="s">
        <v>42</v>
      </c>
    </row>
    <row r="3504" spans="1:8" ht="16.5">
      <c r="A3504" t="s">
        <v>4621</v>
      </c>
      <c r="B3504" t="s">
        <v>5289</v>
      </c>
      <c r="C3504" s="1" t="s">
        <v>2936</v>
      </c>
      <c r="D3504" s="1" t="s">
        <v>32</v>
      </c>
      <c r="E3504" s="11">
        <f>POWER(1000,3)*F3504</f>
        <v>1000000000</v>
      </c>
      <c r="F3504" s="12">
        <f>POWER(SI!E3,3)</f>
        <v>1</v>
      </c>
      <c r="G3504" s="1" t="s">
        <v>33</v>
      </c>
      <c r="H3504" s="1" t="s">
        <v>42</v>
      </c>
    </row>
    <row r="3505" spans="1:8" ht="16.5">
      <c r="A3505" t="s">
        <v>4620</v>
      </c>
      <c r="B3505" t="s">
        <v>5290</v>
      </c>
      <c r="C3505" s="1" t="s">
        <v>2936</v>
      </c>
      <c r="D3505" s="1" t="s">
        <v>32</v>
      </c>
      <c r="E3505" s="11">
        <f>POWER(100,3)*F3505</f>
        <v>1000000</v>
      </c>
      <c r="F3505" s="12">
        <f>POWER(SI!E3,3)</f>
        <v>1</v>
      </c>
      <c r="G3505" s="1" t="s">
        <v>33</v>
      </c>
      <c r="H3505" s="1" t="s">
        <v>42</v>
      </c>
    </row>
    <row r="3506" spans="1:8" ht="16.5">
      <c r="A3506" t="s">
        <v>4618</v>
      </c>
      <c r="B3506" t="s">
        <v>5291</v>
      </c>
      <c r="C3506" s="1" t="s">
        <v>2936</v>
      </c>
      <c r="D3506" s="1" t="s">
        <v>32</v>
      </c>
      <c r="E3506" s="11">
        <f>POWER(10,3)*F3506</f>
        <v>1000</v>
      </c>
      <c r="F3506" s="12">
        <f>POWER(SI!E3,3)</f>
        <v>1</v>
      </c>
      <c r="G3506" s="1" t="s">
        <v>33</v>
      </c>
      <c r="H3506" s="1" t="s">
        <v>42</v>
      </c>
    </row>
    <row r="3507" spans="1:8" ht="16.5">
      <c r="A3507" t="s">
        <v>4614</v>
      </c>
      <c r="B3507" t="s">
        <v>5292</v>
      </c>
      <c r="C3507" s="1" t="s">
        <v>2936</v>
      </c>
      <c r="D3507" s="1" t="s">
        <v>32</v>
      </c>
      <c r="E3507" s="11">
        <f>POWER(0.1,3)*F3507</f>
        <v>1.0000000000000002E-3</v>
      </c>
      <c r="F3507" s="12">
        <f>POWER(SI!E3,3)</f>
        <v>1</v>
      </c>
      <c r="G3507" s="1" t="s">
        <v>33</v>
      </c>
      <c r="H3507" s="1" t="s">
        <v>42</v>
      </c>
    </row>
    <row r="3508" spans="1:8" ht="16.5">
      <c r="A3508" t="s">
        <v>4490</v>
      </c>
      <c r="B3508" t="s">
        <v>5293</v>
      </c>
      <c r="C3508" s="1" t="s">
        <v>2936</v>
      </c>
      <c r="D3508" s="1" t="s">
        <v>32</v>
      </c>
      <c r="E3508" s="11">
        <f>POWER(0.01,3)*F3508</f>
        <v>1.0000000000000002E-6</v>
      </c>
      <c r="F3508" s="12">
        <f>POWER(SI!E3,3)</f>
        <v>1</v>
      </c>
      <c r="G3508" s="1" t="s">
        <v>33</v>
      </c>
      <c r="H3508" s="1" t="s">
        <v>42</v>
      </c>
    </row>
    <row r="3509" spans="1:8" ht="16.5">
      <c r="A3509" t="s">
        <v>4615</v>
      </c>
      <c r="B3509" t="s">
        <v>5294</v>
      </c>
      <c r="C3509" s="1" t="s">
        <v>2936</v>
      </c>
      <c r="D3509" s="1" t="s">
        <v>32</v>
      </c>
      <c r="E3509" s="11">
        <f>POWER(0.001,3)*F3509</f>
        <v>1.0000000000000001E-9</v>
      </c>
      <c r="F3509" s="12">
        <f>POWER(SI!E3,3)</f>
        <v>1</v>
      </c>
      <c r="G3509" s="1" t="s">
        <v>33</v>
      </c>
      <c r="H3509" s="1" t="s">
        <v>42</v>
      </c>
    </row>
    <row r="3510" spans="1:8" ht="16.5">
      <c r="A3510" t="s">
        <v>5309</v>
      </c>
      <c r="B3510" t="s">
        <v>5295</v>
      </c>
      <c r="C3510" s="1" t="s">
        <v>2936</v>
      </c>
      <c r="D3510" s="1" t="s">
        <v>32</v>
      </c>
      <c r="E3510" s="11">
        <f>POWER(0.000001,3)*F3510</f>
        <v>9.9999999999999988E-19</v>
      </c>
      <c r="F3510" s="12">
        <f>POWER(SI!E3,3)</f>
        <v>1</v>
      </c>
      <c r="G3510" s="1" t="s">
        <v>33</v>
      </c>
      <c r="H3510" s="1" t="s">
        <v>42</v>
      </c>
    </row>
    <row r="3511" spans="1:8" ht="16.5">
      <c r="A3511" t="s">
        <v>4617</v>
      </c>
      <c r="B3511" t="s">
        <v>5296</v>
      </c>
      <c r="C3511" s="1" t="s">
        <v>2936</v>
      </c>
      <c r="D3511" s="1" t="s">
        <v>32</v>
      </c>
      <c r="E3511" s="11">
        <f>POWER(0.000000001,3)*F3511</f>
        <v>1.0000000000000002E-27</v>
      </c>
      <c r="F3511" s="12">
        <f>POWER(SI!E3,3)</f>
        <v>1</v>
      </c>
      <c r="G3511" s="1" t="s">
        <v>33</v>
      </c>
      <c r="H3511" s="1" t="s">
        <v>42</v>
      </c>
    </row>
    <row r="3512" spans="1:8" ht="16.5">
      <c r="A3512" t="s">
        <v>5310</v>
      </c>
      <c r="B3512" t="s">
        <v>5297</v>
      </c>
      <c r="C3512" s="1" t="s">
        <v>2936</v>
      </c>
      <c r="D3512" s="1" t="s">
        <v>32</v>
      </c>
      <c r="E3512" s="11">
        <f>POWER(0.000000000001,3)*F3512</f>
        <v>9.9999999999999994E-37</v>
      </c>
      <c r="F3512" s="12">
        <f>POWER(SI!E3,3)</f>
        <v>1</v>
      </c>
      <c r="G3512" s="1" t="s">
        <v>33</v>
      </c>
      <c r="H3512" s="1" t="s">
        <v>42</v>
      </c>
    </row>
    <row r="3513" spans="1:8" ht="16.5">
      <c r="A3513" t="s">
        <v>5311</v>
      </c>
      <c r="B3513" t="s">
        <v>5298</v>
      </c>
      <c r="C3513" s="1" t="s">
        <v>2936</v>
      </c>
      <c r="D3513" s="1" t="s">
        <v>32</v>
      </c>
      <c r="E3513" s="11">
        <f>POWER(0.000000000000001,3)*F3513</f>
        <v>1.0000000000000001E-45</v>
      </c>
      <c r="F3513" s="12">
        <f>POWER(SI!E3,3)</f>
        <v>1</v>
      </c>
      <c r="G3513" s="1" t="s">
        <v>33</v>
      </c>
      <c r="H3513" s="1" t="s">
        <v>42</v>
      </c>
    </row>
    <row r="3514" spans="1:8" ht="16.5">
      <c r="A3514" t="s">
        <v>5312</v>
      </c>
      <c r="B3514" t="s">
        <v>5299</v>
      </c>
      <c r="C3514" s="1" t="s">
        <v>2936</v>
      </c>
      <c r="D3514" s="1" t="s">
        <v>32</v>
      </c>
      <c r="E3514" s="11">
        <f>POWER(0.000000000000000001,3)*F3514</f>
        <v>1.0000000000000002E-54</v>
      </c>
      <c r="F3514" s="12">
        <f>POWER(SI!E3,3)</f>
        <v>1</v>
      </c>
      <c r="G3514" s="1" t="s">
        <v>33</v>
      </c>
      <c r="H3514" s="1" t="s">
        <v>42</v>
      </c>
    </row>
    <row r="3515" spans="1:8" ht="16.5">
      <c r="A3515" t="s">
        <v>5313</v>
      </c>
      <c r="B3515" t="s">
        <v>5300</v>
      </c>
      <c r="C3515" s="1" t="s">
        <v>2936</v>
      </c>
      <c r="D3515" s="1" t="s">
        <v>32</v>
      </c>
      <c r="E3515" s="11">
        <f>POWER(1E-21,3)*F3515</f>
        <v>9.999999999999998E-64</v>
      </c>
      <c r="F3515" s="12">
        <f>POWER(SI!E3,3)</f>
        <v>1</v>
      </c>
      <c r="G3515" s="1" t="s">
        <v>33</v>
      </c>
      <c r="H3515" s="1" t="s">
        <v>42</v>
      </c>
    </row>
    <row r="3516" spans="1:8" ht="16.5">
      <c r="A3516" t="s">
        <v>5314</v>
      </c>
      <c r="B3516" t="s">
        <v>5301</v>
      </c>
      <c r="C3516" s="1" t="s">
        <v>2936</v>
      </c>
      <c r="D3516" s="1" t="s">
        <v>32</v>
      </c>
      <c r="E3516" s="11">
        <f>POWER(1E-24,3)*F3516</f>
        <v>9.9999999999999971E-73</v>
      </c>
      <c r="F3516" s="12">
        <f>POWER(SI!E3,3)</f>
        <v>1</v>
      </c>
      <c r="G3516" s="1" t="s">
        <v>33</v>
      </c>
      <c r="H3516" s="1" t="s">
        <v>42</v>
      </c>
    </row>
    <row r="3517" spans="1:8">
      <c r="A3517" t="s">
        <v>3114</v>
      </c>
      <c r="B3517" t="s">
        <v>3096</v>
      </c>
      <c r="C3517" s="1" t="s">
        <v>17</v>
      </c>
      <c r="D3517" s="1" t="s">
        <v>20</v>
      </c>
      <c r="E3517" s="11">
        <f>1E+21*F3517</f>
        <v>1E+21</v>
      </c>
      <c r="F3517" s="12">
        <f>SI!E2</f>
        <v>1</v>
      </c>
      <c r="G3517" s="1" t="s">
        <v>23</v>
      </c>
      <c r="H3517" s="1" t="s">
        <v>42</v>
      </c>
    </row>
    <row r="3518" spans="1:8">
      <c r="A3518" t="s">
        <v>3115</v>
      </c>
      <c r="B3518" t="s">
        <v>3097</v>
      </c>
      <c r="C3518" s="1" t="s">
        <v>17</v>
      </c>
      <c r="D3518" s="1" t="s">
        <v>20</v>
      </c>
      <c r="E3518" s="11">
        <f>1000000000000000000*F3518</f>
        <v>1E+18</v>
      </c>
      <c r="F3518" s="12">
        <f>SI!E2</f>
        <v>1</v>
      </c>
      <c r="G3518" s="1" t="s">
        <v>23</v>
      </c>
      <c r="H3518" s="1" t="s">
        <v>42</v>
      </c>
    </row>
    <row r="3519" spans="1:8">
      <c r="A3519" t="s">
        <v>3116</v>
      </c>
      <c r="B3519" t="s">
        <v>3098</v>
      </c>
      <c r="C3519" s="1" t="s">
        <v>17</v>
      </c>
      <c r="D3519" s="1" t="s">
        <v>20</v>
      </c>
      <c r="E3519" s="11">
        <f>1000000000000000*F3519</f>
        <v>1000000000000000</v>
      </c>
      <c r="F3519" s="12">
        <f>SI!E2</f>
        <v>1</v>
      </c>
      <c r="G3519" s="1" t="s">
        <v>23</v>
      </c>
      <c r="H3519" s="1" t="s">
        <v>42</v>
      </c>
    </row>
    <row r="3520" spans="1:8">
      <c r="A3520" t="s">
        <v>3117</v>
      </c>
      <c r="B3520" t="s">
        <v>3099</v>
      </c>
      <c r="C3520" s="1" t="s">
        <v>17</v>
      </c>
      <c r="D3520" s="1" t="s">
        <v>20</v>
      </c>
      <c r="E3520" s="11">
        <f>1000000000000*F3520</f>
        <v>1000000000000</v>
      </c>
      <c r="F3520" s="12">
        <f>SI!E2</f>
        <v>1</v>
      </c>
      <c r="G3520" s="1" t="s">
        <v>23</v>
      </c>
      <c r="H3520" s="1" t="s">
        <v>42</v>
      </c>
    </row>
    <row r="3521" spans="1:8">
      <c r="A3521" t="s">
        <v>3118</v>
      </c>
      <c r="B3521" t="s">
        <v>3100</v>
      </c>
      <c r="C3521" s="1" t="s">
        <v>17</v>
      </c>
      <c r="D3521" s="1" t="s">
        <v>20</v>
      </c>
      <c r="E3521" s="11">
        <f>1000000000*F3521</f>
        <v>1000000000</v>
      </c>
      <c r="F3521" s="12">
        <f>SI!E2</f>
        <v>1</v>
      </c>
      <c r="G3521" s="1" t="s">
        <v>23</v>
      </c>
      <c r="H3521" s="1" t="s">
        <v>42</v>
      </c>
    </row>
    <row r="3522" spans="1:8">
      <c r="A3522" t="s">
        <v>3119</v>
      </c>
      <c r="B3522" t="s">
        <v>3101</v>
      </c>
      <c r="C3522" s="1" t="s">
        <v>17</v>
      </c>
      <c r="D3522" s="1" t="s">
        <v>20</v>
      </c>
      <c r="E3522" s="11">
        <f>1000000*F3522</f>
        <v>1000000</v>
      </c>
      <c r="F3522" s="12">
        <f>SI!E2</f>
        <v>1</v>
      </c>
      <c r="G3522" s="1" t="s">
        <v>23</v>
      </c>
      <c r="H3522" s="1" t="s">
        <v>42</v>
      </c>
    </row>
    <row r="3523" spans="1:8">
      <c r="A3523" t="s">
        <v>3120</v>
      </c>
      <c r="B3523" t="s">
        <v>3102</v>
      </c>
      <c r="C3523" s="1" t="s">
        <v>17</v>
      </c>
      <c r="D3523" s="1" t="s">
        <v>20</v>
      </c>
      <c r="E3523" s="11">
        <f>1000*F3523</f>
        <v>1000</v>
      </c>
      <c r="F3523" s="12">
        <f>SI!E2</f>
        <v>1</v>
      </c>
      <c r="G3523" s="1" t="s">
        <v>23</v>
      </c>
      <c r="H3523" s="1" t="s">
        <v>42</v>
      </c>
    </row>
    <row r="3524" spans="1:8">
      <c r="A3524" t="s">
        <v>262</v>
      </c>
      <c r="B3524" t="s">
        <v>23</v>
      </c>
      <c r="C3524" s="1" t="s">
        <v>17</v>
      </c>
      <c r="D3524" s="1" t="s">
        <v>20</v>
      </c>
      <c r="E3524" s="11">
        <f>F3524</f>
        <v>1</v>
      </c>
      <c r="F3524" s="12">
        <f>SI!E2</f>
        <v>1</v>
      </c>
      <c r="G3524" s="1" t="s">
        <v>23</v>
      </c>
      <c r="H3524" s="1" t="s">
        <v>42</v>
      </c>
    </row>
    <row r="3525" spans="1:8">
      <c r="A3525" t="s">
        <v>3121</v>
      </c>
      <c r="B3525" t="s">
        <v>3103</v>
      </c>
      <c r="C3525" s="1" t="s">
        <v>17</v>
      </c>
      <c r="D3525" s="1" t="s">
        <v>20</v>
      </c>
      <c r="E3525" s="11">
        <f>0.1*F3525</f>
        <v>0.1</v>
      </c>
      <c r="F3525" s="12">
        <f>SI!E2</f>
        <v>1</v>
      </c>
      <c r="G3525" s="1" t="s">
        <v>23</v>
      </c>
      <c r="H3525" s="1" t="s">
        <v>42</v>
      </c>
    </row>
    <row r="3526" spans="1:8">
      <c r="A3526" t="s">
        <v>3122</v>
      </c>
      <c r="B3526" t="s">
        <v>3104</v>
      </c>
      <c r="C3526" s="1" t="s">
        <v>17</v>
      </c>
      <c r="D3526" s="1" t="s">
        <v>20</v>
      </c>
      <c r="E3526" s="11">
        <f>0.01*F3526</f>
        <v>0.01</v>
      </c>
      <c r="F3526" s="12">
        <f>SI!E2</f>
        <v>1</v>
      </c>
      <c r="G3526" s="1" t="s">
        <v>23</v>
      </c>
      <c r="H3526" s="1" t="s">
        <v>42</v>
      </c>
    </row>
    <row r="3527" spans="1:8">
      <c r="A3527" t="s">
        <v>3123</v>
      </c>
      <c r="B3527" t="s">
        <v>3105</v>
      </c>
      <c r="C3527" s="1" t="s">
        <v>17</v>
      </c>
      <c r="D3527" s="1" t="s">
        <v>20</v>
      </c>
      <c r="E3527" s="11">
        <f>0.0001*F3527</f>
        <v>1E-4</v>
      </c>
      <c r="F3527" s="12">
        <f>SI!E2</f>
        <v>1</v>
      </c>
      <c r="G3527" s="1" t="s">
        <v>23</v>
      </c>
      <c r="H3527" s="1" t="s">
        <v>42</v>
      </c>
    </row>
    <row r="3528" spans="1:8">
      <c r="A3528" t="s">
        <v>3124</v>
      </c>
      <c r="B3528" t="s">
        <v>3106</v>
      </c>
      <c r="C3528" s="1" t="s">
        <v>17</v>
      </c>
      <c r="D3528" s="1" t="s">
        <v>20</v>
      </c>
      <c r="E3528" s="11">
        <f>0.00001*F3528</f>
        <v>1.0000000000000001E-5</v>
      </c>
      <c r="F3528" s="12">
        <f>SI!E2</f>
        <v>1</v>
      </c>
      <c r="G3528" s="1" t="s">
        <v>23</v>
      </c>
      <c r="H3528" s="1" t="s">
        <v>42</v>
      </c>
    </row>
    <row r="3529" spans="1:8">
      <c r="A3529" t="s">
        <v>3125</v>
      </c>
      <c r="B3529" t="s">
        <v>3107</v>
      </c>
      <c r="C3529" s="1" t="s">
        <v>17</v>
      </c>
      <c r="D3529" s="1" t="s">
        <v>20</v>
      </c>
      <c r="E3529" s="11">
        <f>0.000001*F3529</f>
        <v>9.9999999999999995E-7</v>
      </c>
      <c r="F3529" s="12">
        <f>SI!E2</f>
        <v>1</v>
      </c>
      <c r="G3529" s="1" t="s">
        <v>23</v>
      </c>
      <c r="H3529" s="1" t="s">
        <v>42</v>
      </c>
    </row>
    <row r="3530" spans="1:8">
      <c r="A3530" t="s">
        <v>3126</v>
      </c>
      <c r="B3530" t="s">
        <v>3108</v>
      </c>
      <c r="C3530" s="1" t="s">
        <v>17</v>
      </c>
      <c r="D3530" s="1" t="s">
        <v>20</v>
      </c>
      <c r="E3530" s="11">
        <f>0.000000001*F3530</f>
        <v>1.0000000000000001E-9</v>
      </c>
      <c r="F3530" s="12">
        <f>SI!E2</f>
        <v>1</v>
      </c>
      <c r="G3530" s="1" t="s">
        <v>23</v>
      </c>
      <c r="H3530" s="1" t="s">
        <v>42</v>
      </c>
    </row>
    <row r="3531" spans="1:8">
      <c r="A3531" t="s">
        <v>3127</v>
      </c>
      <c r="B3531" t="s">
        <v>3109</v>
      </c>
      <c r="C3531" s="1" t="s">
        <v>17</v>
      </c>
      <c r="D3531" s="1" t="s">
        <v>20</v>
      </c>
      <c r="E3531" s="11">
        <f>0.000000000001*F3531</f>
        <v>9.9999999999999998E-13</v>
      </c>
      <c r="F3531" s="12">
        <f>SI!E2</f>
        <v>1</v>
      </c>
      <c r="G3531" s="1" t="s">
        <v>23</v>
      </c>
      <c r="H3531" s="1" t="s">
        <v>42</v>
      </c>
    </row>
    <row r="3532" spans="1:8">
      <c r="A3532" t="s">
        <v>3128</v>
      </c>
      <c r="B3532" t="s">
        <v>3110</v>
      </c>
      <c r="C3532" s="1" t="s">
        <v>17</v>
      </c>
      <c r="D3532" s="1" t="s">
        <v>20</v>
      </c>
      <c r="E3532" s="11">
        <f>0.000000000000001*F3532</f>
        <v>1.0000000000000001E-15</v>
      </c>
      <c r="F3532" s="12">
        <f>SI!E2</f>
        <v>1</v>
      </c>
      <c r="G3532" s="1" t="s">
        <v>23</v>
      </c>
      <c r="H3532" s="1" t="s">
        <v>42</v>
      </c>
    </row>
    <row r="3533" spans="1:8">
      <c r="A3533" t="s">
        <v>3129</v>
      </c>
      <c r="B3533" t="s">
        <v>194</v>
      </c>
      <c r="C3533" s="1" t="s">
        <v>17</v>
      </c>
      <c r="D3533" s="1" t="s">
        <v>20</v>
      </c>
      <c r="E3533" s="11">
        <f>0.000000000000000001*F3533</f>
        <v>1.0000000000000001E-18</v>
      </c>
      <c r="F3533" s="12">
        <f>SI!E2</f>
        <v>1</v>
      </c>
      <c r="G3533" s="1" t="s">
        <v>23</v>
      </c>
      <c r="H3533" s="1" t="s">
        <v>42</v>
      </c>
    </row>
    <row r="3534" spans="1:8">
      <c r="A3534" t="s">
        <v>3130</v>
      </c>
      <c r="B3534" t="s">
        <v>3111</v>
      </c>
      <c r="C3534" s="1" t="s">
        <v>17</v>
      </c>
      <c r="D3534" s="1" t="s">
        <v>20</v>
      </c>
      <c r="E3534" s="11">
        <f>1E-21*F3534</f>
        <v>9.9999999999999991E-22</v>
      </c>
      <c r="F3534" s="12">
        <f>SI!E2</f>
        <v>1</v>
      </c>
      <c r="G3534" s="1" t="s">
        <v>23</v>
      </c>
      <c r="H3534" s="1" t="s">
        <v>42</v>
      </c>
    </row>
    <row r="3535" spans="1:8">
      <c r="A3535" t="s">
        <v>3131</v>
      </c>
      <c r="B3535" t="s">
        <v>3112</v>
      </c>
      <c r="C3535" s="1" t="s">
        <v>17</v>
      </c>
      <c r="D3535" s="1" t="s">
        <v>20</v>
      </c>
      <c r="E3535" s="11">
        <f>1E-24*F3535</f>
        <v>9.9999999999999992E-25</v>
      </c>
      <c r="F3535" s="12">
        <f>SI!E2</f>
        <v>1</v>
      </c>
      <c r="G3535" s="1" t="s">
        <v>23</v>
      </c>
      <c r="H3535" s="1" t="s">
        <v>42</v>
      </c>
    </row>
    <row r="3536" spans="1:8">
      <c r="A3536" t="s">
        <v>3132</v>
      </c>
      <c r="B3536" t="s">
        <v>3113</v>
      </c>
      <c r="C3536" s="1" t="s">
        <v>17</v>
      </c>
      <c r="D3536" s="1" t="s">
        <v>20</v>
      </c>
      <c r="E3536" s="11">
        <f>1E-27*F3536</f>
        <v>1E-27</v>
      </c>
      <c r="F3536" s="12">
        <f>SI!E2</f>
        <v>1</v>
      </c>
      <c r="G3536" s="1" t="s">
        <v>23</v>
      </c>
      <c r="H3536" s="1" t="s">
        <v>42</v>
      </c>
    </row>
    <row r="3537" spans="1:8">
      <c r="A3537" s="248"/>
      <c r="B3537" s="254"/>
      <c r="C3537" s="248"/>
      <c r="D3537" s="248"/>
      <c r="E3537" s="250"/>
      <c r="F3537" s="250"/>
      <c r="G3537" s="248"/>
      <c r="H3537" s="248"/>
    </row>
    <row r="3538" spans="1:8">
      <c r="A3538" s="336" t="s">
        <v>1421</v>
      </c>
      <c r="B3538" s="390" t="s">
        <v>26</v>
      </c>
      <c r="C3538" s="1" t="s">
        <v>3033</v>
      </c>
      <c r="D3538" s="1" t="s">
        <v>19</v>
      </c>
      <c r="E3538" s="337">
        <f>18*F3538/12</f>
        <v>0.45720000000000005</v>
      </c>
      <c r="F3538" s="337">
        <f>Systems!D22</f>
        <v>0.30480000000000002</v>
      </c>
      <c r="G3538" s="336" t="s">
        <v>14</v>
      </c>
      <c r="H3538" s="336" t="s">
        <v>7191</v>
      </c>
    </row>
    <row r="3539" spans="1:8" ht="16.5">
      <c r="A3539" s="336" t="s">
        <v>4395</v>
      </c>
      <c r="B3539" s="390" t="s">
        <v>26</v>
      </c>
      <c r="C3539" s="336" t="s">
        <v>3034</v>
      </c>
      <c r="D3539" s="1" t="s">
        <v>38</v>
      </c>
      <c r="E3539" s="337">
        <f>F3539</f>
        <v>0.20903184000000005</v>
      </c>
      <c r="F3539" s="337">
        <f>POWER(1.5*Systems!D22,2)</f>
        <v>0.20903184000000005</v>
      </c>
      <c r="G3539" s="1" t="s">
        <v>39</v>
      </c>
      <c r="H3539" s="336" t="s">
        <v>7191</v>
      </c>
    </row>
    <row r="3540" spans="1:8" ht="16.5">
      <c r="A3540" s="336" t="s">
        <v>7192</v>
      </c>
      <c r="B3540" s="390" t="s">
        <v>26</v>
      </c>
      <c r="C3540" s="1" t="s">
        <v>2936</v>
      </c>
      <c r="D3540" s="1" t="s">
        <v>32</v>
      </c>
      <c r="E3540" s="337">
        <f>F3540</f>
        <v>9.5569357248000031E-2</v>
      </c>
      <c r="F3540" s="337">
        <f>POWER(1.5*Systems!D22,3)</f>
        <v>9.5569357248000031E-2</v>
      </c>
      <c r="G3540" s="1" t="s">
        <v>33</v>
      </c>
      <c r="H3540" s="336" t="s">
        <v>7191</v>
      </c>
    </row>
    <row r="3541" spans="1:8" ht="16.5">
      <c r="A3541" s="336" t="s">
        <v>7192</v>
      </c>
      <c r="B3541" s="390" t="s">
        <v>26</v>
      </c>
      <c r="C3541" s="1" t="s">
        <v>2935</v>
      </c>
      <c r="D3541" s="1" t="s">
        <v>32</v>
      </c>
      <c r="E3541" s="337">
        <f>F3541</f>
        <v>9.5569357248000031E-2</v>
      </c>
      <c r="F3541" s="337">
        <f>POWER(1.5*Systems!D22,3)</f>
        <v>9.5569357248000031E-2</v>
      </c>
      <c r="G3541" s="1" t="s">
        <v>33</v>
      </c>
      <c r="H3541" s="336" t="s">
        <v>7191</v>
      </c>
    </row>
    <row r="3542" spans="1:8">
      <c r="A3542" s="336" t="s">
        <v>2000</v>
      </c>
      <c r="B3542" s="390" t="s">
        <v>26</v>
      </c>
      <c r="C3542" s="336" t="s">
        <v>17</v>
      </c>
      <c r="D3542" s="336" t="s">
        <v>20</v>
      </c>
      <c r="E3542" s="337">
        <f>52*F3542</f>
        <v>3.3695433200000005E-3</v>
      </c>
      <c r="F3542" s="337">
        <f>Systems!L5/5760</f>
        <v>6.4798910000000008E-5</v>
      </c>
      <c r="G3542" s="336" t="s">
        <v>23</v>
      </c>
      <c r="H3542" s="336" t="s">
        <v>7191</v>
      </c>
    </row>
    <row r="3543" spans="1:8">
      <c r="A3543" s="336" t="s">
        <v>7193</v>
      </c>
      <c r="B3543" s="390" t="s">
        <v>26</v>
      </c>
      <c r="C3543" s="336" t="s">
        <v>17</v>
      </c>
      <c r="D3543" s="336" t="s">
        <v>20</v>
      </c>
      <c r="E3543" s="337">
        <f>822*F3543</f>
        <v>5.3264704020000005E-2</v>
      </c>
      <c r="F3543" s="337">
        <f>Systems!L5/5760</f>
        <v>6.4798910000000008E-5</v>
      </c>
      <c r="G3543" s="336" t="s">
        <v>23</v>
      </c>
      <c r="H3543" s="336" t="s">
        <v>7191</v>
      </c>
    </row>
    <row r="3544" spans="1:8">
      <c r="A3544" s="248"/>
      <c r="B3544" s="254"/>
      <c r="C3544" s="248"/>
      <c r="D3544" s="248"/>
      <c r="E3544" s="250"/>
      <c r="F3544" s="250"/>
      <c r="G3544" s="248"/>
      <c r="H3544" s="248"/>
    </row>
    <row r="3545" spans="1:8">
      <c r="A3545" s="1" t="s">
        <v>1456</v>
      </c>
      <c r="B3545" s="1" t="s">
        <v>26</v>
      </c>
      <c r="C3545" s="1" t="s">
        <v>3033</v>
      </c>
      <c r="D3545" s="1" t="s">
        <v>19</v>
      </c>
      <c r="E3545" s="12">
        <f>F3545/7</f>
        <v>0.55999999999999994</v>
      </c>
      <c r="F3545" s="12">
        <f>Systems!D163</f>
        <v>3.92</v>
      </c>
      <c r="G3545" s="1" t="s">
        <v>14</v>
      </c>
      <c r="H3545" s="1" t="s">
        <v>488</v>
      </c>
    </row>
    <row r="3546" spans="1:8">
      <c r="A3546" s="1" t="s">
        <v>899</v>
      </c>
      <c r="B3546" s="1" t="s">
        <v>26</v>
      </c>
      <c r="C3546" s="1" t="s">
        <v>3033</v>
      </c>
      <c r="D3546" s="1" t="s">
        <v>19</v>
      </c>
      <c r="E3546" s="12">
        <f>F3546</f>
        <v>3.92</v>
      </c>
      <c r="F3546" s="12">
        <f>Systems!D163</f>
        <v>3.92</v>
      </c>
      <c r="G3546" s="1" t="s">
        <v>14</v>
      </c>
      <c r="H3546" s="1" t="s">
        <v>488</v>
      </c>
    </row>
    <row r="3547" spans="1:8" ht="16.5">
      <c r="A3547" s="1" t="s">
        <v>1016</v>
      </c>
      <c r="B3547" s="1" t="s">
        <v>26</v>
      </c>
      <c r="C3547" s="1" t="s">
        <v>3034</v>
      </c>
      <c r="D3547" s="1" t="s">
        <v>38</v>
      </c>
      <c r="E3547" s="12">
        <f>F3547</f>
        <v>8000</v>
      </c>
      <c r="F3547" s="12">
        <f>Systems!H163</f>
        <v>8000</v>
      </c>
      <c r="G3547" s="1" t="s">
        <v>39</v>
      </c>
      <c r="H3547" s="1" t="s">
        <v>488</v>
      </c>
    </row>
    <row r="3548" spans="1:8" ht="16.5">
      <c r="A3548" s="1" t="s">
        <v>5315</v>
      </c>
      <c r="B3548" s="1" t="s">
        <v>26</v>
      </c>
      <c r="C3548" s="1" t="s">
        <v>2936</v>
      </c>
      <c r="D3548" s="1" t="s">
        <v>32</v>
      </c>
      <c r="E3548" s="12">
        <f>F3548</f>
        <v>60.236287999999995</v>
      </c>
      <c r="F3548" s="12">
        <f>Systems!T163</f>
        <v>60.236287999999995</v>
      </c>
      <c r="G3548" s="1" t="s">
        <v>33</v>
      </c>
      <c r="H3548" s="1" t="s">
        <v>488</v>
      </c>
    </row>
    <row r="3549" spans="1:8" ht="16.5">
      <c r="A3549" s="1" t="s">
        <v>1329</v>
      </c>
      <c r="B3549" s="1" t="s">
        <v>26</v>
      </c>
      <c r="C3549" s="1" t="s">
        <v>2935</v>
      </c>
      <c r="D3549" s="1" t="s">
        <v>32</v>
      </c>
      <c r="E3549" s="12">
        <f>F3549/3</f>
        <v>4.5300000000000001E-4</v>
      </c>
      <c r="F3549" s="12">
        <f>Systems!P163</f>
        <v>1.359E-3</v>
      </c>
      <c r="G3549" s="1" t="s">
        <v>33</v>
      </c>
      <c r="H3549" s="1" t="s">
        <v>488</v>
      </c>
    </row>
    <row r="3550" spans="1:8" ht="16.5">
      <c r="A3550" s="1" t="s">
        <v>900</v>
      </c>
      <c r="B3550" s="1" t="s">
        <v>26</v>
      </c>
      <c r="C3550" s="1" t="s">
        <v>2935</v>
      </c>
      <c r="D3550" s="1" t="s">
        <v>32</v>
      </c>
      <c r="E3550" s="12">
        <f>F3550</f>
        <v>1.359E-3</v>
      </c>
      <c r="F3550" s="12">
        <f>Systems!P163</f>
        <v>1.359E-3</v>
      </c>
      <c r="G3550" s="1" t="s">
        <v>33</v>
      </c>
      <c r="H3550" s="1" t="s">
        <v>488</v>
      </c>
    </row>
    <row r="3551" spans="1:8" ht="16.5">
      <c r="A3551" s="1" t="s">
        <v>1682</v>
      </c>
      <c r="B3551" s="1" t="s">
        <v>26</v>
      </c>
      <c r="C3551" s="1" t="s">
        <v>2935</v>
      </c>
      <c r="D3551" s="1" t="s">
        <v>32</v>
      </c>
      <c r="E3551" s="12">
        <f>120*F3551</f>
        <v>0.16308</v>
      </c>
      <c r="F3551" s="12">
        <f>Systems!P163</f>
        <v>1.359E-3</v>
      </c>
      <c r="G3551" s="1" t="s">
        <v>33</v>
      </c>
      <c r="H3551" s="1" t="s">
        <v>488</v>
      </c>
    </row>
    <row r="3552" spans="1:8" ht="16.5">
      <c r="A3552" s="1" t="s">
        <v>2593</v>
      </c>
      <c r="B3552" s="1" t="s">
        <v>26</v>
      </c>
      <c r="C3552" s="1" t="s">
        <v>2935</v>
      </c>
      <c r="D3552" s="1" t="s">
        <v>32</v>
      </c>
      <c r="E3552" s="12">
        <f>15*F3552</f>
        <v>2.0385E-2</v>
      </c>
      <c r="F3552" s="12">
        <f>Systems!P163</f>
        <v>1.359E-3</v>
      </c>
      <c r="G3552" s="1" t="s">
        <v>33</v>
      </c>
      <c r="H3552" s="1" t="s">
        <v>488</v>
      </c>
    </row>
    <row r="3553" spans="1:8">
      <c r="A3553" s="1" t="s">
        <v>1635</v>
      </c>
      <c r="B3553" s="1" t="s">
        <v>26</v>
      </c>
      <c r="C3553" s="1" t="s">
        <v>17</v>
      </c>
      <c r="D3553" s="1" t="s">
        <v>20</v>
      </c>
      <c r="E3553" s="12">
        <f>F3553*36</f>
        <v>16.128</v>
      </c>
      <c r="F3553" s="12">
        <f>Systems!L163</f>
        <v>0.44800000000000001</v>
      </c>
      <c r="G3553" s="1" t="s">
        <v>23</v>
      </c>
      <c r="H3553" s="1" t="s">
        <v>488</v>
      </c>
    </row>
    <row r="3554" spans="1:8">
      <c r="A3554" s="1" t="s">
        <v>1682</v>
      </c>
      <c r="B3554" s="1" t="s">
        <v>26</v>
      </c>
      <c r="C3554" s="1" t="s">
        <v>17</v>
      </c>
      <c r="D3554" s="1" t="s">
        <v>20</v>
      </c>
      <c r="E3554" s="12">
        <f>360*F3554</f>
        <v>161.28</v>
      </c>
      <c r="F3554" s="12">
        <f>Systems!L163</f>
        <v>0.44800000000000001</v>
      </c>
      <c r="G3554" s="1" t="s">
        <v>23</v>
      </c>
      <c r="H3554" s="1" t="s">
        <v>488</v>
      </c>
    </row>
    <row r="3555" spans="1:8">
      <c r="A3555" s="1" t="s">
        <v>2163</v>
      </c>
      <c r="B3555" s="8" t="s">
        <v>26</v>
      </c>
      <c r="C3555" s="1" t="s">
        <v>17</v>
      </c>
      <c r="D3555" s="1" t="s">
        <v>20</v>
      </c>
      <c r="E3555" s="12">
        <f>F3555/16</f>
        <v>2.8000000000000001E-2</v>
      </c>
      <c r="F3555" s="12">
        <f>Systems!L163</f>
        <v>0.44800000000000001</v>
      </c>
      <c r="G3555" s="1" t="s">
        <v>23</v>
      </c>
      <c r="H3555" s="1" t="s">
        <v>488</v>
      </c>
    </row>
    <row r="3556" spans="1:8">
      <c r="A3556" s="1" t="s">
        <v>828</v>
      </c>
      <c r="B3556" s="1" t="s">
        <v>26</v>
      </c>
      <c r="C3556" s="1" t="s">
        <v>17</v>
      </c>
      <c r="D3556" s="1" t="s">
        <v>20</v>
      </c>
      <c r="E3556" s="12">
        <f>F3556</f>
        <v>0.44800000000000001</v>
      </c>
      <c r="F3556" s="12">
        <f>Systems!L163</f>
        <v>0.44800000000000001</v>
      </c>
      <c r="G3556" s="1" t="s">
        <v>23</v>
      </c>
      <c r="H3556" s="1" t="s">
        <v>488</v>
      </c>
    </row>
    <row r="3557" spans="1:8">
      <c r="A3557" s="248"/>
      <c r="B3557" s="248"/>
      <c r="C3557" s="248"/>
      <c r="D3557" s="248"/>
      <c r="E3557" s="250"/>
      <c r="F3557" s="250"/>
      <c r="G3557" s="248"/>
      <c r="H3557" s="248"/>
    </row>
    <row r="3558" spans="1:8">
      <c r="A3558" s="1" t="s">
        <v>5316</v>
      </c>
      <c r="B3558" s="1" t="s">
        <v>26</v>
      </c>
      <c r="C3558" s="1" t="s">
        <v>3033</v>
      </c>
      <c r="D3558" s="1" t="s">
        <v>19</v>
      </c>
      <c r="E3558" s="12">
        <f>12*F3558</f>
        <v>3.7782960000000001</v>
      </c>
      <c r="F3558" s="12">
        <f>Systems!D184</f>
        <v>0.31485800000000003</v>
      </c>
      <c r="G3558" s="1" t="s">
        <v>14</v>
      </c>
      <c r="H3558" s="1" t="s">
        <v>7427</v>
      </c>
    </row>
    <row r="3559" spans="1:8">
      <c r="A3559" s="1" t="s">
        <v>875</v>
      </c>
      <c r="B3559" s="1" t="s">
        <v>26</v>
      </c>
      <c r="C3559" s="1" t="s">
        <v>3033</v>
      </c>
      <c r="D3559" s="1" t="s">
        <v>19</v>
      </c>
      <c r="E3559" s="12">
        <f>27*F3559/12</f>
        <v>0.70637399999999995</v>
      </c>
      <c r="F3559" s="12">
        <f>Systems!D185</f>
        <v>0.313944</v>
      </c>
      <c r="G3559" s="1" t="s">
        <v>14</v>
      </c>
      <c r="H3559" s="1" t="s">
        <v>7427</v>
      </c>
    </row>
    <row r="3560" spans="1:8">
      <c r="A3560" s="1" t="s">
        <v>7511</v>
      </c>
      <c r="B3560" s="1" t="s">
        <v>26</v>
      </c>
      <c r="C3560" s="1" t="s">
        <v>3033</v>
      </c>
      <c r="D3560" s="1" t="s">
        <v>19</v>
      </c>
      <c r="E3560" s="12">
        <f>F3560/12</f>
        <v>2.6162000000000001E-2</v>
      </c>
      <c r="F3560" s="12">
        <f>Systems!D185</f>
        <v>0.313944</v>
      </c>
      <c r="G3560" s="1" t="s">
        <v>14</v>
      </c>
      <c r="H3560" s="1" t="s">
        <v>7427</v>
      </c>
    </row>
    <row r="3561" spans="1:8">
      <c r="A3561" s="1" t="s">
        <v>7512</v>
      </c>
      <c r="B3561" s="1" t="s">
        <v>26</v>
      </c>
      <c r="C3561" s="1" t="s">
        <v>3033</v>
      </c>
      <c r="D3561" s="1" t="s">
        <v>19</v>
      </c>
      <c r="E3561" s="12">
        <f>12*F3561</f>
        <v>3.767328</v>
      </c>
      <c r="F3561" s="12">
        <f>Systems!D185</f>
        <v>0.313944</v>
      </c>
      <c r="G3561" s="1" t="s">
        <v>14</v>
      </c>
      <c r="H3561" s="1" t="s">
        <v>7427</v>
      </c>
    </row>
    <row r="3562" spans="1:8">
      <c r="A3562" s="1" t="s">
        <v>6846</v>
      </c>
      <c r="B3562" s="1" t="s">
        <v>26</v>
      </c>
      <c r="C3562" s="1" t="s">
        <v>3033</v>
      </c>
      <c r="D3562" s="1" t="s">
        <v>19</v>
      </c>
      <c r="E3562" s="12">
        <f>F3562</f>
        <v>0.313944</v>
      </c>
      <c r="F3562" s="12">
        <f>Systems!D185</f>
        <v>0.313944</v>
      </c>
      <c r="G3562" s="1" t="s">
        <v>14</v>
      </c>
      <c r="H3562" s="1" t="s">
        <v>7427</v>
      </c>
    </row>
    <row r="3563" spans="1:8" ht="16.5">
      <c r="A3563" s="1" t="s">
        <v>973</v>
      </c>
      <c r="B3563" s="1" t="s">
        <v>26</v>
      </c>
      <c r="C3563" s="1" t="s">
        <v>3034</v>
      </c>
      <c r="D3563" s="1" t="s">
        <v>38</v>
      </c>
      <c r="E3563" s="12">
        <f>F3563</f>
        <v>8565.32</v>
      </c>
      <c r="F3563" s="12">
        <f>Systems!H184</f>
        <v>8565.32</v>
      </c>
      <c r="G3563" s="1" t="s">
        <v>39</v>
      </c>
      <c r="H3563" s="1" t="s">
        <v>7427</v>
      </c>
    </row>
    <row r="3564" spans="1:8" ht="16.5">
      <c r="A3564" s="1" t="s">
        <v>1251</v>
      </c>
      <c r="B3564" s="1" t="s">
        <v>26</v>
      </c>
      <c r="C3564" s="1" t="s">
        <v>2936</v>
      </c>
      <c r="D3564" s="1" t="s">
        <v>32</v>
      </c>
      <c r="E3564" s="12">
        <f>5*F3564</f>
        <v>4.5999999999999999E-2</v>
      </c>
      <c r="F3564" s="12">
        <f>Systems!T185</f>
        <v>9.1999999999999998E-3</v>
      </c>
      <c r="G3564" s="1" t="s">
        <v>33</v>
      </c>
      <c r="H3564" s="1" t="s">
        <v>7427</v>
      </c>
    </row>
    <row r="3565" spans="1:8" ht="16.5">
      <c r="A3565" s="1" t="s">
        <v>1020</v>
      </c>
      <c r="B3565" s="1" t="s">
        <v>26</v>
      </c>
      <c r="C3565" s="1" t="s">
        <v>2936</v>
      </c>
      <c r="D3565" s="1" t="s">
        <v>32</v>
      </c>
      <c r="E3565" s="12">
        <f>F3565</f>
        <v>9.1999999999999998E-3</v>
      </c>
      <c r="F3565" s="12">
        <f>Systems!T185</f>
        <v>9.1999999999999998E-3</v>
      </c>
      <c r="G3565" s="1" t="s">
        <v>33</v>
      </c>
      <c r="H3565" s="1" t="s">
        <v>7427</v>
      </c>
    </row>
    <row r="3566" spans="1:8" ht="16.5">
      <c r="A3566" s="1" t="s">
        <v>1978</v>
      </c>
      <c r="B3566" s="1" t="s">
        <v>26</v>
      </c>
      <c r="C3566" s="1" t="s">
        <v>2936</v>
      </c>
      <c r="D3566" s="1" t="s">
        <v>32</v>
      </c>
      <c r="E3566" s="12">
        <f>40*F3566</f>
        <v>1.091</v>
      </c>
      <c r="F3566" s="12">
        <f>Systems!T184</f>
        <v>2.7275000000000001E-2</v>
      </c>
      <c r="G3566" s="1" t="s">
        <v>33</v>
      </c>
      <c r="H3566" s="1" t="s">
        <v>7427</v>
      </c>
    </row>
    <row r="3567" spans="1:8" ht="16.5">
      <c r="A3567" s="1" t="s">
        <v>2097</v>
      </c>
      <c r="B3567" s="1" t="s">
        <v>26</v>
      </c>
      <c r="C3567" s="1" t="s">
        <v>2936</v>
      </c>
      <c r="D3567" s="1" t="s">
        <v>32</v>
      </c>
      <c r="E3567" s="12">
        <f>4*F3567</f>
        <v>0.1091</v>
      </c>
      <c r="F3567" s="12">
        <f>Systems!T184</f>
        <v>2.7275000000000001E-2</v>
      </c>
      <c r="G3567" s="1" t="s">
        <v>33</v>
      </c>
      <c r="H3567" s="1" t="s">
        <v>7427</v>
      </c>
    </row>
    <row r="3568" spans="1:8" ht="16.5">
      <c r="A3568" s="1" t="s">
        <v>853</v>
      </c>
      <c r="B3568" s="1" t="s">
        <v>26</v>
      </c>
      <c r="C3568" s="1" t="s">
        <v>2936</v>
      </c>
      <c r="D3568" s="1" t="s">
        <v>32</v>
      </c>
      <c r="E3568" s="12">
        <f>F3568</f>
        <v>2.7275000000000001E-2</v>
      </c>
      <c r="F3568" s="12">
        <f>Systems!T184</f>
        <v>2.7275000000000001E-2</v>
      </c>
      <c r="G3568" s="1" t="s">
        <v>33</v>
      </c>
      <c r="H3568" s="1" t="s">
        <v>7427</v>
      </c>
    </row>
    <row r="3569" spans="1:8" ht="16.5">
      <c r="A3569" s="1" t="s">
        <v>1174</v>
      </c>
      <c r="B3569" s="1" t="s">
        <v>26</v>
      </c>
      <c r="C3569" s="1" t="s">
        <v>2935</v>
      </c>
      <c r="D3569" s="1" t="s">
        <v>32</v>
      </c>
      <c r="E3569" s="12">
        <f>97*F3569</f>
        <v>0.128913</v>
      </c>
      <c r="F3569" s="12">
        <f>Systems!P184</f>
        <v>1.3290000000000001E-3</v>
      </c>
      <c r="G3569" s="1" t="s">
        <v>33</v>
      </c>
      <c r="H3569" s="1" t="s">
        <v>7427</v>
      </c>
    </row>
    <row r="3570" spans="1:8" ht="16.5">
      <c r="A3570" s="1" t="s">
        <v>1215</v>
      </c>
      <c r="B3570" s="1" t="s">
        <v>26</v>
      </c>
      <c r="C3570" s="1" t="s">
        <v>2935</v>
      </c>
      <c r="D3570" s="1" t="s">
        <v>32</v>
      </c>
      <c r="E3570" s="12">
        <f>97*F3570/4</f>
        <v>3.222825E-2</v>
      </c>
      <c r="F3570" s="12">
        <f>Systems!P184</f>
        <v>1.3290000000000001E-3</v>
      </c>
      <c r="G3570" s="1" t="s">
        <v>33</v>
      </c>
      <c r="H3570" s="1" t="s">
        <v>7427</v>
      </c>
    </row>
    <row r="3571" spans="1:8" ht="16.5">
      <c r="A3571" s="1" t="s">
        <v>1202</v>
      </c>
      <c r="B3571" s="1" t="s">
        <v>26</v>
      </c>
      <c r="C3571" s="1" t="s">
        <v>2935</v>
      </c>
      <c r="D3571" s="1" t="s">
        <v>32</v>
      </c>
      <c r="E3571" s="12">
        <f>97*F3571</f>
        <v>0.128913</v>
      </c>
      <c r="F3571" s="12">
        <f>Systems!P184</f>
        <v>1.3290000000000001E-3</v>
      </c>
      <c r="G3571" s="1" t="s">
        <v>33</v>
      </c>
      <c r="H3571" s="1" t="s">
        <v>7427</v>
      </c>
    </row>
    <row r="3572" spans="1:8" ht="16.5">
      <c r="A3572" s="18" t="s">
        <v>1264</v>
      </c>
      <c r="B3572" s="1" t="s">
        <v>26</v>
      </c>
      <c r="C3572" s="1" t="s">
        <v>2935</v>
      </c>
      <c r="D3572" s="1" t="s">
        <v>32</v>
      </c>
      <c r="E3572" s="16">
        <f>4*F3572</f>
        <v>0.163659312</v>
      </c>
      <c r="F3572" s="16">
        <f>Systems!P185</f>
        <v>4.0914828E-2</v>
      </c>
      <c r="G3572" s="1" t="s">
        <v>33</v>
      </c>
      <c r="H3572" s="1" t="s">
        <v>7427</v>
      </c>
    </row>
    <row r="3573" spans="1:8" ht="16.5">
      <c r="A3573" s="1" t="s">
        <v>1324</v>
      </c>
      <c r="B3573" s="1" t="s">
        <v>26</v>
      </c>
      <c r="C3573" s="1" t="s">
        <v>2935</v>
      </c>
      <c r="D3573" s="1" t="s">
        <v>32</v>
      </c>
      <c r="E3573" s="12">
        <f>12*F3573</f>
        <v>0.490977936</v>
      </c>
      <c r="F3573" s="12">
        <f>Systems!P185</f>
        <v>4.0914828E-2</v>
      </c>
      <c r="G3573" s="1" t="s">
        <v>33</v>
      </c>
      <c r="H3573" s="1" t="s">
        <v>7427</v>
      </c>
    </row>
    <row r="3574" spans="1:8" ht="16.5">
      <c r="A3574" s="1" t="s">
        <v>1563</v>
      </c>
      <c r="B3574" s="1" t="s">
        <v>26</v>
      </c>
      <c r="C3574" s="1" t="s">
        <v>2935</v>
      </c>
      <c r="D3574" s="1" t="s">
        <v>32</v>
      </c>
      <c r="E3574" s="12">
        <f>0.34*F3574</f>
        <v>3.4000000000000002E-4</v>
      </c>
      <c r="F3574" s="12">
        <f>'Physical Definitions'!E9</f>
        <v>1E-3</v>
      </c>
      <c r="G3574" s="1" t="s">
        <v>33</v>
      </c>
      <c r="H3574" s="1" t="s">
        <v>7427</v>
      </c>
    </row>
    <row r="3575" spans="1:8" ht="16.5">
      <c r="A3575" s="1" t="s">
        <v>1021</v>
      </c>
      <c r="B3575" s="1" t="s">
        <v>26</v>
      </c>
      <c r="C3575" s="1" t="s">
        <v>2935</v>
      </c>
      <c r="D3575" s="1" t="s">
        <v>32</v>
      </c>
      <c r="E3575" s="12">
        <f>F3575</f>
        <v>4.0914828E-2</v>
      </c>
      <c r="F3575" s="12">
        <f>Systems!P185</f>
        <v>4.0914828E-2</v>
      </c>
      <c r="G3575" s="1" t="s">
        <v>33</v>
      </c>
      <c r="H3575" s="1" t="s">
        <v>7427</v>
      </c>
    </row>
    <row r="3576" spans="1:8" ht="16.5">
      <c r="A3576" s="1" t="s">
        <v>1626</v>
      </c>
      <c r="B3576" s="1" t="s">
        <v>26</v>
      </c>
      <c r="C3576" s="1" t="s">
        <v>2935</v>
      </c>
      <c r="D3576" s="1" t="s">
        <v>32</v>
      </c>
      <c r="E3576" s="12">
        <f>19*F3576/11</f>
        <v>2.2955454545454546E-3</v>
      </c>
      <c r="F3576" s="12">
        <f>Systems!P184</f>
        <v>1.3290000000000001E-3</v>
      </c>
      <c r="G3576" s="1" t="s">
        <v>33</v>
      </c>
      <c r="H3576" s="1" t="s">
        <v>7427</v>
      </c>
    </row>
    <row r="3577" spans="1:8" ht="16.5">
      <c r="A3577" s="1" t="s">
        <v>1710</v>
      </c>
      <c r="B3577" s="1" t="s">
        <v>26</v>
      </c>
      <c r="C3577" s="1" t="s">
        <v>2935</v>
      </c>
      <c r="D3577" s="1" t="s">
        <v>32</v>
      </c>
      <c r="E3577" s="12">
        <f>97*F3577/8</f>
        <v>1.6114125E-2</v>
      </c>
      <c r="F3577" s="12">
        <f>Systems!P184</f>
        <v>1.3290000000000001E-3</v>
      </c>
      <c r="G3577" s="1" t="s">
        <v>33</v>
      </c>
      <c r="H3577" s="1" t="s">
        <v>7427</v>
      </c>
    </row>
    <row r="3578" spans="1:8" ht="16.5">
      <c r="A3578" s="1" t="s">
        <v>1711</v>
      </c>
      <c r="B3578" s="1" t="s">
        <v>26</v>
      </c>
      <c r="C3578" s="1" t="s">
        <v>2935</v>
      </c>
      <c r="D3578" s="1" t="s">
        <v>32</v>
      </c>
      <c r="E3578" s="12">
        <f>97*F3578/2</f>
        <v>6.44565E-2</v>
      </c>
      <c r="F3578" s="12">
        <f>Systems!P184</f>
        <v>1.3290000000000001E-3</v>
      </c>
      <c r="G3578" s="1" t="s">
        <v>33</v>
      </c>
      <c r="H3578" s="1" t="s">
        <v>7427</v>
      </c>
    </row>
    <row r="3579" spans="1:8" ht="16.5">
      <c r="A3579" s="1" t="s">
        <v>1712</v>
      </c>
      <c r="B3579" s="1" t="s">
        <v>26</v>
      </c>
      <c r="C3579" s="1" t="s">
        <v>2935</v>
      </c>
      <c r="D3579" s="1" t="s">
        <v>32</v>
      </c>
      <c r="E3579" s="12">
        <f>194*F3579</f>
        <v>0.257826</v>
      </c>
      <c r="F3579" s="12">
        <f>Systems!P184</f>
        <v>1.3290000000000001E-3</v>
      </c>
      <c r="G3579" s="1" t="s">
        <v>33</v>
      </c>
      <c r="H3579" s="1" t="s">
        <v>7427</v>
      </c>
    </row>
    <row r="3580" spans="1:8" ht="16.5">
      <c r="A3580" s="1" t="s">
        <v>1713</v>
      </c>
      <c r="B3580" s="1" t="s">
        <v>26</v>
      </c>
      <c r="C3580" s="1" t="s">
        <v>2935</v>
      </c>
      <c r="D3580" s="1" t="s">
        <v>32</v>
      </c>
      <c r="E3580" s="12">
        <f>1760*F3580/11</f>
        <v>0.21264000000000002</v>
      </c>
      <c r="F3580" s="12">
        <f>Systems!P184</f>
        <v>1.3290000000000001E-3</v>
      </c>
      <c r="G3580" s="1" t="s">
        <v>33</v>
      </c>
      <c r="H3580" s="1" t="s">
        <v>7427</v>
      </c>
    </row>
    <row r="3581" spans="1:8" ht="16.5">
      <c r="A3581" s="1" t="s">
        <v>1463</v>
      </c>
      <c r="B3581" s="1" t="s">
        <v>26</v>
      </c>
      <c r="C3581" s="1" t="s">
        <v>2935</v>
      </c>
      <c r="D3581" s="1" t="s">
        <v>32</v>
      </c>
      <c r="E3581" s="12">
        <f>6*F3581</f>
        <v>0.245488968</v>
      </c>
      <c r="F3581" s="12">
        <f>Systems!P185</f>
        <v>4.0914828E-2</v>
      </c>
      <c r="G3581" s="1" t="s">
        <v>33</v>
      </c>
      <c r="H3581" s="1" t="s">
        <v>7427</v>
      </c>
    </row>
    <row r="3582" spans="1:8" ht="16.5">
      <c r="A3582" s="1" t="s">
        <v>254</v>
      </c>
      <c r="B3582" s="1" t="s">
        <v>26</v>
      </c>
      <c r="C3582" s="1" t="s">
        <v>2935</v>
      </c>
      <c r="D3582" s="1" t="s">
        <v>32</v>
      </c>
      <c r="E3582" s="12">
        <f>F3582</f>
        <v>1.3290000000000001E-3</v>
      </c>
      <c r="F3582" s="12">
        <f>Systems!P184</f>
        <v>1.3290000000000001E-3</v>
      </c>
      <c r="G3582" s="1" t="s">
        <v>33</v>
      </c>
      <c r="H3582" s="1" t="s">
        <v>7427</v>
      </c>
    </row>
    <row r="3583" spans="1:8" ht="16.5">
      <c r="A3583" s="1" t="s">
        <v>1841</v>
      </c>
      <c r="B3583" s="1" t="s">
        <v>26</v>
      </c>
      <c r="C3583" s="1" t="s">
        <v>2935</v>
      </c>
      <c r="D3583" s="1" t="s">
        <v>32</v>
      </c>
      <c r="E3583" s="12">
        <f>2*F3583</f>
        <v>8.1829656000000001E-2</v>
      </c>
      <c r="F3583" s="12">
        <f>Systems!P185</f>
        <v>4.0914828E-2</v>
      </c>
      <c r="G3583" s="1" t="s">
        <v>33</v>
      </c>
      <c r="H3583" s="1" t="s">
        <v>7427</v>
      </c>
    </row>
    <row r="3584" spans="1:8" ht="16.5">
      <c r="A3584" s="1" t="s">
        <v>1942</v>
      </c>
      <c r="B3584" s="1" t="s">
        <v>26</v>
      </c>
      <c r="C3584" s="1" t="s">
        <v>2935</v>
      </c>
      <c r="D3584" s="1" t="s">
        <v>32</v>
      </c>
      <c r="E3584" s="12">
        <f>388*F3584</f>
        <v>0.515652</v>
      </c>
      <c r="F3584" s="12">
        <f>Systems!P184</f>
        <v>1.3290000000000001E-3</v>
      </c>
      <c r="G3584" s="1" t="s">
        <v>33</v>
      </c>
      <c r="H3584" s="1" t="s">
        <v>7427</v>
      </c>
    </row>
    <row r="3585" spans="1:8" ht="16.5">
      <c r="A3585" s="1" t="s">
        <v>2255</v>
      </c>
      <c r="B3585" s="1" t="s">
        <v>26</v>
      </c>
      <c r="C3585" s="1" t="s">
        <v>2935</v>
      </c>
      <c r="D3585" s="1" t="s">
        <v>32</v>
      </c>
      <c r="E3585" s="12">
        <f>3520*F3585/11</f>
        <v>0.42528000000000005</v>
      </c>
      <c r="F3585" s="12">
        <f>Systems!P184</f>
        <v>1.3290000000000001E-3</v>
      </c>
      <c r="G3585" s="1" t="s">
        <v>33</v>
      </c>
      <c r="H3585" s="1" t="s">
        <v>7427</v>
      </c>
    </row>
    <row r="3586" spans="1:8">
      <c r="A3586" s="1" t="s">
        <v>1320</v>
      </c>
      <c r="B3586" s="1" t="s">
        <v>26</v>
      </c>
      <c r="C3586" s="1" t="s">
        <v>17</v>
      </c>
      <c r="D3586" s="1" t="s">
        <v>20</v>
      </c>
      <c r="E3586" s="12">
        <f>0.3175*F3586</f>
        <v>0.3175</v>
      </c>
      <c r="F3586" s="12">
        <f>SI!E2</f>
        <v>1</v>
      </c>
      <c r="G3586" s="1" t="s">
        <v>23</v>
      </c>
      <c r="H3586" s="1" t="s">
        <v>7427</v>
      </c>
    </row>
    <row r="3587" spans="1:8">
      <c r="A3587" s="1" t="s">
        <v>5317</v>
      </c>
      <c r="B3587" s="1" t="s">
        <v>26</v>
      </c>
      <c r="C3587" s="1" t="s">
        <v>17</v>
      </c>
      <c r="D3587" s="1" t="s">
        <v>20</v>
      </c>
      <c r="E3587" s="12">
        <f>100*F3587</f>
        <v>45.359237</v>
      </c>
      <c r="F3587" s="12">
        <f>Systems!L6</f>
        <v>0.45359237000000002</v>
      </c>
      <c r="G3587" s="1" t="s">
        <v>23</v>
      </c>
      <c r="H3587" s="1" t="s">
        <v>7427</v>
      </c>
    </row>
    <row r="3588" spans="1:8">
      <c r="A3588" s="1" t="s">
        <v>5318</v>
      </c>
      <c r="B3588" s="1" t="s">
        <v>26</v>
      </c>
      <c r="C3588" s="1" t="s">
        <v>17</v>
      </c>
      <c r="D3588" s="1" t="s">
        <v>20</v>
      </c>
      <c r="E3588" s="12">
        <f>2000*F3588</f>
        <v>907.18474000000003</v>
      </c>
      <c r="F3588" s="12">
        <f>Systems!L6</f>
        <v>0.45359237000000002</v>
      </c>
      <c r="G3588" s="1" t="s">
        <v>23</v>
      </c>
      <c r="H3588" s="1" t="s">
        <v>7427</v>
      </c>
    </row>
    <row r="3589" spans="1:8">
      <c r="A3589" s="1" t="s">
        <v>1986</v>
      </c>
      <c r="B3589" s="1" t="s">
        <v>26</v>
      </c>
      <c r="C3589" s="1" t="s">
        <v>17</v>
      </c>
      <c r="D3589" s="1" t="s">
        <v>20</v>
      </c>
      <c r="E3589" s="12">
        <f>F3589/32</f>
        <v>1.5440322500000001E-2</v>
      </c>
      <c r="F3589" s="12">
        <f>Systems!L184</f>
        <v>0.49409032000000003</v>
      </c>
      <c r="G3589" s="1" t="s">
        <v>23</v>
      </c>
      <c r="H3589" s="1" t="s">
        <v>7427</v>
      </c>
    </row>
    <row r="3590" spans="1:8">
      <c r="A3590" s="1" t="s">
        <v>2173</v>
      </c>
      <c r="B3590" s="1" t="s">
        <v>26</v>
      </c>
      <c r="C3590" s="1" t="s">
        <v>17</v>
      </c>
      <c r="D3590" s="1" t="s">
        <v>20</v>
      </c>
      <c r="E3590" s="12">
        <f>F3590/16</f>
        <v>3.0880645000000002E-2</v>
      </c>
      <c r="F3590" s="12">
        <f>Systems!L184</f>
        <v>0.49409032000000003</v>
      </c>
      <c r="G3590" s="1" t="s">
        <v>23</v>
      </c>
      <c r="H3590" s="1" t="s">
        <v>7427</v>
      </c>
    </row>
    <row r="3591" spans="1:8">
      <c r="A3591" s="1" t="s">
        <v>1019</v>
      </c>
      <c r="B3591" s="1" t="s">
        <v>26</v>
      </c>
      <c r="C3591" s="1" t="s">
        <v>17</v>
      </c>
      <c r="D3591" s="1" t="s">
        <v>20</v>
      </c>
      <c r="E3591" s="12">
        <f>F3591</f>
        <v>0.49409032000000003</v>
      </c>
      <c r="F3591" s="12">
        <f>Systems!L184</f>
        <v>0.49409032000000003</v>
      </c>
      <c r="G3591" s="1" t="s">
        <v>23</v>
      </c>
      <c r="H3591" s="1" t="s">
        <v>7427</v>
      </c>
    </row>
    <row r="3592" spans="1:8">
      <c r="A3592" s="248"/>
      <c r="B3592" s="248"/>
      <c r="C3592" s="248"/>
      <c r="D3592" s="248"/>
      <c r="E3592" s="250"/>
      <c r="F3592" s="250"/>
      <c r="G3592" s="248"/>
      <c r="H3592" s="248"/>
    </row>
    <row r="3593" spans="1:8">
      <c r="A3593" s="1" t="s">
        <v>1422</v>
      </c>
      <c r="B3593" s="1" t="s">
        <v>26</v>
      </c>
      <c r="C3593" s="1" t="s">
        <v>3033</v>
      </c>
      <c r="D3593" s="1" t="s">
        <v>19</v>
      </c>
      <c r="E3593" s="12">
        <f>F3593/2</f>
        <v>0.4179525</v>
      </c>
      <c r="F3593" s="12">
        <f>Systems!D164</f>
        <v>0.83590500000000001</v>
      </c>
      <c r="G3593" s="1" t="s">
        <v>14</v>
      </c>
      <c r="H3593" s="1" t="s">
        <v>49</v>
      </c>
    </row>
    <row r="3594" spans="1:8">
      <c r="A3594" s="1" t="s">
        <v>1438</v>
      </c>
      <c r="B3594" s="1" t="s">
        <v>26</v>
      </c>
      <c r="C3594" s="1" t="s">
        <v>3033</v>
      </c>
      <c r="D3594" s="1" t="s">
        <v>19</v>
      </c>
      <c r="E3594" s="12">
        <f>F3594/8</f>
        <v>0.104488125</v>
      </c>
      <c r="F3594" s="12">
        <f>Systems!D164</f>
        <v>0.83590500000000001</v>
      </c>
      <c r="G3594" s="1" t="s">
        <v>14</v>
      </c>
      <c r="H3594" s="1" t="s">
        <v>49</v>
      </c>
    </row>
    <row r="3595" spans="1:8">
      <c r="A3595" s="1" t="s">
        <v>1421</v>
      </c>
      <c r="B3595" s="1" t="s">
        <v>26</v>
      </c>
      <c r="C3595" s="1" t="s">
        <v>3033</v>
      </c>
      <c r="D3595" s="1" t="s">
        <v>19</v>
      </c>
      <c r="E3595" s="12">
        <f>F3595/2</f>
        <v>0.4179525</v>
      </c>
      <c r="F3595" s="12">
        <f>Systems!D164</f>
        <v>0.83590500000000001</v>
      </c>
      <c r="G3595" s="1" t="s">
        <v>14</v>
      </c>
      <c r="H3595" s="1" t="s">
        <v>49</v>
      </c>
    </row>
    <row r="3596" spans="1:8">
      <c r="A3596" s="1" t="s">
        <v>1525</v>
      </c>
      <c r="B3596" s="1" t="s">
        <v>26</v>
      </c>
      <c r="C3596" s="1" t="s">
        <v>3033</v>
      </c>
      <c r="D3596" s="1" t="s">
        <v>19</v>
      </c>
      <c r="E3596" s="12">
        <f>F3596/48</f>
        <v>1.7414687500000001E-2</v>
      </c>
      <c r="F3596" s="12">
        <f>Systems!D164</f>
        <v>0.83590500000000001</v>
      </c>
      <c r="G3596" s="1" t="s">
        <v>14</v>
      </c>
      <c r="H3596" s="1" t="s">
        <v>49</v>
      </c>
    </row>
    <row r="3597" spans="1:8">
      <c r="A3597" s="1" t="s">
        <v>1583</v>
      </c>
      <c r="B3597" s="1" t="s">
        <v>26</v>
      </c>
      <c r="C3597" s="1" t="s">
        <v>3033</v>
      </c>
      <c r="D3597" s="1" t="s">
        <v>19</v>
      </c>
      <c r="E3597" s="12">
        <f>4*F3597</f>
        <v>3.34362</v>
      </c>
      <c r="F3597" s="12">
        <f>Systems!D164</f>
        <v>0.83590500000000001</v>
      </c>
      <c r="G3597" s="1" t="s">
        <v>14</v>
      </c>
      <c r="H3597" s="1" t="s">
        <v>49</v>
      </c>
    </row>
    <row r="3598" spans="1:8">
      <c r="A3598" s="1" t="s">
        <v>1585</v>
      </c>
      <c r="B3598" s="1" t="s">
        <v>26</v>
      </c>
      <c r="C3598" s="1" t="s">
        <v>3033</v>
      </c>
      <c r="D3598" s="1" t="s">
        <v>19</v>
      </c>
      <c r="E3598" s="12">
        <f>2*F3598</f>
        <v>1.67181</v>
      </c>
      <c r="F3598" s="12">
        <f>Systems!D164</f>
        <v>0.83590500000000001</v>
      </c>
      <c r="G3598" s="1" t="s">
        <v>14</v>
      </c>
      <c r="H3598" s="1" t="s">
        <v>49</v>
      </c>
    </row>
    <row r="3599" spans="1:8">
      <c r="A3599" s="1" t="s">
        <v>1238</v>
      </c>
      <c r="B3599" s="1" t="s">
        <v>26</v>
      </c>
      <c r="C3599" s="1" t="s">
        <v>3033</v>
      </c>
      <c r="D3599" s="1" t="s">
        <v>19</v>
      </c>
      <c r="E3599" s="12">
        <f>F3599/16</f>
        <v>0.02</v>
      </c>
      <c r="F3599" s="12">
        <f>Systems!D31</f>
        <v>0.32</v>
      </c>
      <c r="G3599" s="1" t="s">
        <v>14</v>
      </c>
      <c r="H3599" s="1" t="s">
        <v>49</v>
      </c>
    </row>
    <row r="3600" spans="1:8">
      <c r="A3600" s="1" t="s">
        <v>200</v>
      </c>
      <c r="B3600" s="1" t="s">
        <v>6949</v>
      </c>
      <c r="C3600" s="1" t="s">
        <v>3033</v>
      </c>
      <c r="D3600" s="1" t="s">
        <v>19</v>
      </c>
      <c r="E3600" s="12">
        <f>F3600/3</f>
        <v>0.27863500000000002</v>
      </c>
      <c r="F3600" s="12">
        <f>Systems!D164</f>
        <v>0.83590500000000001</v>
      </c>
      <c r="G3600" s="1" t="s">
        <v>14</v>
      </c>
      <c r="H3600" s="1" t="s">
        <v>49</v>
      </c>
    </row>
    <row r="3601" spans="1:8">
      <c r="A3601" s="1" t="s">
        <v>1945</v>
      </c>
      <c r="B3601" s="1" t="s">
        <v>26</v>
      </c>
      <c r="C3601" s="1" t="s">
        <v>3033</v>
      </c>
      <c r="D3601" s="1" t="s">
        <v>19</v>
      </c>
      <c r="E3601" s="12">
        <f>5000*F3601</f>
        <v>4179.5249999999996</v>
      </c>
      <c r="F3601" s="12">
        <f>Systems!D164</f>
        <v>0.83590500000000001</v>
      </c>
      <c r="G3601" s="1" t="s">
        <v>14</v>
      </c>
      <c r="H3601" s="1" t="s">
        <v>49</v>
      </c>
    </row>
    <row r="3602" spans="1:8">
      <c r="A3602" s="1" t="s">
        <v>1964</v>
      </c>
      <c r="B3602" s="1" t="s">
        <v>26</v>
      </c>
      <c r="C3602" s="1" t="s">
        <v>3033</v>
      </c>
      <c r="D3602" s="1" t="s">
        <v>19</v>
      </c>
      <c r="E3602" s="12">
        <f>1/576</f>
        <v>1.736111111111111E-3</v>
      </c>
      <c r="F3602" s="12">
        <f>Systems!D164</f>
        <v>0.83590500000000001</v>
      </c>
      <c r="G3602" s="1" t="s">
        <v>14</v>
      </c>
      <c r="H3602" s="1" t="s">
        <v>49</v>
      </c>
    </row>
    <row r="3603" spans="1:8">
      <c r="A3603" s="1" t="s">
        <v>2071</v>
      </c>
      <c r="B3603" s="1" t="s">
        <v>26</v>
      </c>
      <c r="C3603" s="1" t="s">
        <v>3033</v>
      </c>
      <c r="D3603" s="1" t="s">
        <v>19</v>
      </c>
      <c r="E3603" s="12">
        <f>5000*F3603/3</f>
        <v>1393.175</v>
      </c>
      <c r="F3603" s="12">
        <f>Systems!D164</f>
        <v>0.83590500000000001</v>
      </c>
      <c r="G3603" s="1" t="s">
        <v>14</v>
      </c>
      <c r="H3603" s="1" t="s">
        <v>49</v>
      </c>
    </row>
    <row r="3604" spans="1:8">
      <c r="A3604" s="1" t="s">
        <v>1012</v>
      </c>
      <c r="B3604" s="1" t="s">
        <v>26</v>
      </c>
      <c r="C3604" s="1" t="s">
        <v>3033</v>
      </c>
      <c r="D3604" s="1" t="s">
        <v>19</v>
      </c>
      <c r="E3604" s="12">
        <f>F3604/4</f>
        <v>0.20897625</v>
      </c>
      <c r="F3604" s="12">
        <f>Systems!D164</f>
        <v>0.83590500000000001</v>
      </c>
      <c r="G3604" s="1" t="s">
        <v>14</v>
      </c>
      <c r="H3604" s="1" t="s">
        <v>49</v>
      </c>
    </row>
    <row r="3605" spans="1:8">
      <c r="A3605" s="1" t="s">
        <v>2215</v>
      </c>
      <c r="B3605" s="1" t="s">
        <v>26</v>
      </c>
      <c r="C3605" s="1" t="s">
        <v>3033</v>
      </c>
      <c r="D3605" s="1" t="s">
        <v>19</v>
      </c>
      <c r="E3605" s="12">
        <f>F3605/4</f>
        <v>0.20897625</v>
      </c>
      <c r="F3605" s="12">
        <f>Systems!D164</f>
        <v>0.83590500000000001</v>
      </c>
      <c r="G3605" s="1" t="s">
        <v>14</v>
      </c>
      <c r="H3605" s="1" t="s">
        <v>49</v>
      </c>
    </row>
    <row r="3606" spans="1:8">
      <c r="A3606" s="1" t="s">
        <v>2233</v>
      </c>
      <c r="B3606" s="1" t="s">
        <v>26</v>
      </c>
      <c r="C3606" s="1" t="s">
        <v>3033</v>
      </c>
      <c r="D3606" s="1" t="s">
        <v>19</v>
      </c>
      <c r="E3606" s="12">
        <f>5*F3606/3</f>
        <v>1.3931750000000001</v>
      </c>
      <c r="F3606" s="12">
        <f>Systems!D164</f>
        <v>0.83590500000000001</v>
      </c>
      <c r="G3606" s="1" t="s">
        <v>14</v>
      </c>
      <c r="H3606" s="1" t="s">
        <v>49</v>
      </c>
    </row>
    <row r="3607" spans="1:8">
      <c r="A3607" s="1" t="s">
        <v>2234</v>
      </c>
      <c r="B3607" s="1" t="s">
        <v>26</v>
      </c>
      <c r="C3607" s="1" t="s">
        <v>3033</v>
      </c>
      <c r="D3607" s="1" t="s">
        <v>19</v>
      </c>
      <c r="E3607" s="12">
        <f>5*F3607/3</f>
        <v>1.3931750000000001</v>
      </c>
      <c r="F3607" s="12">
        <f>Systems!D164</f>
        <v>0.83590500000000001</v>
      </c>
      <c r="G3607" s="1" t="s">
        <v>14</v>
      </c>
      <c r="H3607" s="1" t="s">
        <v>49</v>
      </c>
    </row>
    <row r="3608" spans="1:8">
      <c r="A3608" s="1" t="s">
        <v>933</v>
      </c>
      <c r="B3608" s="1" t="s">
        <v>26</v>
      </c>
      <c r="C3608" s="1" t="s">
        <v>3033</v>
      </c>
      <c r="D3608" s="1" t="s">
        <v>19</v>
      </c>
      <c r="E3608" s="12">
        <f>F3608/3</f>
        <v>0.27863500000000002</v>
      </c>
      <c r="F3608" s="12">
        <f>Systems!D164</f>
        <v>0.83590500000000001</v>
      </c>
      <c r="G3608" s="1" t="s">
        <v>14</v>
      </c>
      <c r="H3608" s="1" t="s">
        <v>49</v>
      </c>
    </row>
    <row r="3609" spans="1:8">
      <c r="A3609" s="1" t="s">
        <v>2306</v>
      </c>
      <c r="B3609" s="1" t="s">
        <v>26</v>
      </c>
      <c r="C3609" s="1" t="s">
        <v>3033</v>
      </c>
      <c r="D3609" s="1" t="s">
        <v>19</v>
      </c>
      <c r="E3609" s="12">
        <f>F3609/36</f>
        <v>2.3219583333333335E-2</v>
      </c>
      <c r="F3609" s="12">
        <f>Systems!D164</f>
        <v>0.83590500000000001</v>
      </c>
      <c r="G3609" s="1" t="s">
        <v>14</v>
      </c>
      <c r="H3609" s="1" t="s">
        <v>49</v>
      </c>
    </row>
    <row r="3610" spans="1:8">
      <c r="A3610" s="1" t="s">
        <v>2314</v>
      </c>
      <c r="B3610" s="1" t="s">
        <v>26</v>
      </c>
      <c r="C3610" s="1" t="s">
        <v>3033</v>
      </c>
      <c r="D3610" s="1" t="s">
        <v>19</v>
      </c>
      <c r="E3610" s="12">
        <f>F3610/6912</f>
        <v>1.2093532986111112E-4</v>
      </c>
      <c r="F3610" s="12">
        <f>Systems!D164</f>
        <v>0.83590500000000001</v>
      </c>
      <c r="G3610" s="1" t="s">
        <v>14</v>
      </c>
      <c r="H3610" s="1" t="s">
        <v>49</v>
      </c>
    </row>
    <row r="3611" spans="1:8">
      <c r="A3611" s="1" t="s">
        <v>2485</v>
      </c>
      <c r="B3611" s="1" t="s">
        <v>26</v>
      </c>
      <c r="C3611" s="1" t="s">
        <v>3033</v>
      </c>
      <c r="D3611" s="1" t="s">
        <v>19</v>
      </c>
      <c r="E3611" s="12">
        <f>F3611/6</f>
        <v>0.13931750000000001</v>
      </c>
      <c r="F3611" s="12">
        <f>Systems!D164</f>
        <v>0.83590500000000001</v>
      </c>
      <c r="G3611" s="1" t="s">
        <v>14</v>
      </c>
      <c r="H3611" s="1" t="s">
        <v>49</v>
      </c>
    </row>
    <row r="3612" spans="1:8">
      <c r="A3612" s="1" t="s">
        <v>2672</v>
      </c>
      <c r="B3612" s="1" t="s">
        <v>26</v>
      </c>
      <c r="C3612" s="1" t="s">
        <v>3033</v>
      </c>
      <c r="D3612" s="1" t="s">
        <v>19</v>
      </c>
      <c r="E3612" s="12">
        <f>2*F3612</f>
        <v>1.67181</v>
      </c>
      <c r="F3612" s="12">
        <f>Systems!D164</f>
        <v>0.83590500000000001</v>
      </c>
      <c r="G3612" s="1" t="s">
        <v>14</v>
      </c>
      <c r="H3612" s="1" t="s">
        <v>49</v>
      </c>
    </row>
    <row r="3613" spans="1:8">
      <c r="A3613" s="1" t="s">
        <v>821</v>
      </c>
      <c r="B3613" s="1" t="s">
        <v>26</v>
      </c>
      <c r="C3613" s="1" t="s">
        <v>3033</v>
      </c>
      <c r="D3613" s="1" t="s">
        <v>19</v>
      </c>
      <c r="E3613" s="12">
        <f>F3613</f>
        <v>0.83590500000000001</v>
      </c>
      <c r="F3613" s="12">
        <f>Systems!D164</f>
        <v>0.83590500000000001</v>
      </c>
      <c r="G3613" s="1" t="s">
        <v>14</v>
      </c>
      <c r="H3613" s="1" t="s">
        <v>49</v>
      </c>
    </row>
    <row r="3614" spans="1:8" ht="16.5">
      <c r="A3614" s="1" t="s">
        <v>1220</v>
      </c>
      <c r="B3614" s="1" t="s">
        <v>26</v>
      </c>
      <c r="C3614" s="1" t="s">
        <v>3034</v>
      </c>
      <c r="D3614" s="1" t="s">
        <v>38</v>
      </c>
      <c r="E3614" s="12">
        <f>6400*F3614</f>
        <v>4471.9178817600005</v>
      </c>
      <c r="F3614" s="12">
        <f>Systems!H164</f>
        <v>0.69873716902500005</v>
      </c>
      <c r="G3614" s="1" t="s">
        <v>39</v>
      </c>
      <c r="H3614" s="1" t="s">
        <v>49</v>
      </c>
    </row>
    <row r="3615" spans="1:8" ht="16.5">
      <c r="A3615" s="1" t="s">
        <v>1342</v>
      </c>
      <c r="B3615" s="1" t="s">
        <v>26</v>
      </c>
      <c r="C3615" s="1" t="s">
        <v>3034</v>
      </c>
      <c r="D3615" s="1" t="s">
        <v>38</v>
      </c>
      <c r="E3615" s="12">
        <f>768*F3615</f>
        <v>536.63014581120001</v>
      </c>
      <c r="F3615" s="12">
        <f>POWER(Systems!D164,2)</f>
        <v>0.69873716902500005</v>
      </c>
      <c r="G3615" s="1" t="s">
        <v>39</v>
      </c>
      <c r="H3615" s="1" t="s">
        <v>49</v>
      </c>
    </row>
    <row r="3616" spans="1:8" ht="16.5">
      <c r="A3616" s="1" t="s">
        <v>1449</v>
      </c>
      <c r="B3616" s="1" t="s">
        <v>26</v>
      </c>
      <c r="C3616" s="1" t="s">
        <v>3034</v>
      </c>
      <c r="D3616" s="1" t="s">
        <v>38</v>
      </c>
      <c r="E3616" s="12">
        <f>25*F3616</f>
        <v>17.468429225625002</v>
      </c>
      <c r="F3616" s="12">
        <f>POWER(Systems!D164,2)</f>
        <v>0.69873716902500005</v>
      </c>
      <c r="G3616" s="1" t="s">
        <v>39</v>
      </c>
      <c r="H3616" s="1" t="s">
        <v>49</v>
      </c>
    </row>
    <row r="3617" spans="1:8" ht="16.5">
      <c r="A3617" s="1" t="s">
        <v>934</v>
      </c>
      <c r="B3617" s="1" t="s">
        <v>26</v>
      </c>
      <c r="C3617" s="1" t="s">
        <v>3034</v>
      </c>
      <c r="D3617" s="1" t="s">
        <v>38</v>
      </c>
      <c r="E3617" s="12">
        <f>9216*F3617</f>
        <v>6439.5617497344001</v>
      </c>
      <c r="F3617" s="12">
        <f>POWER(Systems!D164,2)</f>
        <v>0.69873716902500005</v>
      </c>
      <c r="G3617" s="1" t="s">
        <v>39</v>
      </c>
      <c r="H3617" s="1" t="s">
        <v>49</v>
      </c>
    </row>
    <row r="3618" spans="1:8" ht="16.5">
      <c r="A3618" s="1" t="s">
        <v>1919</v>
      </c>
      <c r="B3618" s="1" t="s">
        <v>26</v>
      </c>
      <c r="C3618" s="1" t="s">
        <v>3034</v>
      </c>
      <c r="D3618" s="1" t="s">
        <v>38</v>
      </c>
      <c r="E3618" s="12">
        <f>1000000*F3618</f>
        <v>698737.16902500007</v>
      </c>
      <c r="F3618" s="12">
        <f>Systems!H164</f>
        <v>0.69873716902500005</v>
      </c>
      <c r="G3618" s="1" t="s">
        <v>39</v>
      </c>
      <c r="H3618" s="1" t="s">
        <v>49</v>
      </c>
    </row>
    <row r="3619" spans="1:8" ht="16.5">
      <c r="A3619" s="1" t="s">
        <v>1920</v>
      </c>
      <c r="B3619" s="1" t="s">
        <v>26</v>
      </c>
      <c r="C3619" s="1" t="s">
        <v>3034</v>
      </c>
      <c r="D3619" s="1" t="s">
        <v>38</v>
      </c>
      <c r="E3619" s="12">
        <f>1000000*F3619</f>
        <v>698737.16902500007</v>
      </c>
      <c r="F3619" s="12">
        <f>Systems!H164</f>
        <v>0.69873716902500005</v>
      </c>
      <c r="G3619" s="1" t="s">
        <v>39</v>
      </c>
      <c r="H3619" s="1" t="s">
        <v>49</v>
      </c>
    </row>
    <row r="3620" spans="1:8" ht="16.5">
      <c r="A3620" s="1" t="s">
        <v>1938</v>
      </c>
      <c r="B3620" s="1" t="s">
        <v>26</v>
      </c>
      <c r="C3620" s="1" t="s">
        <v>3034</v>
      </c>
      <c r="D3620" s="1" t="s">
        <v>38</v>
      </c>
      <c r="E3620" s="12">
        <f>25000000*F3620</f>
        <v>17468429.225625001</v>
      </c>
      <c r="F3620" s="12">
        <f>Systems!H164</f>
        <v>0.69873716902500005</v>
      </c>
      <c r="G3620" s="1" t="s">
        <v>39</v>
      </c>
      <c r="H3620" s="1" t="s">
        <v>49</v>
      </c>
    </row>
    <row r="3621" spans="1:8" ht="16.5">
      <c r="A3621" s="1" t="s">
        <v>4513</v>
      </c>
      <c r="B3621" s="1" t="s">
        <v>26</v>
      </c>
      <c r="C3621" s="1" t="s">
        <v>3034</v>
      </c>
      <c r="D3621" s="1" t="s">
        <v>38</v>
      </c>
      <c r="E3621" s="12">
        <f>F3621</f>
        <v>0.69873716902500005</v>
      </c>
      <c r="F3621" s="12">
        <f>POWER(Systems!D164,2)</f>
        <v>0.69873716902500005</v>
      </c>
      <c r="G3621" s="1" t="s">
        <v>39</v>
      </c>
      <c r="H3621" s="1" t="s">
        <v>49</v>
      </c>
    </row>
    <row r="3622" spans="1:8" ht="16.5">
      <c r="A3622" s="1" t="s">
        <v>2812</v>
      </c>
      <c r="B3622" s="1" t="s">
        <v>26</v>
      </c>
      <c r="C3622" s="1" t="s">
        <v>3034</v>
      </c>
      <c r="D3622" s="1" t="s">
        <v>38</v>
      </c>
      <c r="E3622" s="12">
        <f>460800*F3622</f>
        <v>321978.08748672</v>
      </c>
      <c r="F3622" s="12">
        <f>POWER(Systems!D164,2)</f>
        <v>0.69873716902500005</v>
      </c>
      <c r="G3622" s="1" t="s">
        <v>39</v>
      </c>
      <c r="H3622" s="1" t="s">
        <v>49</v>
      </c>
    </row>
    <row r="3623" spans="1:8" ht="16.5">
      <c r="A3623" s="1" t="s">
        <v>1185</v>
      </c>
      <c r="B3623" s="1" t="s">
        <v>26</v>
      </c>
      <c r="C3623" s="1" t="s">
        <v>2936</v>
      </c>
      <c r="D3623" s="1" t="s">
        <v>32</v>
      </c>
      <c r="E3623" s="12">
        <f>F3623/12</f>
        <v>4.6250833333333335E-3</v>
      </c>
      <c r="F3623" s="12">
        <f>Systems!T164</f>
        <v>5.5501000000000002E-2</v>
      </c>
      <c r="G3623" s="1" t="s">
        <v>33</v>
      </c>
      <c r="H3623" s="1" t="s">
        <v>49</v>
      </c>
    </row>
    <row r="3624" spans="1:8" ht="16.5">
      <c r="A3624" s="1" t="s">
        <v>825</v>
      </c>
      <c r="B3624" s="1" t="s">
        <v>26</v>
      </c>
      <c r="C3624" s="1" t="s">
        <v>2936</v>
      </c>
      <c r="D3624" s="1" t="s">
        <v>32</v>
      </c>
      <c r="E3624" s="12">
        <f>F3624/12</f>
        <v>4.6250833333333335E-3</v>
      </c>
      <c r="F3624" s="12">
        <f>Systems!T164</f>
        <v>5.5501000000000002E-2</v>
      </c>
      <c r="G3624" s="1" t="s">
        <v>33</v>
      </c>
      <c r="H3624" s="1" t="s">
        <v>49</v>
      </c>
    </row>
    <row r="3625" spans="1:8" ht="16.5">
      <c r="A3625" s="1" t="s">
        <v>1339</v>
      </c>
      <c r="B3625" s="1" t="s">
        <v>26</v>
      </c>
      <c r="C3625" s="1" t="s">
        <v>2936</v>
      </c>
      <c r="D3625" s="1" t="s">
        <v>32</v>
      </c>
      <c r="E3625" s="12">
        <f>12*F3625</f>
        <v>0.66601200000000005</v>
      </c>
      <c r="F3625" s="12">
        <f>Systems!T164</f>
        <v>5.5501000000000002E-2</v>
      </c>
      <c r="G3625" s="1" t="s">
        <v>33</v>
      </c>
      <c r="H3625" s="1" t="s">
        <v>49</v>
      </c>
    </row>
    <row r="3626" spans="1:8" ht="16.5">
      <c r="A3626" s="1" t="s">
        <v>1342</v>
      </c>
      <c r="B3626" s="1" t="s">
        <v>26</v>
      </c>
      <c r="C3626" s="1" t="s">
        <v>2936</v>
      </c>
      <c r="D3626" s="1" t="s">
        <v>32</v>
      </c>
      <c r="E3626" s="12">
        <f>F3626/12</f>
        <v>4.6250833333333335E-3</v>
      </c>
      <c r="F3626" s="12">
        <f>Systems!T164</f>
        <v>5.5501000000000002E-2</v>
      </c>
      <c r="G3626" s="1" t="s">
        <v>33</v>
      </c>
      <c r="H3626" s="1" t="s">
        <v>49</v>
      </c>
    </row>
    <row r="3627" spans="1:8" ht="16.5">
      <c r="A3627" s="1" t="s">
        <v>1372</v>
      </c>
      <c r="B3627" s="1" t="s">
        <v>26</v>
      </c>
      <c r="C3627" s="1" t="s">
        <v>2936</v>
      </c>
      <c r="D3627" s="1" t="s">
        <v>32</v>
      </c>
      <c r="E3627" s="12">
        <f>F3627/12</f>
        <v>4.6250833333333335E-3</v>
      </c>
      <c r="F3627" s="12">
        <f>Systems!T164</f>
        <v>5.5501000000000002E-2</v>
      </c>
      <c r="G3627" s="1" t="s">
        <v>33</v>
      </c>
      <c r="H3627" s="1" t="s">
        <v>49</v>
      </c>
    </row>
    <row r="3628" spans="1:8" ht="16.5">
      <c r="A3628" s="1" t="s">
        <v>1449</v>
      </c>
      <c r="B3628" s="1" t="s">
        <v>26</v>
      </c>
      <c r="C3628" s="1" t="s">
        <v>2936</v>
      </c>
      <c r="D3628" s="1" t="s">
        <v>32</v>
      </c>
      <c r="E3628" s="12">
        <f>F3628/4</f>
        <v>1.387525E-2</v>
      </c>
      <c r="F3628" s="12">
        <f>Systems!T164</f>
        <v>5.5501000000000002E-2</v>
      </c>
      <c r="G3628" s="1" t="s">
        <v>33</v>
      </c>
      <c r="H3628" s="1" t="s">
        <v>49</v>
      </c>
    </row>
    <row r="3629" spans="1:8" ht="16.5">
      <c r="A3629" s="1" t="s">
        <v>936</v>
      </c>
      <c r="B3629" s="1" t="s">
        <v>26</v>
      </c>
      <c r="C3629" s="1" t="s">
        <v>2936</v>
      </c>
      <c r="D3629" s="1" t="s">
        <v>32</v>
      </c>
      <c r="E3629" s="12">
        <f>F3629/48</f>
        <v>1.1562708333333334E-3</v>
      </c>
      <c r="F3629" s="12">
        <f>Systems!T164</f>
        <v>5.5501000000000002E-2</v>
      </c>
      <c r="G3629" s="1" t="s">
        <v>33</v>
      </c>
      <c r="H3629" s="1" t="s">
        <v>49</v>
      </c>
    </row>
    <row r="3630" spans="1:8" ht="16.5">
      <c r="A3630" s="1" t="s">
        <v>823</v>
      </c>
      <c r="B3630" s="1" t="s">
        <v>26</v>
      </c>
      <c r="C3630" s="1" t="s">
        <v>2936</v>
      </c>
      <c r="D3630" s="1" t="s">
        <v>32</v>
      </c>
      <c r="E3630" s="12">
        <f>F3630</f>
        <v>5.5501000000000002E-2</v>
      </c>
      <c r="F3630" s="12">
        <f>Systems!T164</f>
        <v>5.5501000000000002E-2</v>
      </c>
      <c r="G3630" s="1" t="s">
        <v>33</v>
      </c>
      <c r="H3630" s="1" t="s">
        <v>49</v>
      </c>
    </row>
    <row r="3631" spans="1:8" ht="16.5">
      <c r="A3631" s="1" t="s">
        <v>934</v>
      </c>
      <c r="B3631" s="1" t="s">
        <v>26</v>
      </c>
      <c r="C3631" s="1" t="s">
        <v>2936</v>
      </c>
      <c r="D3631" s="1" t="s">
        <v>32</v>
      </c>
      <c r="E3631" s="12">
        <f>9216*F3631</f>
        <v>6439.5617497344001</v>
      </c>
      <c r="F3631" s="12">
        <f>POWER(Systems!D164,2)</f>
        <v>0.69873716902500005</v>
      </c>
      <c r="G3631" s="1" t="s">
        <v>33</v>
      </c>
      <c r="H3631" s="1" t="s">
        <v>49</v>
      </c>
    </row>
    <row r="3632" spans="1:8" ht="16.5">
      <c r="A3632" s="1" t="s">
        <v>2042</v>
      </c>
      <c r="B3632" s="1" t="s">
        <v>26</v>
      </c>
      <c r="C3632" s="1" t="s">
        <v>2936</v>
      </c>
      <c r="D3632" s="1" t="s">
        <v>32</v>
      </c>
      <c r="E3632" s="12">
        <f>F3632/24</f>
        <v>2.3125416666666667E-3</v>
      </c>
      <c r="F3632" s="12">
        <f>Systems!T164</f>
        <v>5.5501000000000002E-2</v>
      </c>
      <c r="G3632" s="1" t="s">
        <v>33</v>
      </c>
      <c r="H3632" s="1" t="s">
        <v>49</v>
      </c>
    </row>
    <row r="3633" spans="1:8" ht="16.5">
      <c r="A3633" s="1" t="s">
        <v>2154</v>
      </c>
      <c r="B3633" s="1" t="s">
        <v>26</v>
      </c>
      <c r="C3633" s="1" t="s">
        <v>2936</v>
      </c>
      <c r="D3633" s="1" t="s">
        <v>32</v>
      </c>
      <c r="E3633" s="12">
        <f>F3633/768</f>
        <v>7.2266927083333336E-5</v>
      </c>
      <c r="F3633" s="12">
        <f>Systems!T164</f>
        <v>5.5501000000000002E-2</v>
      </c>
      <c r="G3633" s="1" t="s">
        <v>33</v>
      </c>
      <c r="H3633" s="1" t="s">
        <v>49</v>
      </c>
    </row>
    <row r="3634" spans="1:8" ht="16.5">
      <c r="A3634" s="1" t="s">
        <v>2362</v>
      </c>
      <c r="B3634" s="1" t="s">
        <v>26</v>
      </c>
      <c r="C3634" s="1" t="s">
        <v>2936</v>
      </c>
      <c r="D3634" s="1" t="s">
        <v>32</v>
      </c>
      <c r="E3634" s="12">
        <f>F3634/192</f>
        <v>2.8906770833333334E-4</v>
      </c>
      <c r="F3634" s="12">
        <f>Systems!T164</f>
        <v>5.5501000000000002E-2</v>
      </c>
      <c r="G3634" s="1" t="s">
        <v>33</v>
      </c>
      <c r="H3634" s="1" t="s">
        <v>49</v>
      </c>
    </row>
    <row r="3635" spans="1:8" ht="16.5">
      <c r="A3635" s="1" t="s">
        <v>1018</v>
      </c>
      <c r="B3635" s="1" t="s">
        <v>26</v>
      </c>
      <c r="C3635" s="1" t="s">
        <v>2935</v>
      </c>
      <c r="D3635" s="1" t="s">
        <v>32</v>
      </c>
      <c r="E3635" s="12">
        <f>F3635</f>
        <v>1.2563E-2</v>
      </c>
      <c r="F3635" s="12">
        <f>Systems!P166</f>
        <v>1.2563E-2</v>
      </c>
      <c r="G3635" s="1" t="s">
        <v>33</v>
      </c>
      <c r="H3635" s="1" t="s">
        <v>49</v>
      </c>
    </row>
    <row r="3636" spans="1:8" ht="16.5">
      <c r="A3636" s="1" t="s">
        <v>5319</v>
      </c>
      <c r="B3636" s="1" t="s">
        <v>26</v>
      </c>
      <c r="C3636" s="1" t="s">
        <v>2935</v>
      </c>
      <c r="D3636" s="1" t="s">
        <v>32</v>
      </c>
      <c r="E3636" s="12">
        <f>F3636</f>
        <v>1.5643161999999999E-2</v>
      </c>
      <c r="F3636" s="12">
        <f>Systems!P164</f>
        <v>1.5643161999999999E-2</v>
      </c>
      <c r="G3636" s="1" t="s">
        <v>33</v>
      </c>
      <c r="H3636" s="1" t="s">
        <v>49</v>
      </c>
    </row>
    <row r="3637" spans="1:8" ht="16.5">
      <c r="A3637" s="1" t="s">
        <v>5320</v>
      </c>
      <c r="B3637" s="1" t="s">
        <v>26</v>
      </c>
      <c r="C3637" s="1" t="s">
        <v>2935</v>
      </c>
      <c r="D3637" s="1" t="s">
        <v>32</v>
      </c>
      <c r="E3637" s="12">
        <f>F3637</f>
        <v>1.6133000000000002E-2</v>
      </c>
      <c r="F3637" s="12">
        <f>Systems!P165</f>
        <v>1.6133000000000002E-2</v>
      </c>
      <c r="G3637" s="1" t="s">
        <v>33</v>
      </c>
      <c r="H3637" s="1" t="s">
        <v>49</v>
      </c>
    </row>
    <row r="3638" spans="1:8" ht="16.5">
      <c r="A3638" s="1" t="s">
        <v>1245</v>
      </c>
      <c r="B3638" s="1" t="s">
        <v>26</v>
      </c>
      <c r="C3638" s="1" t="s">
        <v>2935</v>
      </c>
      <c r="D3638" s="1" t="s">
        <v>32</v>
      </c>
      <c r="E3638" s="12">
        <f>F3638/8</f>
        <v>1.9553952499999998E-3</v>
      </c>
      <c r="F3638" s="12">
        <f>Systems!P164</f>
        <v>1.5643161999999999E-2</v>
      </c>
      <c r="G3638" s="1" t="s">
        <v>33</v>
      </c>
      <c r="H3638" s="1" t="s">
        <v>49</v>
      </c>
    </row>
    <row r="3639" spans="1:8" ht="16.5">
      <c r="A3639" s="1" t="s">
        <v>1305</v>
      </c>
      <c r="B3639" s="1" t="s">
        <v>26</v>
      </c>
      <c r="C3639" s="1" t="s">
        <v>2935</v>
      </c>
      <c r="D3639" s="1" t="s">
        <v>32</v>
      </c>
      <c r="E3639" s="12">
        <f>30*F3639</f>
        <v>0.46929485999999998</v>
      </c>
      <c r="F3639" s="12">
        <f>Systems!P164</f>
        <v>1.5643161999999999E-2</v>
      </c>
      <c r="G3639" s="1" t="s">
        <v>33</v>
      </c>
      <c r="H3639" s="1" t="s">
        <v>49</v>
      </c>
    </row>
    <row r="3640" spans="1:8" ht="16.5">
      <c r="A3640" s="1" t="s">
        <v>1352</v>
      </c>
      <c r="B3640" s="1" t="s">
        <v>26</v>
      </c>
      <c r="C3640" s="1" t="s">
        <v>2935</v>
      </c>
      <c r="D3640" s="1" t="s">
        <v>32</v>
      </c>
      <c r="E3640" s="12">
        <f>F3640</f>
        <v>1.5643161999999999E-2</v>
      </c>
      <c r="F3640" s="12">
        <f>Systems!P164</f>
        <v>1.5643161999999999E-2</v>
      </c>
      <c r="G3640" s="1" t="s">
        <v>33</v>
      </c>
      <c r="H3640" s="1" t="s">
        <v>49</v>
      </c>
    </row>
    <row r="3641" spans="1:8" ht="16.5">
      <c r="A3641" s="1" t="s">
        <v>1432</v>
      </c>
      <c r="B3641" s="1" t="s">
        <v>26</v>
      </c>
      <c r="C3641" s="1" t="s">
        <v>2935</v>
      </c>
      <c r="D3641" s="1" t="s">
        <v>32</v>
      </c>
      <c r="E3641" s="12">
        <f>F3641/128</f>
        <v>1.2221220312499999E-4</v>
      </c>
      <c r="F3641" s="12">
        <f>Systems!P164</f>
        <v>1.5643161999999999E-2</v>
      </c>
      <c r="G3641" s="1" t="s">
        <v>33</v>
      </c>
      <c r="H3641" s="1" t="s">
        <v>49</v>
      </c>
    </row>
    <row r="3642" spans="1:8" ht="16.5">
      <c r="A3642" s="1" t="s">
        <v>1449</v>
      </c>
      <c r="B3642" s="1" t="s">
        <v>26</v>
      </c>
      <c r="C3642" s="1" t="s">
        <v>2935</v>
      </c>
      <c r="D3642" s="1" t="s">
        <v>32</v>
      </c>
      <c r="E3642" s="12">
        <f>F3642/4</f>
        <v>3.9107904999999997E-3</v>
      </c>
      <c r="F3642" s="12">
        <f>Systems!P164</f>
        <v>1.5643161999999999E-2</v>
      </c>
      <c r="G3642" s="1" t="s">
        <v>33</v>
      </c>
      <c r="H3642" s="1" t="s">
        <v>49</v>
      </c>
    </row>
    <row r="3643" spans="1:8" ht="16.5">
      <c r="A3643" s="1" t="s">
        <v>936</v>
      </c>
      <c r="B3643" s="1" t="s">
        <v>26</v>
      </c>
      <c r="C3643" s="1" t="s">
        <v>2935</v>
      </c>
      <c r="D3643" s="1" t="s">
        <v>32</v>
      </c>
      <c r="E3643" s="12">
        <f>F3643/32</f>
        <v>4.8884881249999996E-4</v>
      </c>
      <c r="F3643" s="12">
        <f>Systems!P164</f>
        <v>1.5643161999999999E-2</v>
      </c>
      <c r="G3643" s="1" t="s">
        <v>33</v>
      </c>
      <c r="H3643" s="1" t="s">
        <v>49</v>
      </c>
    </row>
    <row r="3644" spans="1:8" ht="16.5">
      <c r="A3644" s="1" t="s">
        <v>2099</v>
      </c>
      <c r="B3644" s="1" t="s">
        <v>26</v>
      </c>
      <c r="C3644" s="1" t="s">
        <v>2935</v>
      </c>
      <c r="D3644" s="1" t="s">
        <v>32</v>
      </c>
      <c r="E3644" s="12">
        <f>16*F3644</f>
        <v>0.25029059199999998</v>
      </c>
      <c r="F3644" s="12">
        <f>Systems!P164</f>
        <v>1.5643161999999999E-2</v>
      </c>
      <c r="G3644" s="1" t="s">
        <v>33</v>
      </c>
      <c r="H3644" s="1" t="s">
        <v>49</v>
      </c>
    </row>
    <row r="3645" spans="1:8" ht="16.5">
      <c r="A3645" s="1" t="s">
        <v>2221</v>
      </c>
      <c r="B3645" s="1" t="s">
        <v>26</v>
      </c>
      <c r="C3645" s="1" t="s">
        <v>2935</v>
      </c>
      <c r="D3645" s="1" t="s">
        <v>32</v>
      </c>
      <c r="E3645" s="12">
        <f>F3645/100</f>
        <v>1.5643162E-4</v>
      </c>
      <c r="F3645" s="12">
        <f>Systems!P164</f>
        <v>1.5643161999999999E-2</v>
      </c>
      <c r="G3645" s="1" t="s">
        <v>33</v>
      </c>
      <c r="H3645" s="1" t="s">
        <v>49</v>
      </c>
    </row>
    <row r="3646" spans="1:8" ht="16.5">
      <c r="A3646" s="1" t="s">
        <v>2277</v>
      </c>
      <c r="B3646" s="1" t="s">
        <v>26</v>
      </c>
      <c r="C3646" s="1" t="s">
        <v>2935</v>
      </c>
      <c r="D3646" s="1" t="s">
        <v>32</v>
      </c>
      <c r="E3646" s="12">
        <f>27*F3646</f>
        <v>0.42236537399999996</v>
      </c>
      <c r="F3646" s="12">
        <f>Systems!P164</f>
        <v>1.5643161999999999E-2</v>
      </c>
      <c r="G3646" s="1" t="s">
        <v>33</v>
      </c>
      <c r="H3646" s="1" t="s">
        <v>49</v>
      </c>
    </row>
    <row r="3647" spans="1:8">
      <c r="A3647" s="1" t="s">
        <v>1163</v>
      </c>
      <c r="B3647" s="1" t="s">
        <v>26</v>
      </c>
      <c r="C3647" s="1" t="s">
        <v>17</v>
      </c>
      <c r="D3647" s="1" t="s">
        <v>20</v>
      </c>
      <c r="E3647" s="12">
        <f>F3647/256</f>
        <v>1.7972382812499999E-3</v>
      </c>
      <c r="F3647" s="12">
        <f>Systems!L164</f>
        <v>0.46009299999999997</v>
      </c>
      <c r="G3647" s="1" t="s">
        <v>23</v>
      </c>
      <c r="H3647" s="1" t="s">
        <v>49</v>
      </c>
    </row>
    <row r="3648" spans="1:8">
      <c r="A3648" s="1" t="s">
        <v>1226</v>
      </c>
      <c r="B3648" s="1" t="s">
        <v>26</v>
      </c>
      <c r="C3648" s="1" t="s">
        <v>17</v>
      </c>
      <c r="D3648" s="1" t="s">
        <v>20</v>
      </c>
      <c r="E3648" s="12">
        <f>F3648/2304</f>
        <v>1.996931423611111E-4</v>
      </c>
      <c r="F3648" s="12">
        <f>Systems!L164</f>
        <v>0.46009299999999997</v>
      </c>
      <c r="G3648" s="1" t="s">
        <v>23</v>
      </c>
      <c r="H3648" s="1" t="s">
        <v>49</v>
      </c>
    </row>
    <row r="3649" spans="1:8">
      <c r="A3649" s="1" t="s">
        <v>1018</v>
      </c>
      <c r="B3649" s="1" t="s">
        <v>26</v>
      </c>
      <c r="C3649" s="1" t="s">
        <v>17</v>
      </c>
      <c r="D3649" s="1" t="s">
        <v>20</v>
      </c>
      <c r="E3649" s="12">
        <f>25*F3649</f>
        <v>11.502324999999999</v>
      </c>
      <c r="F3649" s="12">
        <f>Systems!L164</f>
        <v>0.46009299999999997</v>
      </c>
      <c r="G3649" s="1" t="s">
        <v>23</v>
      </c>
      <c r="H3649" s="1" t="s">
        <v>49</v>
      </c>
    </row>
    <row r="3650" spans="1:8">
      <c r="A3650" s="1" t="s">
        <v>1268</v>
      </c>
      <c r="B3650" s="1" t="s">
        <v>26</v>
      </c>
      <c r="C3650" s="1" t="s">
        <v>17</v>
      </c>
      <c r="D3650" s="1" t="s">
        <v>20</v>
      </c>
      <c r="E3650" s="12">
        <f>50*F3650</f>
        <v>23.004649999999998</v>
      </c>
      <c r="F3650" s="12">
        <f>Systems!L164</f>
        <v>0.46009299999999997</v>
      </c>
      <c r="G3650" s="1" t="s">
        <v>23</v>
      </c>
      <c r="H3650" s="1" t="s">
        <v>49</v>
      </c>
    </row>
    <row r="3651" spans="1:8">
      <c r="A3651" s="1" t="s">
        <v>1529</v>
      </c>
      <c r="B3651" s="1" t="s">
        <v>26</v>
      </c>
      <c r="C3651" s="1" t="s">
        <v>17</v>
      </c>
      <c r="D3651" s="1" t="s">
        <v>20</v>
      </c>
      <c r="E3651" s="12">
        <f>F3651/384</f>
        <v>1.1981588541666666E-3</v>
      </c>
      <c r="F3651" s="12">
        <f>Systems!L164</f>
        <v>0.46009299999999997</v>
      </c>
      <c r="G3651" s="1" t="s">
        <v>23</v>
      </c>
      <c r="H3651" s="1" t="s">
        <v>49</v>
      </c>
    </row>
    <row r="3652" spans="1:8">
      <c r="A3652" s="1" t="s">
        <v>1582</v>
      </c>
      <c r="B3652" s="1" t="s">
        <v>26</v>
      </c>
      <c r="C3652" s="1" t="s">
        <v>17</v>
      </c>
      <c r="D3652" s="1" t="s">
        <v>20</v>
      </c>
      <c r="E3652" s="12">
        <f>F3652/64</f>
        <v>7.1889531249999996E-3</v>
      </c>
      <c r="F3652" s="12">
        <f>Systems!L164</f>
        <v>0.46009299999999997</v>
      </c>
      <c r="G3652" s="1" t="s">
        <v>23</v>
      </c>
      <c r="H3652" s="1" t="s">
        <v>49</v>
      </c>
    </row>
    <row r="3653" spans="1:8">
      <c r="A3653" s="1" t="s">
        <v>1694</v>
      </c>
      <c r="B3653" s="1" t="s">
        <v>26</v>
      </c>
      <c r="C3653" s="1" t="s">
        <v>17</v>
      </c>
      <c r="D3653" s="1" t="s">
        <v>20</v>
      </c>
      <c r="E3653" s="12">
        <f>F3653/9216</f>
        <v>4.9923285590277775E-5</v>
      </c>
      <c r="F3653" s="12">
        <f>Systems!L164</f>
        <v>0.46009299999999997</v>
      </c>
      <c r="G3653" s="1" t="s">
        <v>23</v>
      </c>
      <c r="H3653" s="1" t="s">
        <v>49</v>
      </c>
    </row>
    <row r="3654" spans="1:8">
      <c r="A3654" s="1" t="s">
        <v>822</v>
      </c>
      <c r="B3654" s="1" t="s">
        <v>26</v>
      </c>
      <c r="C3654" s="1" t="s">
        <v>17</v>
      </c>
      <c r="D3654" s="1" t="s">
        <v>20</v>
      </c>
      <c r="E3654" s="12">
        <f>F3654</f>
        <v>0.46009299999999997</v>
      </c>
      <c r="F3654" s="12">
        <f>Systems!L164</f>
        <v>0.46009299999999997</v>
      </c>
      <c r="G3654" s="1" t="s">
        <v>23</v>
      </c>
      <c r="H3654" s="1" t="s">
        <v>49</v>
      </c>
    </row>
    <row r="3655" spans="1:8">
      <c r="A3655" s="1" t="s">
        <v>2016</v>
      </c>
      <c r="B3655" s="1" t="s">
        <v>26</v>
      </c>
      <c r="C3655" s="1" t="s">
        <v>17</v>
      </c>
      <c r="D3655" s="1" t="s">
        <v>20</v>
      </c>
      <c r="E3655" s="12">
        <f>F3655/2</f>
        <v>0.23004649999999999</v>
      </c>
      <c r="F3655" s="12">
        <f>Systems!L164</f>
        <v>0.46009299999999997</v>
      </c>
      <c r="G3655" s="1" t="s">
        <v>23</v>
      </c>
      <c r="H3655" s="1" t="s">
        <v>49</v>
      </c>
    </row>
    <row r="3656" spans="1:8">
      <c r="A3656" s="1" t="s">
        <v>2153</v>
      </c>
      <c r="B3656" s="1" t="s">
        <v>26</v>
      </c>
      <c r="C3656" s="1" t="s">
        <v>17</v>
      </c>
      <c r="D3656" s="1" t="s">
        <v>20</v>
      </c>
      <c r="E3656" s="12">
        <f>F3656/128</f>
        <v>3.5944765624999998E-3</v>
      </c>
      <c r="F3656" s="12">
        <f>Systems!L164</f>
        <v>0.46009299999999997</v>
      </c>
      <c r="G3656" s="1" t="s">
        <v>23</v>
      </c>
      <c r="H3656" s="1" t="s">
        <v>49</v>
      </c>
    </row>
    <row r="3657" spans="1:8">
      <c r="A3657" s="1" t="s">
        <v>2174</v>
      </c>
      <c r="B3657" s="1" t="s">
        <v>26</v>
      </c>
      <c r="C3657" s="1" t="s">
        <v>17</v>
      </c>
      <c r="D3657" s="1" t="s">
        <v>20</v>
      </c>
      <c r="E3657" s="12">
        <f>F3657/16</f>
        <v>2.8755812499999998E-2</v>
      </c>
      <c r="F3657" s="12">
        <f>Systems!L164</f>
        <v>0.46009299999999997</v>
      </c>
      <c r="G3657" s="1" t="s">
        <v>23</v>
      </c>
      <c r="H3657" s="1" t="s">
        <v>49</v>
      </c>
    </row>
    <row r="3658" spans="1:8">
      <c r="A3658" s="1" t="s">
        <v>2357</v>
      </c>
      <c r="B3658" s="1" t="s">
        <v>26</v>
      </c>
      <c r="C3658" s="1" t="s">
        <v>17</v>
      </c>
      <c r="D3658" s="1" t="s">
        <v>20</v>
      </c>
      <c r="E3658" s="12">
        <f>100*F3658</f>
        <v>46.009299999999996</v>
      </c>
      <c r="F3658" s="12">
        <f>Systems!L164</f>
        <v>0.46009299999999997</v>
      </c>
      <c r="G3658" s="1" t="s">
        <v>23</v>
      </c>
      <c r="H3658" s="1" t="s">
        <v>49</v>
      </c>
    </row>
    <row r="3659" spans="1:8">
      <c r="A3659" s="1" t="s">
        <v>6931</v>
      </c>
      <c r="B3659" s="1" t="s">
        <v>26</v>
      </c>
      <c r="C3659" s="1" t="s">
        <v>17</v>
      </c>
      <c r="D3659" s="1" t="s">
        <v>20</v>
      </c>
      <c r="E3659" s="12">
        <f>150*F3659</f>
        <v>69.013949999999994</v>
      </c>
      <c r="F3659" s="12">
        <f>Systems!L164</f>
        <v>0.46009299999999997</v>
      </c>
      <c r="G3659" s="1" t="s">
        <v>23</v>
      </c>
      <c r="H3659" s="1" t="s">
        <v>49</v>
      </c>
    </row>
    <row r="3660" spans="1:8">
      <c r="A3660" s="1" t="s">
        <v>2676</v>
      </c>
      <c r="B3660" s="1" t="s">
        <v>26</v>
      </c>
      <c r="C3660" s="1" t="s">
        <v>17</v>
      </c>
      <c r="D3660" s="1" t="s">
        <v>20</v>
      </c>
      <c r="E3660" s="12">
        <f>F3660/768</f>
        <v>5.990794270833333E-4</v>
      </c>
      <c r="F3660" s="12">
        <f>Systems!L164</f>
        <v>0.46009299999999997</v>
      </c>
      <c r="G3660" s="1" t="s">
        <v>23</v>
      </c>
      <c r="H3660" s="1" t="s">
        <v>49</v>
      </c>
    </row>
    <row r="3661" spans="1:8">
      <c r="A3661" s="1" t="s">
        <v>2684</v>
      </c>
      <c r="B3661" s="1" t="s">
        <v>26</v>
      </c>
      <c r="C3661" s="1" t="s">
        <v>17</v>
      </c>
      <c r="D3661" s="1" t="s">
        <v>20</v>
      </c>
      <c r="E3661" s="12">
        <f>2000*F3661</f>
        <v>920.18599999999992</v>
      </c>
      <c r="F3661" s="12">
        <f>Systems!L164</f>
        <v>0.46009299999999997</v>
      </c>
      <c r="G3661" s="1" t="s">
        <v>23</v>
      </c>
      <c r="H3661" s="1" t="s">
        <v>49</v>
      </c>
    </row>
    <row r="3662" spans="1:8">
      <c r="A3662" s="248"/>
      <c r="B3662" s="248"/>
      <c r="C3662" s="248"/>
      <c r="D3662" s="248"/>
      <c r="E3662" s="250"/>
      <c r="F3662" s="250"/>
      <c r="G3662" s="248"/>
      <c r="H3662" s="248"/>
    </row>
    <row r="3663" spans="1:8">
      <c r="A3663" s="1" t="s">
        <v>1039</v>
      </c>
      <c r="B3663" s="1" t="s">
        <v>26</v>
      </c>
      <c r="C3663" s="1" t="s">
        <v>3033</v>
      </c>
      <c r="D3663" s="1" t="s">
        <v>19</v>
      </c>
      <c r="E3663" s="12">
        <f>576108288*F3663</f>
        <v>19.049999926809598</v>
      </c>
      <c r="F3663" s="12">
        <f>Systems!D192</f>
        <v>3.3066699999999998E-8</v>
      </c>
      <c r="G3663" s="1" t="s">
        <v>14</v>
      </c>
      <c r="H3663" s="1" t="s">
        <v>7426</v>
      </c>
    </row>
    <row r="3664" spans="1:8">
      <c r="A3664" s="1" t="s">
        <v>1033</v>
      </c>
      <c r="B3664" s="1" t="s">
        <v>26</v>
      </c>
      <c r="C3664" s="1" t="s">
        <v>3033</v>
      </c>
      <c r="D3664" s="1" t="s">
        <v>19</v>
      </c>
      <c r="E3664" s="12">
        <f>36*F3664</f>
        <v>1.1904012E-6</v>
      </c>
      <c r="F3664" s="12">
        <f>Systems!D192</f>
        <v>3.3066699999999998E-8</v>
      </c>
      <c r="G3664" s="1" t="s">
        <v>14</v>
      </c>
      <c r="H3664" s="1" t="s">
        <v>7426</v>
      </c>
    </row>
    <row r="3665" spans="1:8">
      <c r="A3665" s="1" t="s">
        <v>1038</v>
      </c>
      <c r="B3665" s="1" t="s">
        <v>26</v>
      </c>
      <c r="C3665" s="1" t="s">
        <v>3033</v>
      </c>
      <c r="D3665" s="1" t="s">
        <v>19</v>
      </c>
      <c r="E3665" s="12">
        <f>82301184*F3665</f>
        <v>2.7214285609727997</v>
      </c>
      <c r="F3665" s="12">
        <f>Systems!D192</f>
        <v>3.3066699999999998E-8</v>
      </c>
      <c r="G3665" s="1" t="s">
        <v>14</v>
      </c>
      <c r="H3665" s="1" t="s">
        <v>7426</v>
      </c>
    </row>
    <row r="3666" spans="1:8">
      <c r="A3666" s="1" t="s">
        <v>1036</v>
      </c>
      <c r="B3666" s="1" t="s">
        <v>26</v>
      </c>
      <c r="C3666" s="1" t="s">
        <v>3033</v>
      </c>
      <c r="D3666" s="1" t="s">
        <v>19</v>
      </c>
      <c r="E3666" s="12">
        <f>1679616*F3666</f>
        <v>5.5539358387199998E-2</v>
      </c>
      <c r="F3666" s="12">
        <f>Systems!D192</f>
        <v>3.3066699999999998E-8</v>
      </c>
      <c r="G3666" s="1" t="s">
        <v>14</v>
      </c>
      <c r="H3666" s="1" t="s">
        <v>7426</v>
      </c>
    </row>
    <row r="3667" spans="1:8">
      <c r="A3667" s="1" t="s">
        <v>1032</v>
      </c>
      <c r="B3667" s="1" t="s">
        <v>26</v>
      </c>
      <c r="C3667" s="1" t="s">
        <v>3033</v>
      </c>
      <c r="D3667" s="1" t="s">
        <v>19</v>
      </c>
      <c r="E3667" s="12">
        <f>F3667</f>
        <v>3.3066699999999998E-8</v>
      </c>
      <c r="F3667" s="12">
        <f>Systems!D192</f>
        <v>3.3066699999999998E-8</v>
      </c>
      <c r="G3667" s="1" t="s">
        <v>14</v>
      </c>
      <c r="H3667" s="1" t="s">
        <v>7426</v>
      </c>
    </row>
    <row r="3668" spans="1:8">
      <c r="A3668" s="1" t="s">
        <v>1035</v>
      </c>
      <c r="B3668" s="1" t="s">
        <v>26</v>
      </c>
      <c r="C3668" s="1" t="s">
        <v>3033</v>
      </c>
      <c r="D3668" s="1" t="s">
        <v>19</v>
      </c>
      <c r="E3668" s="12">
        <f>46656*F3668</f>
        <v>1.5427599551999999E-3</v>
      </c>
      <c r="F3668" s="12">
        <f>Systems!D192</f>
        <v>3.3066699999999998E-8</v>
      </c>
      <c r="G3668" s="1" t="s">
        <v>14</v>
      </c>
      <c r="H3668" s="1" t="s">
        <v>7426</v>
      </c>
    </row>
    <row r="3669" spans="1:8">
      <c r="A3669" s="1" t="s">
        <v>1034</v>
      </c>
      <c r="B3669" s="1" t="s">
        <v>26</v>
      </c>
      <c r="C3669" s="1" t="s">
        <v>3033</v>
      </c>
      <c r="D3669" s="1" t="s">
        <v>19</v>
      </c>
      <c r="E3669" s="12">
        <f>1296*F3669</f>
        <v>4.2854443199999995E-5</v>
      </c>
      <c r="F3669" s="12">
        <f>Systems!D192</f>
        <v>3.3066699999999998E-8</v>
      </c>
      <c r="G3669" s="1" t="s">
        <v>14</v>
      </c>
      <c r="H3669" s="1" t="s">
        <v>7426</v>
      </c>
    </row>
    <row r="3670" spans="1:8">
      <c r="A3670" s="1" t="s">
        <v>1037</v>
      </c>
      <c r="B3670" s="1" t="s">
        <v>26</v>
      </c>
      <c r="C3670" s="1" t="s">
        <v>3033</v>
      </c>
      <c r="D3670" s="1" t="s">
        <v>19</v>
      </c>
      <c r="E3670" s="12">
        <f>11757312*F3670</f>
        <v>0.38877550871039995</v>
      </c>
      <c r="F3670" s="12">
        <f>Systems!D192</f>
        <v>3.3066699999999998E-8</v>
      </c>
      <c r="G3670" s="1" t="s">
        <v>14</v>
      </c>
      <c r="H3670" s="1" t="s">
        <v>7426</v>
      </c>
    </row>
    <row r="3671" spans="1:8" ht="16.5">
      <c r="A3671" s="1" t="s">
        <v>1043</v>
      </c>
      <c r="B3671" s="1" t="s">
        <v>26</v>
      </c>
      <c r="C3671" s="1" t="s">
        <v>3034</v>
      </c>
      <c r="D3671" s="1" t="s">
        <v>38</v>
      </c>
      <c r="E3671" s="12">
        <f>1760*F3671</f>
        <v>8093.7120000000004</v>
      </c>
      <c r="F3671" s="12">
        <f>Systems!H192</f>
        <v>4.5987</v>
      </c>
      <c r="G3671" s="1" t="s">
        <v>39</v>
      </c>
      <c r="H3671" s="1" t="s">
        <v>7426</v>
      </c>
    </row>
    <row r="3672" spans="1:8" ht="16.5">
      <c r="A3672" s="1" t="s">
        <v>1045</v>
      </c>
      <c r="B3672" s="1" t="s">
        <v>26</v>
      </c>
      <c r="C3672" s="1" t="s">
        <v>3034</v>
      </c>
      <c r="D3672" s="1" t="s">
        <v>38</v>
      </c>
      <c r="E3672" s="12">
        <f>28*F3672</f>
        <v>128.7636</v>
      </c>
      <c r="F3672" s="12">
        <f>Systems!H192</f>
        <v>4.5987</v>
      </c>
      <c r="G3672" s="1" t="s">
        <v>39</v>
      </c>
      <c r="H3672" s="1" t="s">
        <v>7426</v>
      </c>
    </row>
    <row r="3673" spans="1:8" ht="16.5">
      <c r="A3673" s="1" t="s">
        <v>1044</v>
      </c>
      <c r="B3673" s="1" t="s">
        <v>26</v>
      </c>
      <c r="C3673" s="1" t="s">
        <v>3034</v>
      </c>
      <c r="D3673" s="1" t="s">
        <v>38</v>
      </c>
      <c r="E3673" s="12">
        <f>7040*F3673</f>
        <v>32374.848000000002</v>
      </c>
      <c r="F3673" s="12">
        <f>Systems!H192</f>
        <v>4.5987</v>
      </c>
      <c r="G3673" s="1" t="s">
        <v>39</v>
      </c>
      <c r="H3673" s="1" t="s">
        <v>7426</v>
      </c>
    </row>
    <row r="3674" spans="1:8" ht="16.5">
      <c r="A3674" s="1" t="s">
        <v>1042</v>
      </c>
      <c r="B3674" s="1" t="s">
        <v>26</v>
      </c>
      <c r="C3674" s="1" t="s">
        <v>3034</v>
      </c>
      <c r="D3674" s="1" t="s">
        <v>38</v>
      </c>
      <c r="E3674" s="12">
        <f>480*F3674</f>
        <v>2207.3760000000002</v>
      </c>
      <c r="F3674" s="12">
        <f>Systems!H192</f>
        <v>4.5987</v>
      </c>
      <c r="G3674" s="1" t="s">
        <v>39</v>
      </c>
      <c r="H3674" s="1" t="s">
        <v>7426</v>
      </c>
    </row>
    <row r="3675" spans="1:8" ht="16.5">
      <c r="A3675" s="1" t="s">
        <v>1040</v>
      </c>
      <c r="B3675" s="1" t="s">
        <v>26</v>
      </c>
      <c r="C3675" s="1" t="s">
        <v>3034</v>
      </c>
      <c r="D3675" s="1" t="s">
        <v>38</v>
      </c>
      <c r="E3675" s="12">
        <f>F3675</f>
        <v>4.5987</v>
      </c>
      <c r="F3675" s="12">
        <f>Systems!H192</f>
        <v>4.5987</v>
      </c>
      <c r="G3675" s="1" t="s">
        <v>39</v>
      </c>
      <c r="H3675" s="1" t="s">
        <v>7426</v>
      </c>
    </row>
    <row r="3676" spans="1:8" ht="16.5">
      <c r="A3676" s="1" t="s">
        <v>1041</v>
      </c>
      <c r="B3676" s="1" t="s">
        <v>26</v>
      </c>
      <c r="C3676" s="1" t="s">
        <v>3034</v>
      </c>
      <c r="D3676" s="1" t="s">
        <v>38</v>
      </c>
      <c r="E3676" s="12">
        <f>40*F3676</f>
        <v>183.94800000000001</v>
      </c>
      <c r="F3676" s="12">
        <f>Systems!H192</f>
        <v>4.5987</v>
      </c>
      <c r="G3676" s="1" t="s">
        <v>39</v>
      </c>
      <c r="H3676" s="1" t="s">
        <v>7426</v>
      </c>
    </row>
    <row r="3677" spans="1:8" ht="16.5">
      <c r="A3677" s="1" t="s">
        <v>1210</v>
      </c>
      <c r="B3677" s="1" t="s">
        <v>26</v>
      </c>
      <c r="C3677" s="1" t="s">
        <v>2936</v>
      </c>
      <c r="D3677" s="1" t="s">
        <v>32</v>
      </c>
      <c r="E3677" s="12">
        <f>288*F3677</f>
        <v>0.2034</v>
      </c>
      <c r="F3677" s="12">
        <f>Systems!T192</f>
        <v>7.0624999999999996E-4</v>
      </c>
      <c r="G3677" s="1" t="s">
        <v>33</v>
      </c>
      <c r="H3677" s="1" t="s">
        <v>7426</v>
      </c>
    </row>
    <row r="3678" spans="1:8" ht="16.5">
      <c r="A3678" s="1" t="s">
        <v>1051</v>
      </c>
      <c r="B3678" s="1" t="s">
        <v>26</v>
      </c>
      <c r="C3678" s="1" t="s">
        <v>2936</v>
      </c>
      <c r="D3678" s="1" t="s">
        <v>32</v>
      </c>
      <c r="E3678" s="12">
        <f>F3678/3</f>
        <v>2.3541666666666665E-4</v>
      </c>
      <c r="F3678" s="12">
        <f>Systems!T192</f>
        <v>7.0624999999999996E-4</v>
      </c>
      <c r="G3678" s="1" t="s">
        <v>33</v>
      </c>
      <c r="H3678" s="1" t="s">
        <v>7426</v>
      </c>
    </row>
    <row r="3679" spans="1:8" ht="16.5">
      <c r="A3679" s="1" t="s">
        <v>2230</v>
      </c>
      <c r="B3679" s="1" t="s">
        <v>26</v>
      </c>
      <c r="C3679" s="1" t="s">
        <v>2936</v>
      </c>
      <c r="D3679" s="1" t="s">
        <v>32</v>
      </c>
      <c r="E3679" s="12">
        <f>36*F3679</f>
        <v>2.5425E-2</v>
      </c>
      <c r="F3679" s="12">
        <f>Systems!T192</f>
        <v>7.0624999999999996E-4</v>
      </c>
      <c r="G3679" s="1" t="s">
        <v>33</v>
      </c>
      <c r="H3679" s="1" t="s">
        <v>7426</v>
      </c>
    </row>
    <row r="3680" spans="1:8" ht="16.5">
      <c r="A3680" s="1" t="s">
        <v>910</v>
      </c>
      <c r="B3680" s="1" t="s">
        <v>26</v>
      </c>
      <c r="C3680" s="1" t="s">
        <v>2936</v>
      </c>
      <c r="D3680" s="1" t="s">
        <v>32</v>
      </c>
      <c r="E3680" s="12">
        <f>F3680</f>
        <v>7.0624999999999996E-4</v>
      </c>
      <c r="F3680" s="12">
        <f>Systems!T192</f>
        <v>7.0624999999999996E-4</v>
      </c>
      <c r="G3680" s="1" t="s">
        <v>33</v>
      </c>
      <c r="H3680" s="1" t="s">
        <v>7426</v>
      </c>
    </row>
    <row r="3681" spans="1:8" ht="16.5">
      <c r="A3681" s="1" t="s">
        <v>2230</v>
      </c>
      <c r="B3681" s="1" t="s">
        <v>26</v>
      </c>
      <c r="C3681" s="1" t="s">
        <v>2935</v>
      </c>
      <c r="D3681" s="1" t="s">
        <v>32</v>
      </c>
      <c r="E3681" s="12">
        <f>22.5*F3681</f>
        <v>2.5551529542E-2</v>
      </c>
      <c r="F3681" s="12">
        <f>Systems!P192</f>
        <v>1.1356235352000001E-3</v>
      </c>
      <c r="G3681" s="1" t="s">
        <v>33</v>
      </c>
      <c r="H3681" s="1" t="s">
        <v>7426</v>
      </c>
    </row>
    <row r="3682" spans="1:8" ht="16.5">
      <c r="A3682" s="1" t="s">
        <v>910</v>
      </c>
      <c r="B3682" s="1" t="s">
        <v>26</v>
      </c>
      <c r="C3682" s="1" t="s">
        <v>2935</v>
      </c>
      <c r="D3682" s="1" t="s">
        <v>32</v>
      </c>
      <c r="E3682" s="12">
        <f>F3682</f>
        <v>1.1356235352000001E-3</v>
      </c>
      <c r="F3682" s="12">
        <f>Systems!P192</f>
        <v>1.1356235352000001E-3</v>
      </c>
      <c r="G3682" s="1" t="s">
        <v>33</v>
      </c>
      <c r="H3682" s="1" t="s">
        <v>7426</v>
      </c>
    </row>
    <row r="3683" spans="1:8">
      <c r="A3683" s="1" t="s">
        <v>1049</v>
      </c>
      <c r="B3683" s="1" t="s">
        <v>26</v>
      </c>
      <c r="C3683" s="1" t="s">
        <v>17</v>
      </c>
      <c r="D3683" s="1" t="s">
        <v>20</v>
      </c>
      <c r="E3683" s="12">
        <f>5*F3683</f>
        <v>6.0000000000000006E-4</v>
      </c>
      <c r="F3683" s="12">
        <f>Systems!L192</f>
        <v>1.2E-4</v>
      </c>
      <c r="G3683" s="1" t="s">
        <v>23</v>
      </c>
      <c r="H3683" s="1" t="s">
        <v>7426</v>
      </c>
    </row>
    <row r="3684" spans="1:8">
      <c r="A3684" s="1" t="s">
        <v>1518</v>
      </c>
      <c r="B3684" s="1" t="s">
        <v>26</v>
      </c>
      <c r="C3684" s="1" t="s">
        <v>17</v>
      </c>
      <c r="D3684" s="1" t="s">
        <v>20</v>
      </c>
      <c r="E3684" s="12">
        <f>40*F3684</f>
        <v>4.8000000000000004E-3</v>
      </c>
      <c r="F3684" s="12">
        <f>Systems!L192</f>
        <v>1.2E-4</v>
      </c>
      <c r="G3684" s="1" t="s">
        <v>23</v>
      </c>
      <c r="H3684" s="1" t="s">
        <v>7426</v>
      </c>
    </row>
    <row r="3685" spans="1:8">
      <c r="A3685" s="1" t="s">
        <v>1046</v>
      </c>
      <c r="B3685" s="1" t="s">
        <v>26</v>
      </c>
      <c r="C3685" s="1" t="s">
        <v>17</v>
      </c>
      <c r="D3685" s="1" t="s">
        <v>20</v>
      </c>
      <c r="E3685" s="12">
        <f>F3685</f>
        <v>1.2E-4</v>
      </c>
      <c r="F3685" s="12">
        <f>Systems!L192</f>
        <v>1.2E-4</v>
      </c>
      <c r="G3685" s="1" t="s">
        <v>23</v>
      </c>
      <c r="H3685" s="1" t="s">
        <v>7426</v>
      </c>
    </row>
    <row r="3686" spans="1:8">
      <c r="A3686" s="1" t="s">
        <v>1048</v>
      </c>
      <c r="B3686" s="1" t="s">
        <v>26</v>
      </c>
      <c r="C3686" s="1" t="s">
        <v>17</v>
      </c>
      <c r="D3686" s="1" t="s">
        <v>20</v>
      </c>
      <c r="E3686" s="12">
        <f>2*F3686</f>
        <v>2.4000000000000001E-4</v>
      </c>
      <c r="F3686" s="12">
        <f>Systems!L192</f>
        <v>1.2E-4</v>
      </c>
      <c r="G3686" s="1" t="s">
        <v>23</v>
      </c>
      <c r="H3686" s="1" t="s">
        <v>7426</v>
      </c>
    </row>
    <row r="3687" spans="1:8">
      <c r="A3687" s="1" t="s">
        <v>793</v>
      </c>
      <c r="B3687" s="1" t="s">
        <v>26</v>
      </c>
      <c r="C3687" s="1" t="s">
        <v>17</v>
      </c>
      <c r="D3687" s="1" t="s">
        <v>20</v>
      </c>
      <c r="E3687" s="12">
        <f>400*F3687</f>
        <v>4.8000000000000001E-2</v>
      </c>
      <c r="F3687" s="12">
        <f>Systems!L192</f>
        <v>1.2E-4</v>
      </c>
      <c r="G3687" s="1" t="s">
        <v>23</v>
      </c>
      <c r="H3687" s="1" t="s">
        <v>7426</v>
      </c>
    </row>
    <row r="3688" spans="1:8">
      <c r="A3688" s="1" t="s">
        <v>1050</v>
      </c>
      <c r="B3688" s="1" t="s">
        <v>26</v>
      </c>
      <c r="C3688" s="1" t="s">
        <v>17</v>
      </c>
      <c r="D3688" s="1" t="s">
        <v>20</v>
      </c>
      <c r="E3688" s="12">
        <f>200*F3688</f>
        <v>2.4E-2</v>
      </c>
      <c r="F3688" s="12">
        <f>Systems!L192</f>
        <v>1.2E-4</v>
      </c>
      <c r="G3688" s="1" t="s">
        <v>23</v>
      </c>
      <c r="H3688" s="1" t="s">
        <v>7426</v>
      </c>
    </row>
    <row r="3689" spans="1:8">
      <c r="A3689" s="1" t="s">
        <v>1047</v>
      </c>
      <c r="B3689" s="1" t="s">
        <v>26</v>
      </c>
      <c r="C3689" s="1" t="s">
        <v>17</v>
      </c>
      <c r="D3689" s="1" t="s">
        <v>20</v>
      </c>
      <c r="E3689" s="12">
        <f>F3689/4</f>
        <v>3.0000000000000001E-5</v>
      </c>
      <c r="F3689" s="12">
        <f>Systems!L192</f>
        <v>1.2E-4</v>
      </c>
      <c r="G3689" s="1" t="s">
        <v>23</v>
      </c>
      <c r="H3689" s="1" t="s">
        <v>7426</v>
      </c>
    </row>
    <row r="3690" spans="1:8">
      <c r="A3690" s="248"/>
      <c r="B3690" s="248"/>
      <c r="C3690" s="248"/>
      <c r="D3690" s="248"/>
      <c r="E3690" s="250"/>
      <c r="F3690" s="250"/>
      <c r="G3690" s="248"/>
      <c r="H3690" s="248"/>
    </row>
    <row r="3691" spans="1:8">
      <c r="A3691" t="s">
        <v>2459</v>
      </c>
      <c r="B3691" s="336" t="s">
        <v>26</v>
      </c>
      <c r="C3691" s="1" t="s">
        <v>3033</v>
      </c>
      <c r="D3691" s="1" t="s">
        <v>19</v>
      </c>
      <c r="E3691" s="337">
        <f>F3691/180</f>
        <v>2.8811111111111108E-3</v>
      </c>
      <c r="F3691" s="337">
        <f>Systems!D208</f>
        <v>0.51859999999999995</v>
      </c>
      <c r="G3691" s="1" t="s">
        <v>14</v>
      </c>
      <c r="H3691" s="336" t="s">
        <v>7306</v>
      </c>
    </row>
    <row r="3692" spans="1:8">
      <c r="A3692" t="s">
        <v>7311</v>
      </c>
      <c r="B3692" s="336" t="s">
        <v>26</v>
      </c>
      <c r="C3692" s="1" t="s">
        <v>3033</v>
      </c>
      <c r="D3692" s="1" t="s">
        <v>19</v>
      </c>
      <c r="E3692" s="337">
        <f>F3692/30</f>
        <v>1.7286666666666665E-2</v>
      </c>
      <c r="F3692" s="337">
        <f>Systems!D208</f>
        <v>0.51859999999999995</v>
      </c>
      <c r="G3692" s="1" t="s">
        <v>14</v>
      </c>
      <c r="H3692" s="336" t="s">
        <v>7306</v>
      </c>
    </row>
    <row r="3693" spans="1:8">
      <c r="A3693" t="s">
        <v>7312</v>
      </c>
      <c r="B3693" s="336" t="s">
        <v>26</v>
      </c>
      <c r="C3693" s="1" t="s">
        <v>3033</v>
      </c>
      <c r="D3693" s="1" t="s">
        <v>19</v>
      </c>
      <c r="E3693" s="337">
        <f>2*F3693/3</f>
        <v>0.34573333333333328</v>
      </c>
      <c r="F3693" s="337">
        <f>Systems!D208</f>
        <v>0.51859999999999995</v>
      </c>
      <c r="G3693" s="1" t="s">
        <v>14</v>
      </c>
      <c r="H3693" s="336" t="s">
        <v>7306</v>
      </c>
    </row>
    <row r="3694" spans="1:8">
      <c r="A3694" t="s">
        <v>7307</v>
      </c>
      <c r="B3694" s="336" t="s">
        <v>26</v>
      </c>
      <c r="C3694" s="1" t="s">
        <v>3033</v>
      </c>
      <c r="D3694" s="1" t="s">
        <v>19</v>
      </c>
      <c r="E3694" s="337">
        <f>F3694</f>
        <v>0.51859999999999995</v>
      </c>
      <c r="F3694" s="337">
        <f>Systems!D208</f>
        <v>0.51859999999999995</v>
      </c>
      <c r="G3694" s="1" t="s">
        <v>14</v>
      </c>
      <c r="H3694" s="336" t="s">
        <v>7306</v>
      </c>
    </row>
    <row r="3695" spans="1:8">
      <c r="A3695" t="s">
        <v>7313</v>
      </c>
      <c r="B3695" s="336" t="s">
        <v>26</v>
      </c>
      <c r="C3695" s="1" t="s">
        <v>3033</v>
      </c>
      <c r="D3695" s="1" t="s">
        <v>19</v>
      </c>
      <c r="E3695" s="337">
        <f>2*F3695</f>
        <v>1.0371999999999999</v>
      </c>
      <c r="F3695" s="337">
        <f>Systems!D208</f>
        <v>0.51859999999999995</v>
      </c>
      <c r="G3695" s="1" t="s">
        <v>14</v>
      </c>
      <c r="H3695" s="336" t="s">
        <v>7306</v>
      </c>
    </row>
    <row r="3696" spans="1:8">
      <c r="A3696" t="s">
        <v>1680</v>
      </c>
      <c r="B3696" s="336" t="s">
        <v>26</v>
      </c>
      <c r="C3696" s="1" t="s">
        <v>3033</v>
      </c>
      <c r="D3696" s="1" t="s">
        <v>19</v>
      </c>
      <c r="E3696" s="337">
        <f>6*F3696</f>
        <v>3.1115999999999997</v>
      </c>
      <c r="F3696" s="337">
        <f>Systems!D208</f>
        <v>0.51859999999999995</v>
      </c>
      <c r="G3696" s="1" t="s">
        <v>14</v>
      </c>
      <c r="H3696" s="336" t="s">
        <v>7306</v>
      </c>
    </row>
    <row r="3697" spans="1:8">
      <c r="A3697" t="s">
        <v>7314</v>
      </c>
      <c r="B3697" s="336" t="s">
        <v>26</v>
      </c>
      <c r="C3697" s="1" t="s">
        <v>3033</v>
      </c>
      <c r="D3697" s="1" t="s">
        <v>19</v>
      </c>
      <c r="E3697" s="337">
        <f>12*F3697</f>
        <v>6.2231999999999994</v>
      </c>
      <c r="F3697" s="337">
        <f>Systems!D208</f>
        <v>0.51859999999999995</v>
      </c>
      <c r="G3697" s="1" t="s">
        <v>14</v>
      </c>
      <c r="H3697" s="336" t="s">
        <v>7306</v>
      </c>
    </row>
    <row r="3698" spans="1:8">
      <c r="A3698" t="s">
        <v>7315</v>
      </c>
      <c r="B3698" s="336" t="s">
        <v>26</v>
      </c>
      <c r="C3698" s="1" t="s">
        <v>3033</v>
      </c>
      <c r="D3698" s="1" t="s">
        <v>19</v>
      </c>
      <c r="E3698" s="337">
        <f>120*F3698</f>
        <v>62.231999999999992</v>
      </c>
      <c r="F3698" s="337">
        <f>Systems!D208</f>
        <v>0.51859999999999995</v>
      </c>
      <c r="G3698" s="1" t="s">
        <v>14</v>
      </c>
      <c r="H3698" s="336" t="s">
        <v>7306</v>
      </c>
    </row>
    <row r="3699" spans="1:8">
      <c r="A3699" t="s">
        <v>4313</v>
      </c>
      <c r="B3699" s="336" t="s">
        <v>26</v>
      </c>
      <c r="C3699" s="1" t="s">
        <v>3033</v>
      </c>
      <c r="D3699" s="1" t="s">
        <v>19</v>
      </c>
      <c r="E3699" s="337">
        <f>720*F3699</f>
        <v>373.39199999999994</v>
      </c>
      <c r="F3699" s="337">
        <f>Systems!D208</f>
        <v>0.51859999999999995</v>
      </c>
      <c r="G3699" s="1" t="s">
        <v>14</v>
      </c>
      <c r="H3699" s="336" t="s">
        <v>7306</v>
      </c>
    </row>
    <row r="3700" spans="1:8">
      <c r="A3700" t="s">
        <v>7316</v>
      </c>
      <c r="B3700" s="336" t="s">
        <v>26</v>
      </c>
      <c r="C3700" s="1" t="s">
        <v>3033</v>
      </c>
      <c r="D3700" s="1" t="s">
        <v>19</v>
      </c>
      <c r="E3700" s="337">
        <f>21600*F3700</f>
        <v>11201.759999999998</v>
      </c>
      <c r="F3700" s="337">
        <f>Systems!D208</f>
        <v>0.51859999999999995</v>
      </c>
      <c r="G3700" s="1" t="s">
        <v>14</v>
      </c>
      <c r="H3700" s="336" t="s">
        <v>7306</v>
      </c>
    </row>
    <row r="3701" spans="1:8" ht="16.5">
      <c r="A3701" t="s">
        <v>7308</v>
      </c>
      <c r="B3701" s="336" t="s">
        <v>26</v>
      </c>
      <c r="C3701" s="1" t="s">
        <v>3034</v>
      </c>
      <c r="D3701" s="1" t="s">
        <v>38</v>
      </c>
      <c r="E3701" s="337">
        <f>F3701</f>
        <v>0.26894595999999993</v>
      </c>
      <c r="F3701" s="337">
        <f>Systems!H208</f>
        <v>0.26894595999999993</v>
      </c>
      <c r="G3701" s="1" t="s">
        <v>39</v>
      </c>
      <c r="H3701" s="336" t="s">
        <v>7306</v>
      </c>
    </row>
    <row r="3702" spans="1:8" ht="16.5">
      <c r="A3702" t="s">
        <v>7317</v>
      </c>
      <c r="B3702" s="336" t="s">
        <v>26</v>
      </c>
      <c r="C3702" s="1" t="s">
        <v>3034</v>
      </c>
      <c r="D3702" s="1" t="s">
        <v>38</v>
      </c>
      <c r="E3702" s="337">
        <f>144*F3702</f>
        <v>38.72821823999999</v>
      </c>
      <c r="F3702" s="337">
        <f>Systems!H208</f>
        <v>0.26894595999999993</v>
      </c>
      <c r="G3702" s="1" t="s">
        <v>39</v>
      </c>
      <c r="H3702" s="336" t="s">
        <v>7306</v>
      </c>
    </row>
    <row r="3703" spans="1:8" ht="16.5">
      <c r="A3703" t="s">
        <v>7318</v>
      </c>
      <c r="B3703" s="336" t="s">
        <v>26</v>
      </c>
      <c r="C3703" s="1" t="s">
        <v>3034</v>
      </c>
      <c r="D3703" s="1" t="s">
        <v>38</v>
      </c>
      <c r="E3703" s="337">
        <f>3600*F3703</f>
        <v>968.20545599999969</v>
      </c>
      <c r="F3703" s="337">
        <f>Systems!H208</f>
        <v>0.26894595999999993</v>
      </c>
      <c r="G3703" s="1" t="s">
        <v>39</v>
      </c>
      <c r="H3703" s="336" t="s">
        <v>7306</v>
      </c>
    </row>
    <row r="3704" spans="1:8" ht="16.5">
      <c r="A3704" t="s">
        <v>7319</v>
      </c>
      <c r="B3704" s="336" t="s">
        <v>26</v>
      </c>
      <c r="C3704" s="1" t="s">
        <v>3034</v>
      </c>
      <c r="D3704" s="1" t="s">
        <v>38</v>
      </c>
      <c r="E3704" s="337">
        <f>7200*F3704</f>
        <v>1936.4109119999994</v>
      </c>
      <c r="F3704" s="337">
        <f>Systems!H208</f>
        <v>0.26894595999999993</v>
      </c>
      <c r="G3704" s="1" t="s">
        <v>39</v>
      </c>
      <c r="H3704" s="336" t="s">
        <v>7306</v>
      </c>
    </row>
    <row r="3705" spans="1:8" ht="16.5">
      <c r="A3705" t="s">
        <v>7320</v>
      </c>
      <c r="B3705" s="336" t="s">
        <v>26</v>
      </c>
      <c r="C3705" s="1" t="s">
        <v>3034</v>
      </c>
      <c r="D3705" s="1" t="s">
        <v>38</v>
      </c>
      <c r="E3705" s="337">
        <f>14400*F3705</f>
        <v>3872.8218239999987</v>
      </c>
      <c r="F3705" s="337">
        <f>Systems!H208</f>
        <v>0.26894595999999993</v>
      </c>
      <c r="G3705" s="1" t="s">
        <v>39</v>
      </c>
      <c r="H3705" s="336" t="s">
        <v>7306</v>
      </c>
    </row>
    <row r="3706" spans="1:8" ht="16.5">
      <c r="A3706" t="s">
        <v>7321</v>
      </c>
      <c r="B3706" s="336" t="s">
        <v>26</v>
      </c>
      <c r="C3706" s="1" t="s">
        <v>3034</v>
      </c>
      <c r="D3706" s="1" t="s">
        <v>38</v>
      </c>
      <c r="E3706" s="337">
        <f>259200*F3706</f>
        <v>69710.792831999977</v>
      </c>
      <c r="F3706" s="337">
        <f>Systems!H208</f>
        <v>0.26894595999999993</v>
      </c>
      <c r="G3706" s="1" t="s">
        <v>39</v>
      </c>
      <c r="H3706" s="336" t="s">
        <v>7306</v>
      </c>
    </row>
    <row r="3707" spans="1:8" ht="16.5">
      <c r="A3707" s="336" t="s">
        <v>7310</v>
      </c>
      <c r="B3707" s="336" t="s">
        <v>26</v>
      </c>
      <c r="C3707" s="1" t="s">
        <v>2936</v>
      </c>
      <c r="D3707" s="1" t="s">
        <v>32</v>
      </c>
      <c r="E3707" s="337">
        <f>F3707</f>
        <v>0.13947537485599995</v>
      </c>
      <c r="F3707" s="337">
        <f>Systems!T208</f>
        <v>0.13947537485599995</v>
      </c>
      <c r="G3707" s="1" t="s">
        <v>33</v>
      </c>
      <c r="H3707" s="336" t="s">
        <v>7306</v>
      </c>
    </row>
    <row r="3708" spans="1:8" ht="16.5">
      <c r="A3708" t="s">
        <v>7308</v>
      </c>
      <c r="B3708" s="336" t="s">
        <v>26</v>
      </c>
      <c r="C3708" s="1" t="s">
        <v>2935</v>
      </c>
      <c r="D3708" s="1" t="s">
        <v>32</v>
      </c>
      <c r="E3708" s="337">
        <f>F3708/60</f>
        <v>1.6666666666666667E-5</v>
      </c>
      <c r="F3708" s="337">
        <f>Systems!P208</f>
        <v>1E-3</v>
      </c>
      <c r="G3708" s="1" t="s">
        <v>33</v>
      </c>
      <c r="H3708" s="336" t="s">
        <v>7306</v>
      </c>
    </row>
    <row r="3709" spans="1:8" ht="16.5">
      <c r="A3709" t="s">
        <v>7309</v>
      </c>
      <c r="B3709" s="336" t="s">
        <v>26</v>
      </c>
      <c r="C3709" s="1" t="s">
        <v>2935</v>
      </c>
      <c r="D3709" s="1" t="s">
        <v>32</v>
      </c>
      <c r="E3709" s="337">
        <f>F3709</f>
        <v>1E-3</v>
      </c>
      <c r="F3709" s="337">
        <f>Systems!P208</f>
        <v>1E-3</v>
      </c>
      <c r="G3709" s="1" t="s">
        <v>33</v>
      </c>
      <c r="H3709" s="336" t="s">
        <v>7306</v>
      </c>
    </row>
    <row r="3710" spans="1:8" ht="16.5">
      <c r="A3710" t="s">
        <v>1255</v>
      </c>
      <c r="B3710" s="336" t="s">
        <v>26</v>
      </c>
      <c r="C3710" s="1" t="s">
        <v>2935</v>
      </c>
      <c r="D3710" s="1" t="s">
        <v>32</v>
      </c>
      <c r="E3710" s="337">
        <f>10*F3710</f>
        <v>0.01</v>
      </c>
      <c r="F3710" s="337">
        <f>Systems!P208</f>
        <v>1E-3</v>
      </c>
      <c r="G3710" s="1" t="s">
        <v>33</v>
      </c>
      <c r="H3710" s="336" t="s">
        <v>7306</v>
      </c>
    </row>
    <row r="3711" spans="1:8" ht="16.5">
      <c r="A3711" t="s">
        <v>7322</v>
      </c>
      <c r="B3711" s="336" t="s">
        <v>26</v>
      </c>
      <c r="C3711" s="1" t="s">
        <v>2935</v>
      </c>
      <c r="D3711" s="1" t="s">
        <v>32</v>
      </c>
      <c r="E3711" s="337">
        <f>60*F3711</f>
        <v>0.06</v>
      </c>
      <c r="F3711" s="337">
        <f>Systems!P208</f>
        <v>1E-3</v>
      </c>
      <c r="G3711" s="1" t="s">
        <v>33</v>
      </c>
      <c r="H3711" s="336" t="s">
        <v>7306</v>
      </c>
    </row>
    <row r="3712" spans="1:8" ht="16.5">
      <c r="A3712" t="s">
        <v>1701</v>
      </c>
      <c r="B3712" s="336" t="s">
        <v>26</v>
      </c>
      <c r="C3712" s="1" t="s">
        <v>2935</v>
      </c>
      <c r="D3712" s="1" t="s">
        <v>32</v>
      </c>
      <c r="E3712" s="337">
        <f>300*F3712</f>
        <v>0.3</v>
      </c>
      <c r="F3712" s="337">
        <f>Systems!P208</f>
        <v>1E-3</v>
      </c>
      <c r="G3712" s="1" t="s">
        <v>33</v>
      </c>
      <c r="H3712" s="336" t="s">
        <v>7306</v>
      </c>
    </row>
    <row r="3713" spans="1:8">
      <c r="A3713" t="s">
        <v>2459</v>
      </c>
      <c r="B3713" s="336" t="s">
        <v>26</v>
      </c>
      <c r="C3713" s="1" t="s">
        <v>17</v>
      </c>
      <c r="D3713" s="1" t="s">
        <v>20</v>
      </c>
      <c r="E3713" s="337">
        <f>F3713/1080</f>
        <v>4.6666666666666666E-4</v>
      </c>
      <c r="F3713" s="337">
        <f>Systems!L208</f>
        <v>0.504</v>
      </c>
      <c r="G3713" s="336" t="s">
        <v>23</v>
      </c>
      <c r="H3713" s="336" t="s">
        <v>7306</v>
      </c>
    </row>
    <row r="3714" spans="1:8">
      <c r="A3714" t="s">
        <v>7308</v>
      </c>
      <c r="B3714" s="336" t="s">
        <v>26</v>
      </c>
      <c r="C3714" s="1" t="s">
        <v>17</v>
      </c>
      <c r="D3714" s="1" t="s">
        <v>20</v>
      </c>
      <c r="E3714" s="337">
        <f>F3714/60</f>
        <v>8.3999999999999995E-3</v>
      </c>
      <c r="F3714" s="337">
        <f>Systems!L208</f>
        <v>0.504</v>
      </c>
      <c r="G3714" s="336" t="s">
        <v>23</v>
      </c>
      <c r="H3714" s="336" t="s">
        <v>7306</v>
      </c>
    </row>
    <row r="3715" spans="1:8">
      <c r="A3715" t="s">
        <v>7270</v>
      </c>
      <c r="B3715" s="336" t="s">
        <v>26</v>
      </c>
      <c r="C3715" s="1" t="s">
        <v>17</v>
      </c>
      <c r="D3715" s="1" t="s">
        <v>20</v>
      </c>
      <c r="E3715" s="337">
        <f>F3715</f>
        <v>0.504</v>
      </c>
      <c r="F3715" s="337">
        <f>Systems!L208</f>
        <v>0.504</v>
      </c>
      <c r="G3715" s="336" t="s">
        <v>23</v>
      </c>
      <c r="H3715" s="336" t="s">
        <v>7306</v>
      </c>
    </row>
    <row r="3716" spans="1:8">
      <c r="A3716" t="s">
        <v>7323</v>
      </c>
      <c r="B3716" s="336" t="s">
        <v>26</v>
      </c>
      <c r="C3716" s="1" t="s">
        <v>17</v>
      </c>
      <c r="D3716" s="1" t="s">
        <v>20</v>
      </c>
      <c r="E3716" s="337">
        <f>3600*F3716</f>
        <v>1814.4</v>
      </c>
      <c r="F3716" s="337">
        <f>Systems!L208</f>
        <v>0.504</v>
      </c>
      <c r="G3716" s="336" t="s">
        <v>23</v>
      </c>
      <c r="H3716" s="336" t="s">
        <v>7306</v>
      </c>
    </row>
    <row r="3717" spans="1:8">
      <c r="A3717" s="248"/>
      <c r="B3717" s="248"/>
      <c r="C3717" s="248"/>
      <c r="D3717" s="248"/>
      <c r="E3717" s="250"/>
      <c r="F3717" s="250"/>
      <c r="G3717" s="248"/>
      <c r="H3717" s="248"/>
    </row>
    <row r="3718" spans="1:8">
      <c r="A3718" s="1" t="s">
        <v>1186</v>
      </c>
      <c r="B3718" s="1" t="s">
        <v>26</v>
      </c>
      <c r="C3718" s="1" t="s">
        <v>3033</v>
      </c>
      <c r="D3718" s="1" t="s">
        <v>19</v>
      </c>
      <c r="E3718" s="12">
        <f>2*F3718</f>
        <v>0.59379999999999999</v>
      </c>
      <c r="F3718" s="12">
        <f>Systems!D167</f>
        <v>0.2969</v>
      </c>
      <c r="G3718" s="1" t="s">
        <v>14</v>
      </c>
      <c r="H3718" s="1" t="s">
        <v>51</v>
      </c>
    </row>
    <row r="3719" spans="1:8">
      <c r="A3719" s="1" t="s">
        <v>1187</v>
      </c>
      <c r="B3719" s="1" t="s">
        <v>26</v>
      </c>
      <c r="C3719" s="1" t="s">
        <v>3033</v>
      </c>
      <c r="D3719" s="1" t="s">
        <v>19</v>
      </c>
      <c r="E3719" s="12">
        <f>18*F3719</f>
        <v>5.3441999999999998</v>
      </c>
      <c r="F3719" s="12">
        <f>Systems!D167</f>
        <v>0.2969</v>
      </c>
      <c r="G3719" s="1" t="s">
        <v>14</v>
      </c>
      <c r="H3719" s="1" t="s">
        <v>51</v>
      </c>
    </row>
    <row r="3720" spans="1:8">
      <c r="A3720" s="1" t="s">
        <v>1182</v>
      </c>
      <c r="B3720" s="1" t="s">
        <v>26</v>
      </c>
      <c r="C3720" s="1" t="s">
        <v>3033</v>
      </c>
      <c r="D3720" s="1" t="s">
        <v>19</v>
      </c>
      <c r="E3720" s="12">
        <f>2*F3720</f>
        <v>0.59379999999999999</v>
      </c>
      <c r="F3720" s="12">
        <f>Systems!D167</f>
        <v>0.2969</v>
      </c>
      <c r="G3720" s="1" t="s">
        <v>14</v>
      </c>
      <c r="H3720" s="1" t="s">
        <v>51</v>
      </c>
    </row>
    <row r="3721" spans="1:8">
      <c r="A3721" s="1" t="s">
        <v>838</v>
      </c>
      <c r="B3721" s="1" t="s">
        <v>26</v>
      </c>
      <c r="C3721" s="1" t="s">
        <v>3033</v>
      </c>
      <c r="D3721" s="1" t="s">
        <v>19</v>
      </c>
      <c r="E3721" s="12">
        <f>18*F3721</f>
        <v>5.3441999999999998</v>
      </c>
      <c r="F3721" s="12">
        <f>Systems!D167</f>
        <v>0.2969</v>
      </c>
      <c r="G3721" s="1" t="s">
        <v>14</v>
      </c>
      <c r="H3721" s="1" t="s">
        <v>51</v>
      </c>
    </row>
    <row r="3722" spans="1:8">
      <c r="A3722" s="1" t="s">
        <v>1592</v>
      </c>
      <c r="B3722" s="1" t="s">
        <v>26</v>
      </c>
      <c r="C3722" s="1" t="s">
        <v>3033</v>
      </c>
      <c r="D3722" s="1" t="s">
        <v>19</v>
      </c>
      <c r="E3722" s="12">
        <f>6*F3722</f>
        <v>1.7814000000000001</v>
      </c>
      <c r="F3722" s="12">
        <f>Systems!D167</f>
        <v>0.2969</v>
      </c>
      <c r="G3722" s="1" t="s">
        <v>14</v>
      </c>
      <c r="H3722" s="1" t="s">
        <v>51</v>
      </c>
    </row>
    <row r="3723" spans="1:8">
      <c r="A3723" s="1" t="s">
        <v>1593</v>
      </c>
      <c r="B3723" s="1" t="s">
        <v>26</v>
      </c>
      <c r="C3723" s="1" t="s">
        <v>3033</v>
      </c>
      <c r="D3723" s="1" t="s">
        <v>19</v>
      </c>
      <c r="E3723" s="12">
        <f>6*F3723</f>
        <v>1.7814000000000001</v>
      </c>
      <c r="F3723" s="12">
        <f>Systems!D167</f>
        <v>0.2969</v>
      </c>
      <c r="G3723" s="1" t="s">
        <v>14</v>
      </c>
      <c r="H3723" s="1" t="s">
        <v>51</v>
      </c>
    </row>
    <row r="3724" spans="1:8">
      <c r="A3724" s="1" t="s">
        <v>1616</v>
      </c>
      <c r="B3724" s="1" t="s">
        <v>26</v>
      </c>
      <c r="C3724" s="1" t="s">
        <v>3033</v>
      </c>
      <c r="D3724" s="1" t="s">
        <v>19</v>
      </c>
      <c r="E3724" s="12">
        <f>F3724/16</f>
        <v>1.855625E-2</v>
      </c>
      <c r="F3724" s="12">
        <f>Systems!D167</f>
        <v>0.2969</v>
      </c>
      <c r="G3724" s="1" t="s">
        <v>14</v>
      </c>
      <c r="H3724" s="1" t="s">
        <v>51</v>
      </c>
    </row>
    <row r="3725" spans="1:8">
      <c r="A3725" s="1" t="s">
        <v>981</v>
      </c>
      <c r="B3725" s="1" t="s">
        <v>26</v>
      </c>
      <c r="C3725" s="1" t="s">
        <v>3033</v>
      </c>
      <c r="D3725" s="1" t="s">
        <v>19</v>
      </c>
      <c r="E3725" s="12">
        <f>9000*F3725</f>
        <v>2672.1</v>
      </c>
      <c r="F3725" s="12">
        <f>Systems!D167</f>
        <v>0.2969</v>
      </c>
      <c r="G3725" s="1" t="s">
        <v>14</v>
      </c>
      <c r="H3725" s="1" t="s">
        <v>51</v>
      </c>
    </row>
    <row r="3726" spans="1:8">
      <c r="A3726" s="1" t="s">
        <v>200</v>
      </c>
      <c r="B3726" s="1" t="s">
        <v>6949</v>
      </c>
      <c r="C3726" s="1" t="s">
        <v>3033</v>
      </c>
      <c r="D3726" s="1" t="s">
        <v>19</v>
      </c>
      <c r="E3726" s="12">
        <f>F3726</f>
        <v>0.2969</v>
      </c>
      <c r="F3726" s="12">
        <f>Systems!D167</f>
        <v>0.2969</v>
      </c>
      <c r="G3726" s="1" t="s">
        <v>14</v>
      </c>
      <c r="H3726" s="1" t="s">
        <v>51</v>
      </c>
    </row>
    <row r="3727" spans="1:8">
      <c r="A3727" s="1" t="s">
        <v>861</v>
      </c>
      <c r="B3727" s="1" t="s">
        <v>26</v>
      </c>
      <c r="C3727" s="1" t="s">
        <v>3033</v>
      </c>
      <c r="D3727" s="1" t="s">
        <v>19</v>
      </c>
      <c r="E3727" s="12">
        <f>F3727</f>
        <v>0.2969</v>
      </c>
      <c r="F3727" s="12">
        <f>Systems!D167</f>
        <v>0.2969</v>
      </c>
      <c r="G3727" s="1" t="s">
        <v>14</v>
      </c>
      <c r="H3727" s="1" t="s">
        <v>51</v>
      </c>
    </row>
    <row r="3728" spans="1:8">
      <c r="A3728" s="1" t="s">
        <v>1901</v>
      </c>
      <c r="B3728" s="1" t="s">
        <v>26</v>
      </c>
      <c r="C3728" s="1" t="s">
        <v>3033</v>
      </c>
      <c r="D3728" s="1" t="s">
        <v>19</v>
      </c>
      <c r="E3728" s="12">
        <f>F3728/2</f>
        <v>0.14845</v>
      </c>
      <c r="F3728" s="12">
        <f>Systems!D167</f>
        <v>0.2969</v>
      </c>
      <c r="G3728" s="1" t="s">
        <v>14</v>
      </c>
      <c r="H3728" s="1" t="s">
        <v>51</v>
      </c>
    </row>
    <row r="3729" spans="1:8">
      <c r="A3729" s="1" t="s">
        <v>1914</v>
      </c>
      <c r="B3729" s="1" t="s">
        <v>26</v>
      </c>
      <c r="C3729" s="1" t="s">
        <v>3033</v>
      </c>
      <c r="D3729" s="1" t="s">
        <v>19</v>
      </c>
      <c r="E3729" s="12">
        <f>53890*F3729</f>
        <v>15999.941000000001</v>
      </c>
      <c r="F3729" s="12">
        <f>Systems!D167</f>
        <v>0.2969</v>
      </c>
      <c r="G3729" s="1" t="s">
        <v>14</v>
      </c>
      <c r="H3729" s="1" t="s">
        <v>51</v>
      </c>
    </row>
    <row r="3730" spans="1:8">
      <c r="A3730" s="1" t="s">
        <v>1970</v>
      </c>
      <c r="B3730" s="1" t="s">
        <v>26</v>
      </c>
      <c r="C3730" s="1" t="s">
        <v>3033</v>
      </c>
      <c r="D3730" s="1" t="s">
        <v>19</v>
      </c>
      <c r="E3730" s="12">
        <f>F3730/144</f>
        <v>2.0618055555555554E-3</v>
      </c>
      <c r="F3730" s="12">
        <f>Systems!D167</f>
        <v>0.2969</v>
      </c>
      <c r="G3730" s="1" t="s">
        <v>14</v>
      </c>
      <c r="H3730" s="1" t="s">
        <v>51</v>
      </c>
    </row>
    <row r="3731" spans="1:8">
      <c r="A3731" s="1" t="s">
        <v>293</v>
      </c>
      <c r="B3731" s="1" t="s">
        <v>26</v>
      </c>
      <c r="C3731" s="1" t="s">
        <v>3033</v>
      </c>
      <c r="D3731" s="1" t="s">
        <v>19</v>
      </c>
      <c r="E3731" s="12">
        <f>18000*F3731</f>
        <v>5344.2</v>
      </c>
      <c r="F3731" s="12">
        <f>Systems!D167</f>
        <v>0.2969</v>
      </c>
      <c r="G3731" s="1" t="s">
        <v>14</v>
      </c>
      <c r="H3731" s="1" t="s">
        <v>51</v>
      </c>
    </row>
    <row r="3732" spans="1:8">
      <c r="A3732" s="1" t="s">
        <v>2149</v>
      </c>
      <c r="B3732" s="1" t="s">
        <v>26</v>
      </c>
      <c r="C3732" s="1" t="s">
        <v>3033</v>
      </c>
      <c r="D3732" s="1" t="s">
        <v>19</v>
      </c>
      <c r="E3732" s="12">
        <f>10000*F3732</f>
        <v>10000</v>
      </c>
      <c r="F3732" s="12">
        <f>SI!E3</f>
        <v>1</v>
      </c>
      <c r="G3732" s="1" t="s">
        <v>14</v>
      </c>
      <c r="H3732" s="1" t="s">
        <v>51</v>
      </c>
    </row>
    <row r="3733" spans="1:8">
      <c r="A3733" s="1" t="s">
        <v>2371</v>
      </c>
      <c r="B3733" s="1" t="s">
        <v>26</v>
      </c>
      <c r="C3733" s="1" t="s">
        <v>3033</v>
      </c>
      <c r="D3733" s="1" t="s">
        <v>19</v>
      </c>
      <c r="E3733" s="12">
        <f>160*F3733</f>
        <v>47.503999999999998</v>
      </c>
      <c r="F3733" s="12">
        <f>Systems!D167</f>
        <v>0.2969</v>
      </c>
      <c r="G3733" s="1" t="s">
        <v>14</v>
      </c>
      <c r="H3733" s="1" t="s">
        <v>51</v>
      </c>
    </row>
    <row r="3734" spans="1:8">
      <c r="A3734" s="1" t="s">
        <v>365</v>
      </c>
      <c r="B3734" s="1" t="s">
        <v>26</v>
      </c>
      <c r="C3734" s="1" t="s">
        <v>3033</v>
      </c>
      <c r="D3734" s="1" t="s">
        <v>19</v>
      </c>
      <c r="E3734" s="12">
        <f>160*F3734</f>
        <v>47.503999999999998</v>
      </c>
      <c r="F3734" s="12">
        <f>Systems!D167</f>
        <v>0.2969</v>
      </c>
      <c r="G3734" s="1" t="s">
        <v>14</v>
      </c>
      <c r="H3734" s="1" t="s">
        <v>51</v>
      </c>
    </row>
    <row r="3735" spans="1:8">
      <c r="A3735" s="1" t="s">
        <v>2528</v>
      </c>
      <c r="B3735" s="1" t="s">
        <v>26</v>
      </c>
      <c r="C3735" s="1" t="s">
        <v>3033</v>
      </c>
      <c r="D3735" s="1" t="s">
        <v>19</v>
      </c>
      <c r="E3735" s="12">
        <f>16840*F3735</f>
        <v>4999.7960000000003</v>
      </c>
      <c r="F3735" s="12">
        <f>Systems!D167</f>
        <v>0.2969</v>
      </c>
      <c r="G3735" s="1" t="s">
        <v>14</v>
      </c>
      <c r="H3735" s="1" t="s">
        <v>51</v>
      </c>
    </row>
    <row r="3736" spans="1:8">
      <c r="A3736" s="1" t="s">
        <v>2559</v>
      </c>
      <c r="B3736" s="1" t="s">
        <v>26</v>
      </c>
      <c r="C3736" s="1" t="s">
        <v>3033</v>
      </c>
      <c r="D3736" s="1" t="s">
        <v>19</v>
      </c>
      <c r="E3736" s="12">
        <f>16*F3736</f>
        <v>4.7504</v>
      </c>
      <c r="F3736" s="12">
        <f>Systems!D167</f>
        <v>0.2969</v>
      </c>
      <c r="G3736" s="1" t="s">
        <v>14</v>
      </c>
      <c r="H3736" s="1" t="s">
        <v>51</v>
      </c>
    </row>
    <row r="3737" spans="1:8">
      <c r="A3737" s="1" t="s">
        <v>2569</v>
      </c>
      <c r="B3737" s="1" t="s">
        <v>26</v>
      </c>
      <c r="C3737" s="1" t="s">
        <v>3033</v>
      </c>
      <c r="D3737" s="1" t="s">
        <v>19</v>
      </c>
      <c r="E3737" s="12">
        <f>3*F3737</f>
        <v>0.89070000000000005</v>
      </c>
      <c r="F3737" s="12">
        <f>Systems!D167</f>
        <v>0.2969</v>
      </c>
      <c r="G3737" s="1" t="s">
        <v>14</v>
      </c>
      <c r="H3737" s="1" t="s">
        <v>51</v>
      </c>
    </row>
    <row r="3738" spans="1:8">
      <c r="A3738" s="1" t="s">
        <v>2574</v>
      </c>
      <c r="B3738" s="1" t="s">
        <v>26</v>
      </c>
      <c r="C3738" s="1" t="s">
        <v>3033</v>
      </c>
      <c r="D3738" s="1" t="s">
        <v>19</v>
      </c>
      <c r="E3738" s="12">
        <f>16*F3738</f>
        <v>4.7504</v>
      </c>
      <c r="F3738" s="12">
        <f>Systems!D167</f>
        <v>0.2969</v>
      </c>
      <c r="G3738" s="1" t="s">
        <v>14</v>
      </c>
      <c r="H3738" s="1" t="s">
        <v>51</v>
      </c>
    </row>
    <row r="3739" spans="1:8">
      <c r="A3739" s="1" t="s">
        <v>2719</v>
      </c>
      <c r="B3739" s="1" t="s">
        <v>26</v>
      </c>
      <c r="C3739" s="1" t="s">
        <v>3033</v>
      </c>
      <c r="D3739" s="1" t="s">
        <v>19</v>
      </c>
      <c r="E3739" s="12">
        <f>F3739/12</f>
        <v>2.4741666666666665E-2</v>
      </c>
      <c r="F3739" s="12">
        <f>Systems!D167</f>
        <v>0.2969</v>
      </c>
      <c r="G3739" s="1" t="s">
        <v>14</v>
      </c>
      <c r="H3739" s="1" t="s">
        <v>51</v>
      </c>
    </row>
    <row r="3740" spans="1:8">
      <c r="A3740" s="1" t="s">
        <v>2725</v>
      </c>
      <c r="B3740" s="1" t="s">
        <v>26</v>
      </c>
      <c r="C3740" s="1" t="s">
        <v>3033</v>
      </c>
      <c r="D3740" s="1" t="s">
        <v>19</v>
      </c>
      <c r="E3740" s="12">
        <f>F3740/3</f>
        <v>9.8966666666666661E-2</v>
      </c>
      <c r="F3740" s="12">
        <f>Systems!D167</f>
        <v>0.2969</v>
      </c>
      <c r="G3740" s="1" t="s">
        <v>14</v>
      </c>
      <c r="H3740" s="1" t="s">
        <v>51</v>
      </c>
    </row>
    <row r="3741" spans="1:8" ht="16.5">
      <c r="A3741" s="1" t="s">
        <v>1621</v>
      </c>
      <c r="B3741" s="1" t="s">
        <v>26</v>
      </c>
      <c r="C3741" s="1" t="s">
        <v>3034</v>
      </c>
      <c r="D3741" s="1" t="s">
        <v>38</v>
      </c>
      <c r="E3741" s="12">
        <f>28000*F3741</f>
        <v>2468.1890800000001</v>
      </c>
      <c r="F3741" s="12">
        <f>Systems!H167</f>
        <v>8.8149610000000003E-2</v>
      </c>
      <c r="G3741" s="1" t="s">
        <v>39</v>
      </c>
      <c r="H3741" s="1" t="s">
        <v>51</v>
      </c>
    </row>
    <row r="3742" spans="1:8" ht="16.5">
      <c r="A3742" s="1" t="s">
        <v>1730</v>
      </c>
      <c r="B3742" s="1" t="s">
        <v>26</v>
      </c>
      <c r="C3742" s="1" t="s">
        <v>3034</v>
      </c>
      <c r="D3742" s="1" t="s">
        <v>38</v>
      </c>
      <c r="E3742" s="12">
        <f>10000*F3742</f>
        <v>10000</v>
      </c>
      <c r="F3742" s="12">
        <f>POWER(SI!E3,2)</f>
        <v>1</v>
      </c>
      <c r="G3742" s="1" t="s">
        <v>39</v>
      </c>
      <c r="H3742" s="1" t="s">
        <v>51</v>
      </c>
    </row>
    <row r="3743" spans="1:8" ht="16.5">
      <c r="A3743" s="1" t="s">
        <v>1801</v>
      </c>
      <c r="B3743" s="1" t="s">
        <v>26</v>
      </c>
      <c r="C3743" s="1" t="s">
        <v>3034</v>
      </c>
      <c r="D3743" s="1" t="s">
        <v>38</v>
      </c>
      <c r="E3743" s="12">
        <f>1000*F3743</f>
        <v>88.14961000000001</v>
      </c>
      <c r="F3743" s="12">
        <f>POWER(Systems!D167,2)</f>
        <v>8.8149610000000003E-2</v>
      </c>
      <c r="G3743" s="1" t="s">
        <v>39</v>
      </c>
      <c r="H3743" s="1" t="s">
        <v>51</v>
      </c>
    </row>
    <row r="3744" spans="1:8" ht="16.5">
      <c r="A3744" s="1" t="s">
        <v>1809</v>
      </c>
      <c r="B3744" s="1" t="s">
        <v>26</v>
      </c>
      <c r="C3744" s="1" t="s">
        <v>3034</v>
      </c>
      <c r="D3744" s="1" t="s">
        <v>38</v>
      </c>
      <c r="E3744" s="12">
        <f>1750*F3744</f>
        <v>154.26181750000001</v>
      </c>
      <c r="F3744" s="12">
        <f>Systems!H167</f>
        <v>8.8149610000000003E-2</v>
      </c>
      <c r="G3744" s="1" t="s">
        <v>39</v>
      </c>
      <c r="H3744" s="1" t="s">
        <v>51</v>
      </c>
    </row>
    <row r="3745" spans="1:8" ht="16.5">
      <c r="A3745" s="1" t="s">
        <v>1897</v>
      </c>
      <c r="B3745" s="1" t="s">
        <v>26</v>
      </c>
      <c r="C3745" s="1" t="s">
        <v>3034</v>
      </c>
      <c r="D3745" s="1" t="s">
        <v>38</v>
      </c>
      <c r="E3745" s="12">
        <f>F3745</f>
        <v>28560473.639999997</v>
      </c>
      <c r="F3745" s="12">
        <f>POWER(18000*Systems!D167,2)</f>
        <v>28560473.639999997</v>
      </c>
      <c r="G3745" s="1" t="s">
        <v>39</v>
      </c>
      <c r="H3745" s="1" t="s">
        <v>51</v>
      </c>
    </row>
    <row r="3746" spans="1:8" ht="16.5">
      <c r="A3746" s="1" t="s">
        <v>1898</v>
      </c>
      <c r="B3746" s="1" t="s">
        <v>26</v>
      </c>
      <c r="C3746" s="1" t="s">
        <v>3034</v>
      </c>
      <c r="D3746" s="1" t="s">
        <v>38</v>
      </c>
      <c r="E3746" s="12">
        <f>F3746/144</f>
        <v>6.1215006944444444E-4</v>
      </c>
      <c r="F3746" s="12">
        <f>Systems!H167</f>
        <v>8.8149610000000003E-2</v>
      </c>
      <c r="G3746" s="1" t="s">
        <v>39</v>
      </c>
      <c r="H3746" s="1" t="s">
        <v>51</v>
      </c>
    </row>
    <row r="3747" spans="1:8" ht="16.5">
      <c r="A3747" s="1" t="s">
        <v>1899</v>
      </c>
      <c r="B3747" s="1" t="s">
        <v>26</v>
      </c>
      <c r="C3747" s="1" t="s">
        <v>3034</v>
      </c>
      <c r="D3747" s="1" t="s">
        <v>38</v>
      </c>
      <c r="E3747" s="12">
        <f>F3747</f>
        <v>8.8149610000000003E-2</v>
      </c>
      <c r="F3747" s="12">
        <f>Systems!H167</f>
        <v>8.8149610000000003E-2</v>
      </c>
      <c r="G3747" s="1" t="s">
        <v>39</v>
      </c>
      <c r="H3747" s="1" t="s">
        <v>51</v>
      </c>
    </row>
    <row r="3748" spans="1:8" ht="16.5">
      <c r="A3748" s="1" t="s">
        <v>2311</v>
      </c>
      <c r="B3748" s="1" t="s">
        <v>26</v>
      </c>
      <c r="C3748" s="1" t="s">
        <v>3034</v>
      </c>
      <c r="D3748" s="1" t="s">
        <v>38</v>
      </c>
      <c r="E3748" s="12">
        <f>224000*F3748</f>
        <v>19745.512640000001</v>
      </c>
      <c r="F3748" s="12">
        <f>Systems!H167</f>
        <v>8.8149610000000003E-2</v>
      </c>
      <c r="G3748" s="1" t="s">
        <v>39</v>
      </c>
      <c r="H3748" s="1" t="s">
        <v>51</v>
      </c>
    </row>
    <row r="3749" spans="1:8" ht="16.5">
      <c r="A3749" s="1" t="s">
        <v>2546</v>
      </c>
      <c r="B3749" s="1" t="s">
        <v>26</v>
      </c>
      <c r="C3749" s="1" t="s">
        <v>3034</v>
      </c>
      <c r="D3749" s="1" t="s">
        <v>38</v>
      </c>
      <c r="E3749" s="12">
        <f>112000*F3749</f>
        <v>9872.7563200000004</v>
      </c>
      <c r="F3749" s="12">
        <f>Systems!H167</f>
        <v>8.8149610000000003E-2</v>
      </c>
      <c r="G3749" s="1" t="s">
        <v>39</v>
      </c>
      <c r="H3749" s="1" t="s">
        <v>51</v>
      </c>
    </row>
    <row r="3750" spans="1:8" ht="16.5">
      <c r="A3750" s="1" t="s">
        <v>4453</v>
      </c>
      <c r="B3750" s="1" t="s">
        <v>6950</v>
      </c>
      <c r="C3750" s="1" t="s">
        <v>3034</v>
      </c>
      <c r="D3750" s="1" t="s">
        <v>38</v>
      </c>
      <c r="E3750" s="12">
        <f>F3750</f>
        <v>8.8149610000000003E-2</v>
      </c>
      <c r="F3750" s="12">
        <f>POWER(Systems!D167,2)</f>
        <v>8.8149610000000003E-2</v>
      </c>
      <c r="G3750" s="1" t="s">
        <v>39</v>
      </c>
      <c r="H3750" s="1" t="s">
        <v>51</v>
      </c>
    </row>
    <row r="3751" spans="1:8" ht="16.5">
      <c r="A3751" s="1" t="s">
        <v>6932</v>
      </c>
      <c r="B3751" s="1" t="s">
        <v>26</v>
      </c>
      <c r="C3751" s="1" t="s">
        <v>3034</v>
      </c>
      <c r="D3751" s="1" t="s">
        <v>38</v>
      </c>
      <c r="E3751" s="12">
        <f>10000*F3751</f>
        <v>881.49610000000007</v>
      </c>
      <c r="F3751" s="12">
        <f>Systems!H167</f>
        <v>8.8149610000000003E-2</v>
      </c>
      <c r="G3751" s="1" t="s">
        <v>39</v>
      </c>
      <c r="H3751" s="1" t="s">
        <v>51</v>
      </c>
    </row>
    <row r="3752" spans="1:8" ht="16.5">
      <c r="A3752" s="1" t="s">
        <v>2722</v>
      </c>
      <c r="B3752" s="1" t="s">
        <v>26</v>
      </c>
      <c r="C3752" s="1" t="s">
        <v>3034</v>
      </c>
      <c r="D3752" s="1" t="s">
        <v>38</v>
      </c>
      <c r="E3752" s="12">
        <f>56000*F3752</f>
        <v>4936.3781600000002</v>
      </c>
      <c r="F3752" s="12">
        <f>POWER(Systems!D167,2)</f>
        <v>8.8149610000000003E-2</v>
      </c>
      <c r="G3752" s="1" t="s">
        <v>39</v>
      </c>
      <c r="H3752" s="1" t="s">
        <v>51</v>
      </c>
    </row>
    <row r="3753" spans="1:8" ht="16.5">
      <c r="A3753" s="1" t="s">
        <v>2723</v>
      </c>
      <c r="B3753" s="1" t="s">
        <v>26</v>
      </c>
      <c r="C3753" s="1" t="s">
        <v>3034</v>
      </c>
      <c r="D3753" s="1" t="s">
        <v>38</v>
      </c>
      <c r="E3753" s="12">
        <f>56000*F3753</f>
        <v>4936.3781600000002</v>
      </c>
      <c r="F3753" s="12">
        <f>Systems!H167</f>
        <v>8.8149610000000003E-2</v>
      </c>
      <c r="G3753" s="1" t="s">
        <v>39</v>
      </c>
      <c r="H3753" s="1" t="s">
        <v>51</v>
      </c>
    </row>
    <row r="3754" spans="1:8" ht="16.5">
      <c r="A3754" s="1" t="s">
        <v>847</v>
      </c>
      <c r="B3754" s="1" t="s">
        <v>26</v>
      </c>
      <c r="C3754" s="1" t="s">
        <v>2936</v>
      </c>
      <c r="D3754" s="1" t="s">
        <v>32</v>
      </c>
      <c r="E3754" s="12">
        <f>30*F3754</f>
        <v>7.8514857627000001E-2</v>
      </c>
      <c r="F3754" s="12">
        <f>Systems!T167</f>
        <v>2.6171619209000001E-3</v>
      </c>
      <c r="G3754" s="1" t="s">
        <v>33</v>
      </c>
      <c r="H3754" s="1" t="s">
        <v>51</v>
      </c>
    </row>
    <row r="3755" spans="1:8" ht="16.5">
      <c r="A3755" s="1" t="s">
        <v>1623</v>
      </c>
      <c r="B3755" s="1" t="s">
        <v>26</v>
      </c>
      <c r="C3755" s="1" t="s">
        <v>2936</v>
      </c>
      <c r="D3755" s="1" t="s">
        <v>32</v>
      </c>
      <c r="E3755" s="12">
        <f>7*F3755</f>
        <v>1.8320133446299999E-2</v>
      </c>
      <c r="F3755" s="12">
        <f>Systems!T167</f>
        <v>2.6171619209000001E-3</v>
      </c>
      <c r="G3755" s="1" t="s">
        <v>33</v>
      </c>
      <c r="H3755" s="1" t="s">
        <v>51</v>
      </c>
    </row>
    <row r="3756" spans="1:8" ht="16.5">
      <c r="A3756" s="1" t="s">
        <v>1714</v>
      </c>
      <c r="B3756" s="1" t="s">
        <v>26</v>
      </c>
      <c r="C3756" s="1" t="s">
        <v>2936</v>
      </c>
      <c r="D3756" s="1" t="s">
        <v>32</v>
      </c>
      <c r="E3756" s="12">
        <f>14*F3756</f>
        <v>3.6640266892599999E-2</v>
      </c>
      <c r="F3756" s="12">
        <f>Systems!T167</f>
        <v>2.6171619209000001E-3</v>
      </c>
      <c r="G3756" s="1" t="s">
        <v>33</v>
      </c>
      <c r="H3756" s="1" t="s">
        <v>51</v>
      </c>
    </row>
    <row r="3757" spans="1:8" ht="16.5">
      <c r="A3757" s="1" t="s">
        <v>1785</v>
      </c>
      <c r="B3757" s="1" t="s">
        <v>26</v>
      </c>
      <c r="C3757" s="1" t="s">
        <v>2936</v>
      </c>
      <c r="D3757" s="1" t="s">
        <v>32</v>
      </c>
      <c r="E3757" s="12">
        <f>F3757/32</f>
        <v>8.1786310028125005E-5</v>
      </c>
      <c r="F3757" s="12">
        <f>Systems!P167</f>
        <v>2.6171619209000001E-3</v>
      </c>
      <c r="G3757" s="1" t="s">
        <v>33</v>
      </c>
      <c r="H3757" s="1" t="s">
        <v>51</v>
      </c>
    </row>
    <row r="3758" spans="1:8" ht="16.5">
      <c r="A3758" s="1" t="s">
        <v>864</v>
      </c>
      <c r="B3758" s="1" t="s">
        <v>26</v>
      </c>
      <c r="C3758" s="1" t="s">
        <v>2936</v>
      </c>
      <c r="D3758" s="1" t="s">
        <v>32</v>
      </c>
      <c r="E3758" s="12">
        <f>F3758</f>
        <v>2.6171619209000001E-3</v>
      </c>
      <c r="F3758" s="12">
        <f>Systems!T167</f>
        <v>2.6171619209000001E-3</v>
      </c>
      <c r="G3758" s="1" t="s">
        <v>33</v>
      </c>
      <c r="H3758" s="1" t="s">
        <v>51</v>
      </c>
    </row>
    <row r="3759" spans="1:8" ht="16.5">
      <c r="A3759" s="1" t="s">
        <v>1808</v>
      </c>
      <c r="B3759" s="1" t="s">
        <v>26</v>
      </c>
      <c r="C3759" s="1" t="s">
        <v>2936</v>
      </c>
      <c r="D3759" s="1" t="s">
        <v>32</v>
      </c>
      <c r="E3759" s="12">
        <f>7*F3759/4</f>
        <v>4.5800333615749998E-3</v>
      </c>
      <c r="F3759" s="12">
        <f>Systems!T167</f>
        <v>2.6171619209000001E-3</v>
      </c>
      <c r="G3759" s="1" t="s">
        <v>33</v>
      </c>
      <c r="H3759" s="1" t="s">
        <v>51</v>
      </c>
    </row>
    <row r="3760" spans="1:8" ht="16.5">
      <c r="A3760" s="1" t="s">
        <v>1863</v>
      </c>
      <c r="B3760" s="1" t="s">
        <v>26</v>
      </c>
      <c r="C3760" s="1" t="s">
        <v>2936</v>
      </c>
      <c r="D3760" s="1" t="s">
        <v>32</v>
      </c>
      <c r="E3760" s="12">
        <f>756*F3760</f>
        <v>1.9785744122004001</v>
      </c>
      <c r="F3760" s="12">
        <f>Systems!T167</f>
        <v>2.6171619209000001E-3</v>
      </c>
      <c r="G3760" s="1" t="s">
        <v>33</v>
      </c>
      <c r="H3760" s="1" t="s">
        <v>51</v>
      </c>
    </row>
    <row r="3761" spans="1:8" ht="16.5">
      <c r="A3761" s="1" t="s">
        <v>1865</v>
      </c>
      <c r="B3761" s="1" t="s">
        <v>26</v>
      </c>
      <c r="C3761" s="1" t="s">
        <v>2936</v>
      </c>
      <c r="D3761" s="1" t="s">
        <v>32</v>
      </c>
      <c r="E3761" s="12">
        <f>63*F3761</f>
        <v>0.16488120101670001</v>
      </c>
      <c r="F3761" s="12">
        <f>Systems!P167</f>
        <v>2.6171619209000001E-3</v>
      </c>
      <c r="G3761" s="1" t="s">
        <v>33</v>
      </c>
      <c r="H3761" s="1" t="s">
        <v>51</v>
      </c>
    </row>
    <row r="3762" spans="1:8" ht="16.5">
      <c r="A3762" s="1" t="s">
        <v>1890</v>
      </c>
      <c r="B3762" s="1" t="s">
        <v>26</v>
      </c>
      <c r="C3762" s="1" t="s">
        <v>2936</v>
      </c>
      <c r="D3762" s="1" t="s">
        <v>32</v>
      </c>
      <c r="E3762" s="12">
        <f>F3762</f>
        <v>5.6530697491440014</v>
      </c>
      <c r="F3762" s="12">
        <f>POWER(6*Systems!D167,3)</f>
        <v>5.6530697491440014</v>
      </c>
      <c r="G3762" s="1" t="s">
        <v>33</v>
      </c>
      <c r="H3762" s="1" t="s">
        <v>51</v>
      </c>
    </row>
    <row r="3763" spans="1:8" ht="16.5">
      <c r="A3763" s="1" t="s">
        <v>2180</v>
      </c>
      <c r="B3763" s="1" t="s">
        <v>26</v>
      </c>
      <c r="C3763" s="1" t="s">
        <v>2936</v>
      </c>
      <c r="D3763" s="1" t="s">
        <v>32</v>
      </c>
      <c r="E3763" s="12">
        <f>F3763/32</f>
        <v>8.1786310028125005E-5</v>
      </c>
      <c r="F3763" s="12">
        <f>Systems!P167</f>
        <v>2.6171619209000001E-3</v>
      </c>
      <c r="G3763" s="1" t="s">
        <v>33</v>
      </c>
      <c r="H3763" s="1" t="s">
        <v>51</v>
      </c>
    </row>
    <row r="3764" spans="1:8" ht="16.5">
      <c r="A3764" s="1" t="s">
        <v>1902</v>
      </c>
      <c r="B3764" s="1" t="s">
        <v>26</v>
      </c>
      <c r="C3764" s="1" t="s">
        <v>2936</v>
      </c>
      <c r="D3764" s="1" t="s">
        <v>32</v>
      </c>
      <c r="E3764" s="12">
        <f>F3764/6</f>
        <v>4.3619365348333334E-4</v>
      </c>
      <c r="F3764" s="12">
        <f>Systems!P167</f>
        <v>2.6171619209000001E-3</v>
      </c>
      <c r="G3764" s="1" t="s">
        <v>33</v>
      </c>
      <c r="H3764" s="1" t="s">
        <v>51</v>
      </c>
    </row>
    <row r="3765" spans="1:8" ht="16.5">
      <c r="A3765" s="1" t="s">
        <v>2544</v>
      </c>
      <c r="B3765" s="1" t="s">
        <v>26</v>
      </c>
      <c r="C3765" s="1" t="s">
        <v>2936</v>
      </c>
      <c r="D3765" s="1" t="s">
        <v>32</v>
      </c>
      <c r="E3765" s="12">
        <f>28*F3765</f>
        <v>7.3280533785199997E-2</v>
      </c>
      <c r="F3765" s="12">
        <f>Systems!P167</f>
        <v>2.6171619209000001E-3</v>
      </c>
      <c r="G3765" s="1" t="s">
        <v>33</v>
      </c>
      <c r="H3765" s="1" t="s">
        <v>51</v>
      </c>
    </row>
    <row r="3766" spans="1:8" ht="16.5">
      <c r="A3766" s="1" t="s">
        <v>2557</v>
      </c>
      <c r="B3766" s="1" t="s">
        <v>603</v>
      </c>
      <c r="C3766" s="1" t="s">
        <v>2936</v>
      </c>
      <c r="D3766" s="1" t="s">
        <v>32</v>
      </c>
      <c r="E3766" s="12">
        <f>165*F3766</f>
        <v>4.6722796876800006</v>
      </c>
      <c r="F3766" s="12">
        <f>POWER(Systems!D6,3)</f>
        <v>2.8316846592000004E-2</v>
      </c>
      <c r="G3766" s="1" t="s">
        <v>33</v>
      </c>
      <c r="H3766" s="1" t="s">
        <v>51</v>
      </c>
    </row>
    <row r="3767" spans="1:8" ht="16.5">
      <c r="A3767" s="1" t="s">
        <v>605</v>
      </c>
      <c r="B3767" s="1" t="s">
        <v>26</v>
      </c>
      <c r="C3767" s="1" t="s">
        <v>2936</v>
      </c>
      <c r="D3767" s="1" t="s">
        <v>32</v>
      </c>
      <c r="E3767" s="12">
        <f>F3767/2</f>
        <v>1.3085809604500001E-3</v>
      </c>
      <c r="F3767" s="12">
        <f>Systems!T167</f>
        <v>2.6171619209000001E-3</v>
      </c>
      <c r="G3767" s="1" t="s">
        <v>33</v>
      </c>
      <c r="H3767" s="1" t="s">
        <v>51</v>
      </c>
    </row>
    <row r="3768" spans="1:8" ht="16.5">
      <c r="A3768" s="1" t="s">
        <v>867</v>
      </c>
      <c r="B3768" s="1" t="s">
        <v>26</v>
      </c>
      <c r="C3768" s="1" t="s">
        <v>2936</v>
      </c>
      <c r="D3768" s="1" t="s">
        <v>32</v>
      </c>
      <c r="E3768" s="12">
        <f>56*F3768</f>
        <v>0.14656106757039999</v>
      </c>
      <c r="F3768" s="12">
        <f>Systems!T167</f>
        <v>2.6171619209000001E-3</v>
      </c>
      <c r="G3768" s="1" t="s">
        <v>33</v>
      </c>
      <c r="H3768" s="1" t="s">
        <v>51</v>
      </c>
    </row>
    <row r="3769" spans="1:8" ht="16.5">
      <c r="A3769" s="1" t="s">
        <v>69</v>
      </c>
      <c r="B3769" s="1" t="s">
        <v>26</v>
      </c>
      <c r="C3769" s="1" t="s">
        <v>2935</v>
      </c>
      <c r="D3769" s="1" t="s">
        <v>32</v>
      </c>
      <c r="E3769" s="12">
        <f>60*F3769</f>
        <v>0.157029715254</v>
      </c>
      <c r="F3769" s="12">
        <f>Systems!P167</f>
        <v>2.6171619209000001E-3</v>
      </c>
      <c r="G3769" s="1" t="s">
        <v>33</v>
      </c>
      <c r="H3769" s="1" t="s">
        <v>51</v>
      </c>
    </row>
    <row r="3770" spans="1:8" ht="16.5">
      <c r="A3770" s="1" t="s">
        <v>1214</v>
      </c>
      <c r="B3770" s="1" t="s">
        <v>26</v>
      </c>
      <c r="C3770" s="1" t="s">
        <v>2935</v>
      </c>
      <c r="D3770" s="1" t="s">
        <v>32</v>
      </c>
      <c r="E3770" s="12">
        <f>15*F3770</f>
        <v>3.92574288135E-2</v>
      </c>
      <c r="F3770" s="12">
        <f>Systems!P167</f>
        <v>2.6171619209000001E-3</v>
      </c>
      <c r="G3770" s="1" t="s">
        <v>33</v>
      </c>
      <c r="H3770" s="1" t="s">
        <v>51</v>
      </c>
    </row>
    <row r="3771" spans="1:8" ht="16.5">
      <c r="A3771" s="1" t="s">
        <v>1215</v>
      </c>
      <c r="B3771" s="1" t="s">
        <v>26</v>
      </c>
      <c r="C3771" s="1" t="s">
        <v>2935</v>
      </c>
      <c r="D3771" s="1" t="s">
        <v>32</v>
      </c>
      <c r="E3771" s="12">
        <f>15*F3771</f>
        <v>3.92574288135E-2</v>
      </c>
      <c r="F3771" s="12">
        <f>Systems!P167</f>
        <v>2.6171619209000001E-3</v>
      </c>
      <c r="G3771" s="1" t="s">
        <v>33</v>
      </c>
      <c r="H3771" s="1" t="s">
        <v>51</v>
      </c>
    </row>
    <row r="3772" spans="1:8" ht="16.5">
      <c r="A3772" s="1" t="s">
        <v>2970</v>
      </c>
      <c r="B3772" s="1" t="s">
        <v>26</v>
      </c>
      <c r="C3772" s="1" t="s">
        <v>2935</v>
      </c>
      <c r="D3772" s="1" t="s">
        <v>32</v>
      </c>
      <c r="E3772" s="12">
        <f>60*F3772</f>
        <v>0.157029715254</v>
      </c>
      <c r="F3772" s="12">
        <f>Systems!P167</f>
        <v>2.6171619209000001E-3</v>
      </c>
      <c r="G3772" s="1" t="s">
        <v>33</v>
      </c>
      <c r="H3772" s="1" t="s">
        <v>51</v>
      </c>
    </row>
    <row r="3773" spans="1:8" ht="16.5">
      <c r="A3773" s="1" t="s">
        <v>1620</v>
      </c>
      <c r="B3773" s="1" t="s">
        <v>26</v>
      </c>
      <c r="C3773" s="1" t="s">
        <v>2935</v>
      </c>
      <c r="D3773" s="1" t="s">
        <v>32</v>
      </c>
      <c r="E3773" s="12">
        <f>12*F3773</f>
        <v>3.1405943050800002E-2</v>
      </c>
      <c r="F3773" s="12">
        <f>Systems!P167</f>
        <v>2.6171619209000001E-3</v>
      </c>
      <c r="G3773" s="1" t="s">
        <v>33</v>
      </c>
      <c r="H3773" s="1" t="s">
        <v>51</v>
      </c>
    </row>
    <row r="3774" spans="1:8" ht="16.5">
      <c r="A3774" s="1" t="s">
        <v>1637</v>
      </c>
      <c r="B3774" s="1" t="s">
        <v>26</v>
      </c>
      <c r="C3774" s="1" t="s">
        <v>2935</v>
      </c>
      <c r="D3774" s="1" t="s">
        <v>32</v>
      </c>
      <c r="E3774" s="12">
        <f>360*F3774</f>
        <v>0.94217829152400001</v>
      </c>
      <c r="F3774" s="12">
        <f>Systems!P167</f>
        <v>2.6171619209000001E-3</v>
      </c>
      <c r="G3774" s="1" t="s">
        <v>33</v>
      </c>
      <c r="H3774" s="1" t="s">
        <v>51</v>
      </c>
    </row>
    <row r="3775" spans="1:8" ht="16.5">
      <c r="A3775" s="1" t="s">
        <v>1784</v>
      </c>
      <c r="B3775" s="1" t="s">
        <v>26</v>
      </c>
      <c r="C3775" s="1" t="s">
        <v>2935</v>
      </c>
      <c r="D3775" s="1" t="s">
        <v>32</v>
      </c>
      <c r="E3775" s="12">
        <f>F3775/32</f>
        <v>8.1786310028125005E-5</v>
      </c>
      <c r="F3775" s="12">
        <f>Systems!P167</f>
        <v>2.6171619209000001E-3</v>
      </c>
      <c r="G3775" s="1" t="s">
        <v>33</v>
      </c>
      <c r="H3775" s="1" t="s">
        <v>51</v>
      </c>
    </row>
    <row r="3776" spans="1:8" ht="16.5">
      <c r="A3776" s="1" t="s">
        <v>1901</v>
      </c>
      <c r="B3776" s="1" t="s">
        <v>26</v>
      </c>
      <c r="C3776" s="1" t="s">
        <v>2935</v>
      </c>
      <c r="D3776" s="1" t="s">
        <v>32</v>
      </c>
      <c r="E3776" s="12">
        <f>F3776/6</f>
        <v>4.3619365348333334E-4</v>
      </c>
      <c r="F3776" s="12">
        <f>Systems!P167</f>
        <v>2.6171619209000001E-3</v>
      </c>
      <c r="G3776" s="1" t="s">
        <v>33</v>
      </c>
      <c r="H3776" s="1" t="s">
        <v>51</v>
      </c>
    </row>
    <row r="3777" spans="1:8" ht="16.5">
      <c r="A3777" s="1" t="s">
        <v>314</v>
      </c>
      <c r="B3777" s="1" t="s">
        <v>26</v>
      </c>
      <c r="C3777" s="1" t="s">
        <v>2935</v>
      </c>
      <c r="D3777" s="1" t="s">
        <v>32</v>
      </c>
      <c r="E3777" s="12">
        <f>60*F3777</f>
        <v>0.157029715254</v>
      </c>
      <c r="F3777" s="12">
        <f>Systems!P167</f>
        <v>2.6171619209000001E-3</v>
      </c>
      <c r="G3777" s="1" t="s">
        <v>33</v>
      </c>
      <c r="H3777" s="1" t="s">
        <v>51</v>
      </c>
    </row>
    <row r="3778" spans="1:8" ht="16.5">
      <c r="A3778" s="1" t="s">
        <v>2196</v>
      </c>
      <c r="B3778" s="1" t="s">
        <v>26</v>
      </c>
      <c r="C3778" s="1" t="s">
        <v>2935</v>
      </c>
      <c r="D3778" s="1" t="s">
        <v>32</v>
      </c>
      <c r="E3778" s="12">
        <f>90*F3778</f>
        <v>0.235544572881</v>
      </c>
      <c r="F3778" s="12">
        <f>Systems!P167</f>
        <v>2.6171619209000001E-3</v>
      </c>
      <c r="G3778" s="1" t="s">
        <v>33</v>
      </c>
      <c r="H3778" s="1" t="s">
        <v>51</v>
      </c>
    </row>
    <row r="3779" spans="1:8" ht="16.5">
      <c r="A3779" s="1" t="s">
        <v>2255</v>
      </c>
      <c r="B3779" s="1" t="s">
        <v>26</v>
      </c>
      <c r="C3779" s="1" t="s">
        <v>2935</v>
      </c>
      <c r="D3779" s="1" t="s">
        <v>32</v>
      </c>
      <c r="E3779" s="12">
        <f>180*F3779</f>
        <v>0.47108914576200001</v>
      </c>
      <c r="F3779" s="12">
        <f>Systems!P167</f>
        <v>2.6171619209000001E-3</v>
      </c>
      <c r="G3779" s="1" t="s">
        <v>33</v>
      </c>
      <c r="H3779" s="1" t="s">
        <v>51</v>
      </c>
    </row>
    <row r="3780" spans="1:8" ht="16.5">
      <c r="A3780" s="1" t="s">
        <v>579</v>
      </c>
      <c r="B3780" s="1" t="s">
        <v>26</v>
      </c>
      <c r="C3780" s="1" t="s">
        <v>2935</v>
      </c>
      <c r="D3780" s="1" t="s">
        <v>32</v>
      </c>
      <c r="E3780" s="12">
        <f>10*F3780/27</f>
        <v>9.6931922996296301E-4</v>
      </c>
      <c r="F3780" s="12">
        <f>Systems!P167</f>
        <v>2.6171619209000001E-3</v>
      </c>
      <c r="G3780" s="1" t="s">
        <v>33</v>
      </c>
      <c r="H3780" s="1" t="s">
        <v>51</v>
      </c>
    </row>
    <row r="3781" spans="1:8" ht="16.5">
      <c r="A3781" s="1" t="s">
        <v>1902</v>
      </c>
      <c r="B3781" s="1" t="s">
        <v>26</v>
      </c>
      <c r="C3781" s="1" t="s">
        <v>2935</v>
      </c>
      <c r="D3781" s="1" t="s">
        <v>32</v>
      </c>
      <c r="E3781" s="12">
        <f>F3781/6</f>
        <v>4.3619365348333334E-4</v>
      </c>
      <c r="F3781" s="12">
        <f>Systems!P167</f>
        <v>2.6171619209000001E-3</v>
      </c>
      <c r="G3781" s="1" t="s">
        <v>33</v>
      </c>
      <c r="H3781" s="1" t="s">
        <v>51</v>
      </c>
    </row>
    <row r="3782" spans="1:8" ht="16.5">
      <c r="A3782" s="1" t="s">
        <v>605</v>
      </c>
      <c r="B3782" s="1" t="s">
        <v>26</v>
      </c>
      <c r="C3782" s="1" t="s">
        <v>2935</v>
      </c>
      <c r="D3782" s="1" t="s">
        <v>32</v>
      </c>
      <c r="E3782" s="12">
        <f>F3782/2</f>
        <v>1.3085809604500001E-3</v>
      </c>
      <c r="F3782" s="12">
        <f>Systems!P167</f>
        <v>2.6171619209000001E-3</v>
      </c>
      <c r="G3782" s="1" t="s">
        <v>33</v>
      </c>
      <c r="H3782" s="1" t="s">
        <v>51</v>
      </c>
    </row>
    <row r="3783" spans="1:8" ht="16.5">
      <c r="A3783" s="1" t="s">
        <v>2582</v>
      </c>
      <c r="B3783" s="1" t="s">
        <v>26</v>
      </c>
      <c r="C3783" s="1" t="s">
        <v>2935</v>
      </c>
      <c r="D3783" s="1" t="s">
        <v>32</v>
      </c>
      <c r="E3783" s="12">
        <f>1440*F3783</f>
        <v>3.768713166096</v>
      </c>
      <c r="F3783" s="12">
        <f>Systems!P167</f>
        <v>2.6171619209000001E-3</v>
      </c>
      <c r="G3783" s="1" t="s">
        <v>33</v>
      </c>
      <c r="H3783" s="1" t="s">
        <v>51</v>
      </c>
    </row>
    <row r="3784" spans="1:8" ht="16.5">
      <c r="A3784" s="1" t="s">
        <v>867</v>
      </c>
      <c r="B3784" s="1" t="s">
        <v>26</v>
      </c>
      <c r="C3784" s="1" t="s">
        <v>2935</v>
      </c>
      <c r="D3784" s="1" t="s">
        <v>32</v>
      </c>
      <c r="E3784" s="12">
        <f>48*F3784</f>
        <v>0.12562377220320001</v>
      </c>
      <c r="F3784" s="12">
        <f>Systems!P167</f>
        <v>2.6171619209000001E-3</v>
      </c>
      <c r="G3784" s="1" t="s">
        <v>33</v>
      </c>
      <c r="H3784" s="1" t="s">
        <v>51</v>
      </c>
    </row>
    <row r="3785" spans="1:8">
      <c r="A3785" s="1" t="s">
        <v>1237</v>
      </c>
      <c r="B3785" s="1" t="s">
        <v>26</v>
      </c>
      <c r="C3785" s="1" t="s">
        <v>17</v>
      </c>
      <c r="D3785" s="1" t="s">
        <v>20</v>
      </c>
      <c r="E3785" s="12">
        <f>F3785/8848</f>
        <v>4.8042461844484624E-5</v>
      </c>
      <c r="F3785" s="12">
        <f>Systems!L167</f>
        <v>0.42507970239999998</v>
      </c>
      <c r="G3785" s="1" t="s">
        <v>23</v>
      </c>
      <c r="H3785" s="1" t="s">
        <v>51</v>
      </c>
    </row>
    <row r="3786" spans="1:8">
      <c r="A3786" s="1" t="s">
        <v>1297</v>
      </c>
      <c r="B3786" s="1" t="s">
        <v>26</v>
      </c>
      <c r="C3786" s="1" t="s">
        <v>17</v>
      </c>
      <c r="D3786" s="1" t="s">
        <v>20</v>
      </c>
      <c r="E3786" s="12">
        <f>12*F3786</f>
        <v>5.1009564288</v>
      </c>
      <c r="F3786" s="12">
        <f>Systems!L167</f>
        <v>0.42507970239999998</v>
      </c>
      <c r="G3786" s="1" t="s">
        <v>23</v>
      </c>
      <c r="H3786" s="1" t="s">
        <v>51</v>
      </c>
    </row>
    <row r="3787" spans="1:8">
      <c r="A3787" s="1" t="s">
        <v>1376</v>
      </c>
      <c r="B3787" s="1" t="s">
        <v>26</v>
      </c>
      <c r="C3787" s="1" t="s">
        <v>17</v>
      </c>
      <c r="D3787" s="1" t="s">
        <v>20</v>
      </c>
      <c r="E3787" s="12">
        <f>100*F3787</f>
        <v>42.507970239999999</v>
      </c>
      <c r="F3787" s="12">
        <f>Systems!L167</f>
        <v>0.42507970239999998</v>
      </c>
      <c r="G3787" s="1" t="s">
        <v>23</v>
      </c>
      <c r="H3787" s="1" t="s">
        <v>51</v>
      </c>
    </row>
    <row r="3788" spans="1:8">
      <c r="A3788" s="1" t="s">
        <v>1876</v>
      </c>
      <c r="B3788" s="1" t="s">
        <v>26</v>
      </c>
      <c r="C3788" s="1" t="s">
        <v>17</v>
      </c>
      <c r="D3788" s="1" t="s">
        <v>20</v>
      </c>
      <c r="E3788" s="12">
        <f>F3788/1000</f>
        <v>4.2507970240000001E-4</v>
      </c>
      <c r="F3788" s="12">
        <f>Systems!L167</f>
        <v>0.42507970239999998</v>
      </c>
      <c r="G3788" s="1" t="s">
        <v>23</v>
      </c>
      <c r="H3788" s="1" t="s">
        <v>51</v>
      </c>
    </row>
    <row r="3789" spans="1:8">
      <c r="A3789" s="1" t="s">
        <v>1958</v>
      </c>
      <c r="B3789" s="1" t="s">
        <v>26</v>
      </c>
      <c r="C3789" s="1" t="s">
        <v>17</v>
      </c>
      <c r="D3789" s="1" t="s">
        <v>20</v>
      </c>
      <c r="E3789" s="12">
        <f>20*F3789</f>
        <v>8.5015940479999994</v>
      </c>
      <c r="F3789" s="12">
        <f>Systems!L167</f>
        <v>0.42507970239999998</v>
      </c>
      <c r="G3789" s="1" t="s">
        <v>23</v>
      </c>
      <c r="H3789" s="1" t="s">
        <v>51</v>
      </c>
    </row>
    <row r="3790" spans="1:8">
      <c r="A3790" s="1" t="s">
        <v>1973</v>
      </c>
      <c r="B3790" s="1" t="s">
        <v>26</v>
      </c>
      <c r="C3790" s="1" t="s">
        <v>17</v>
      </c>
      <c r="D3790" s="1" t="s">
        <v>20</v>
      </c>
      <c r="E3790" s="12">
        <f>20*F3790</f>
        <v>8.5015940479999994</v>
      </c>
      <c r="F3790" s="12">
        <f>Systems!L167</f>
        <v>0.42507970239999998</v>
      </c>
      <c r="G3790" s="1" t="s">
        <v>23</v>
      </c>
      <c r="H3790" s="1" t="s">
        <v>51</v>
      </c>
    </row>
    <row r="3791" spans="1:8">
      <c r="A3791" s="1" t="s">
        <v>1980</v>
      </c>
      <c r="B3791" s="1" t="s">
        <v>26</v>
      </c>
      <c r="C3791" s="1" t="s">
        <v>17</v>
      </c>
      <c r="D3791" s="1" t="s">
        <v>20</v>
      </c>
      <c r="E3791" s="12">
        <f>F3791/32</f>
        <v>1.3283740699999999E-2</v>
      </c>
      <c r="F3791" s="12">
        <f>Systems!L167</f>
        <v>0.42507970239999998</v>
      </c>
      <c r="G3791" s="1" t="s">
        <v>23</v>
      </c>
      <c r="H3791" s="1" t="s">
        <v>51</v>
      </c>
    </row>
    <row r="3792" spans="1:8">
      <c r="A3792" s="1" t="s">
        <v>2021</v>
      </c>
      <c r="B3792" s="1" t="s">
        <v>26</v>
      </c>
      <c r="C3792" s="1" t="s">
        <v>17</v>
      </c>
      <c r="D3792" s="1" t="s">
        <v>20</v>
      </c>
      <c r="E3792" s="12">
        <f>F3792/2</f>
        <v>0.21253985119999999</v>
      </c>
      <c r="F3792" s="12">
        <f>Systems!L167</f>
        <v>0.42507970239999998</v>
      </c>
      <c r="G3792" s="1" t="s">
        <v>23</v>
      </c>
      <c r="H3792" s="1" t="s">
        <v>51</v>
      </c>
    </row>
    <row r="3793" spans="1:8">
      <c r="A3793" s="1" t="s">
        <v>2148</v>
      </c>
      <c r="B3793" s="1" t="s">
        <v>26</v>
      </c>
      <c r="C3793" s="1" t="s">
        <v>17</v>
      </c>
      <c r="D3793" s="1" t="s">
        <v>20</v>
      </c>
      <c r="E3793" s="12">
        <f>12000*F3793</f>
        <v>5100.9564288000001</v>
      </c>
      <c r="F3793" s="12">
        <f>Systems!L167</f>
        <v>0.42507970239999998</v>
      </c>
      <c r="G3793" s="1" t="s">
        <v>23</v>
      </c>
      <c r="H3793" s="1" t="s">
        <v>51</v>
      </c>
    </row>
    <row r="3794" spans="1:8">
      <c r="A3794" s="1" t="s">
        <v>2180</v>
      </c>
      <c r="B3794" s="1" t="s">
        <v>26</v>
      </c>
      <c r="C3794" s="1" t="s">
        <v>17</v>
      </c>
      <c r="D3794" s="1" t="s">
        <v>20</v>
      </c>
      <c r="E3794" s="12">
        <f>F3794/100</f>
        <v>4.2507970239999996E-3</v>
      </c>
      <c r="F3794" s="12">
        <f>Systems!L167</f>
        <v>0.42507970239999998</v>
      </c>
      <c r="G3794" s="1" t="s">
        <v>23</v>
      </c>
      <c r="H3794" s="1" t="s">
        <v>51</v>
      </c>
    </row>
    <row r="3795" spans="1:8">
      <c r="A3795" s="1" t="s">
        <v>819</v>
      </c>
      <c r="B3795" s="1" t="s">
        <v>26</v>
      </c>
      <c r="C3795" s="1" t="s">
        <v>17</v>
      </c>
      <c r="D3795" s="1" t="s">
        <v>20</v>
      </c>
      <c r="E3795" s="12">
        <v>0.42507970244440002</v>
      </c>
      <c r="F3795" s="12">
        <f>Systems!L167</f>
        <v>0.42507970239999998</v>
      </c>
      <c r="G3795" s="1" t="s">
        <v>23</v>
      </c>
      <c r="H3795" s="1" t="s">
        <v>51</v>
      </c>
    </row>
    <row r="3796" spans="1:8">
      <c r="A3796" s="1" t="s">
        <v>2359</v>
      </c>
      <c r="B3796" s="1" t="s">
        <v>26</v>
      </c>
      <c r="C3796" s="1" t="s">
        <v>17</v>
      </c>
      <c r="D3796" s="1" t="s">
        <v>20</v>
      </c>
      <c r="E3796" s="12">
        <f>F3796/128</f>
        <v>3.3209351749999999E-3</v>
      </c>
      <c r="F3796" s="12">
        <f>Systems!L167</f>
        <v>0.42507970239999998</v>
      </c>
      <c r="G3796" s="1" t="s">
        <v>23</v>
      </c>
      <c r="H3796" s="1" t="s">
        <v>51</v>
      </c>
    </row>
    <row r="3797" spans="1:8">
      <c r="A3797" s="1" t="s">
        <v>863</v>
      </c>
      <c r="B3797" s="1" t="s">
        <v>26</v>
      </c>
      <c r="C3797" s="1" t="s">
        <v>17</v>
      </c>
      <c r="D3797" s="1" t="s">
        <v>20</v>
      </c>
      <c r="E3797" s="12">
        <f>F3797</f>
        <v>0.42507970239999998</v>
      </c>
      <c r="F3797" s="12">
        <f>Systems!L167</f>
        <v>0.42507970239999998</v>
      </c>
      <c r="G3797" s="1" t="s">
        <v>23</v>
      </c>
      <c r="H3797" s="1" t="s">
        <v>51</v>
      </c>
    </row>
    <row r="3798" spans="1:8">
      <c r="A3798" s="1" t="s">
        <v>2527</v>
      </c>
      <c r="B3798" s="1" t="s">
        <v>26</v>
      </c>
      <c r="C3798" s="1" t="s">
        <v>17</v>
      </c>
      <c r="D3798" s="1" t="s">
        <v>20</v>
      </c>
      <c r="E3798" s="12">
        <f>400*F3798</f>
        <v>170.03188096</v>
      </c>
      <c r="F3798" s="12">
        <f>Systems!L167</f>
        <v>0.42507970239999998</v>
      </c>
      <c r="G3798" s="1" t="s">
        <v>23</v>
      </c>
      <c r="H3798" s="1" t="s">
        <v>51</v>
      </c>
    </row>
    <row r="3799" spans="1:8">
      <c r="A3799" s="1" t="s">
        <v>2573</v>
      </c>
      <c r="B3799" s="1" t="s">
        <v>26</v>
      </c>
      <c r="C3799" s="1" t="s">
        <v>17</v>
      </c>
      <c r="D3799" s="1" t="s">
        <v>20</v>
      </c>
      <c r="E3799" s="12">
        <f>32*F3799</f>
        <v>13.602550476799999</v>
      </c>
      <c r="F3799" s="12">
        <f>Systems!L167</f>
        <v>0.42507970239999998</v>
      </c>
      <c r="G3799" s="1" t="s">
        <v>23</v>
      </c>
      <c r="H3799" s="1" t="s">
        <v>51</v>
      </c>
    </row>
    <row r="3800" spans="1:8">
      <c r="A3800" s="1" t="s">
        <v>2742</v>
      </c>
      <c r="B3800" s="1" t="s">
        <v>26</v>
      </c>
      <c r="C3800" s="1" t="s">
        <v>17</v>
      </c>
      <c r="D3800" s="1" t="s">
        <v>20</v>
      </c>
      <c r="E3800" s="12">
        <f>F3800/16</f>
        <v>2.6567481399999999E-2</v>
      </c>
      <c r="F3800" s="12">
        <f>Systems!L167</f>
        <v>0.42507970239999998</v>
      </c>
      <c r="G3800" s="1" t="s">
        <v>23</v>
      </c>
      <c r="H3800" s="1" t="s">
        <v>51</v>
      </c>
    </row>
    <row r="3801" spans="1:8">
      <c r="A3801" s="1" t="s">
        <v>2783</v>
      </c>
      <c r="B3801" s="1" t="s">
        <v>26</v>
      </c>
      <c r="C3801" s="1" t="s">
        <v>17</v>
      </c>
      <c r="D3801" s="1" t="s">
        <v>20</v>
      </c>
      <c r="E3801" s="12">
        <f>165*F3801</f>
        <v>70.138150895999999</v>
      </c>
      <c r="F3801" s="12">
        <f>Systems!L167</f>
        <v>0.42507970239999998</v>
      </c>
      <c r="G3801" s="1" t="s">
        <v>23</v>
      </c>
      <c r="H3801" s="1" t="s">
        <v>51</v>
      </c>
    </row>
    <row r="3802" spans="1:8">
      <c r="A3802" s="248"/>
      <c r="B3802" s="248"/>
      <c r="C3802" s="248"/>
      <c r="D3802" s="248"/>
      <c r="E3802" s="250"/>
      <c r="F3802" s="250"/>
      <c r="G3802" s="248"/>
      <c r="H3802" s="248"/>
    </row>
    <row r="3803" spans="1:8">
      <c r="A3803" s="1" t="s">
        <v>70</v>
      </c>
      <c r="B3803" s="1" t="s">
        <v>26</v>
      </c>
      <c r="C3803" s="1" t="s">
        <v>3033</v>
      </c>
      <c r="D3803" s="1" t="s">
        <v>19</v>
      </c>
      <c r="E3803" s="12">
        <f>2*F3803</f>
        <v>0.6</v>
      </c>
      <c r="F3803" s="12">
        <f>Systems!D168</f>
        <v>0.3</v>
      </c>
      <c r="G3803" s="1" t="s">
        <v>14</v>
      </c>
      <c r="H3803" s="1" t="s">
        <v>342</v>
      </c>
    </row>
    <row r="3804" spans="1:8">
      <c r="A3804" s="1" t="s">
        <v>6933</v>
      </c>
      <c r="B3804" s="1" t="s">
        <v>26</v>
      </c>
      <c r="C3804" s="1" t="s">
        <v>3033</v>
      </c>
      <c r="D3804" s="1" t="s">
        <v>19</v>
      </c>
      <c r="E3804" s="12">
        <f>2*F3804</f>
        <v>0.6</v>
      </c>
      <c r="F3804" s="12">
        <f>Systems!D168</f>
        <v>0.3</v>
      </c>
      <c r="G3804" s="1" t="s">
        <v>14</v>
      </c>
      <c r="H3804" s="1" t="s">
        <v>342</v>
      </c>
    </row>
    <row r="3805" spans="1:8">
      <c r="A3805" s="1" t="s">
        <v>512</v>
      </c>
      <c r="B3805" s="29" t="s">
        <v>26</v>
      </c>
      <c r="C3805" s="1" t="s">
        <v>3033</v>
      </c>
      <c r="D3805" s="1" t="s">
        <v>19</v>
      </c>
      <c r="E3805" s="12">
        <f>F3805</f>
        <v>1.8799999999999999E-4</v>
      </c>
      <c r="F3805" s="12">
        <f>Systems!D169</f>
        <v>1.8799999999999999E-4</v>
      </c>
      <c r="G3805" s="1" t="s">
        <v>14</v>
      </c>
      <c r="H3805" s="1" t="s">
        <v>342</v>
      </c>
    </row>
    <row r="3806" spans="1:8">
      <c r="A3806" s="1" t="s">
        <v>875</v>
      </c>
      <c r="B3806" s="1" t="s">
        <v>26</v>
      </c>
      <c r="C3806" s="1" t="s">
        <v>3033</v>
      </c>
      <c r="D3806" s="1" t="s">
        <v>19</v>
      </c>
      <c r="E3806" s="12">
        <f>2*F3806</f>
        <v>0.6</v>
      </c>
      <c r="F3806" s="12">
        <f>Systems!D168</f>
        <v>0.3</v>
      </c>
      <c r="G3806" s="1" t="s">
        <v>14</v>
      </c>
      <c r="H3806" s="1" t="s">
        <v>342</v>
      </c>
    </row>
    <row r="3807" spans="1:8">
      <c r="A3807" s="1" t="s">
        <v>193</v>
      </c>
      <c r="B3807" s="1" t="s">
        <v>26</v>
      </c>
      <c r="C3807" s="1" t="s">
        <v>3033</v>
      </c>
      <c r="D3807" s="1" t="s">
        <v>19</v>
      </c>
      <c r="E3807" s="12">
        <f>6*F3807</f>
        <v>1.7999999999999998</v>
      </c>
      <c r="F3807" s="12">
        <f>Systems!D168</f>
        <v>0.3</v>
      </c>
      <c r="G3807" s="1" t="s">
        <v>14</v>
      </c>
      <c r="H3807" s="1" t="s">
        <v>342</v>
      </c>
    </row>
    <row r="3808" spans="1:8">
      <c r="A3808" s="1" t="s">
        <v>817</v>
      </c>
      <c r="B3808" s="1" t="s">
        <v>26</v>
      </c>
      <c r="C3808" s="1" t="s">
        <v>3033</v>
      </c>
      <c r="D3808" s="1" t="s">
        <v>19</v>
      </c>
      <c r="E3808" s="12">
        <f>F3808</f>
        <v>0.3</v>
      </c>
      <c r="F3808" s="12">
        <f>Systems!D168</f>
        <v>0.3</v>
      </c>
      <c r="G3808" s="1" t="s">
        <v>14</v>
      </c>
      <c r="H3808" s="1" t="s">
        <v>342</v>
      </c>
    </row>
    <row r="3809" spans="1:8">
      <c r="A3809" s="1" t="s">
        <v>961</v>
      </c>
      <c r="B3809" s="1" t="s">
        <v>26</v>
      </c>
      <c r="C3809" s="1" t="s">
        <v>3033</v>
      </c>
      <c r="D3809" s="1" t="s">
        <v>19</v>
      </c>
      <c r="E3809" s="12">
        <f>6*F3809</f>
        <v>1.7999999999999998</v>
      </c>
      <c r="F3809" s="12">
        <f>Systems!D168</f>
        <v>0.3</v>
      </c>
      <c r="G3809" s="1" t="s">
        <v>14</v>
      </c>
      <c r="H3809" s="1" t="s">
        <v>342</v>
      </c>
    </row>
    <row r="3810" spans="1:8">
      <c r="A3810" s="1" t="s">
        <v>1959</v>
      </c>
      <c r="B3810" s="1" t="s">
        <v>26</v>
      </c>
      <c r="C3810" s="1" t="s">
        <v>3033</v>
      </c>
      <c r="D3810" s="1" t="s">
        <v>19</v>
      </c>
      <c r="E3810" s="12">
        <f>16000*F3810</f>
        <v>4800</v>
      </c>
      <c r="F3810" s="12">
        <f>Systems!D168</f>
        <v>0.3</v>
      </c>
      <c r="G3810" s="1" t="s">
        <v>14</v>
      </c>
      <c r="H3810" s="1" t="s">
        <v>342</v>
      </c>
    </row>
    <row r="3811" spans="1:8">
      <c r="A3811" s="1" t="s">
        <v>273</v>
      </c>
      <c r="B3811" s="1" t="s">
        <v>26</v>
      </c>
      <c r="C3811" s="1" t="s">
        <v>3033</v>
      </c>
      <c r="D3811" s="1" t="s">
        <v>19</v>
      </c>
      <c r="E3811" s="12">
        <f>F3811/144</f>
        <v>2.0833333333333333E-3</v>
      </c>
      <c r="F3811" s="12">
        <f>Systems!D168</f>
        <v>0.3</v>
      </c>
      <c r="G3811" s="1" t="s">
        <v>14</v>
      </c>
      <c r="H3811" s="1" t="s">
        <v>342</v>
      </c>
    </row>
    <row r="3812" spans="1:8">
      <c r="A3812" s="1" t="s">
        <v>1968</v>
      </c>
      <c r="B3812" s="1" t="s">
        <v>26</v>
      </c>
      <c r="C3812" s="1" t="s">
        <v>3033</v>
      </c>
      <c r="D3812" s="1" t="s">
        <v>19</v>
      </c>
      <c r="E3812" s="12">
        <f>F3812/144</f>
        <v>2.0833333333333333E-3</v>
      </c>
      <c r="F3812" s="12">
        <f>Systems!D168</f>
        <v>0.3</v>
      </c>
      <c r="G3812" s="1" t="s">
        <v>14</v>
      </c>
      <c r="H3812" s="1" t="s">
        <v>342</v>
      </c>
    </row>
    <row r="3813" spans="1:8">
      <c r="A3813" s="1" t="s">
        <v>816</v>
      </c>
      <c r="B3813" s="1" t="s">
        <v>26</v>
      </c>
      <c r="C3813" s="1" t="s">
        <v>3033</v>
      </c>
      <c r="D3813" s="1" t="s">
        <v>19</v>
      </c>
      <c r="E3813" s="12">
        <f>16*F3813</f>
        <v>4.8</v>
      </c>
      <c r="F3813" s="12">
        <f>Systems!D168</f>
        <v>0.3</v>
      </c>
      <c r="G3813" s="1" t="s">
        <v>14</v>
      </c>
      <c r="H3813" s="1" t="s">
        <v>342</v>
      </c>
    </row>
    <row r="3814" spans="1:8">
      <c r="A3814" s="1" t="s">
        <v>331</v>
      </c>
      <c r="B3814" s="1" t="s">
        <v>26</v>
      </c>
      <c r="C3814" s="1" t="s">
        <v>3033</v>
      </c>
      <c r="D3814" s="1" t="s">
        <v>19</v>
      </c>
      <c r="E3814" s="12">
        <f>F3814</f>
        <v>0.3</v>
      </c>
      <c r="F3814" s="12">
        <f>Systems!D168</f>
        <v>0.3</v>
      </c>
      <c r="G3814" s="1" t="s">
        <v>14</v>
      </c>
      <c r="H3814" s="1" t="s">
        <v>342</v>
      </c>
    </row>
    <row r="3815" spans="1:8">
      <c r="A3815" s="1" t="s">
        <v>1030</v>
      </c>
      <c r="B3815" s="1" t="s">
        <v>26</v>
      </c>
      <c r="C3815" s="1" t="s">
        <v>3033</v>
      </c>
      <c r="D3815" s="1" t="s">
        <v>19</v>
      </c>
      <c r="E3815" s="12">
        <f>F3815/12</f>
        <v>2.4999999999999998E-2</v>
      </c>
      <c r="F3815" s="12">
        <f>Systems!D168</f>
        <v>0.3</v>
      </c>
      <c r="G3815" s="1" t="s">
        <v>14</v>
      </c>
      <c r="H3815" s="1" t="s">
        <v>342</v>
      </c>
    </row>
    <row r="3816" spans="1:8">
      <c r="A3816" s="1" t="s">
        <v>2406</v>
      </c>
      <c r="B3816" s="1" t="s">
        <v>26</v>
      </c>
      <c r="C3816" s="1" t="s">
        <v>3033</v>
      </c>
      <c r="D3816" s="1" t="s">
        <v>19</v>
      </c>
      <c r="E3816" s="12">
        <f>6*F3816</f>
        <v>1.7999999999999998</v>
      </c>
      <c r="F3816" s="12">
        <f>Systems!D168</f>
        <v>0.3</v>
      </c>
      <c r="G3816" s="1" t="s">
        <v>14</v>
      </c>
      <c r="H3816" s="1" t="s">
        <v>342</v>
      </c>
    </row>
    <row r="3817" spans="1:8">
      <c r="A3817" s="1" t="s">
        <v>2587</v>
      </c>
      <c r="B3817" s="1" t="s">
        <v>26</v>
      </c>
      <c r="C3817" s="1" t="s">
        <v>3033</v>
      </c>
      <c r="D3817" s="1" t="s">
        <v>19</v>
      </c>
      <c r="E3817" s="12">
        <f>16000*F3817</f>
        <v>4800</v>
      </c>
      <c r="F3817" s="12">
        <f>Systems!D168</f>
        <v>0.3</v>
      </c>
      <c r="G3817" s="1" t="s">
        <v>14</v>
      </c>
      <c r="H3817" s="1" t="s">
        <v>342</v>
      </c>
    </row>
    <row r="3818" spans="1:8">
      <c r="A3818" s="1" t="s">
        <v>812</v>
      </c>
      <c r="B3818" s="1" t="s">
        <v>26</v>
      </c>
      <c r="C3818" s="1" t="s">
        <v>3033</v>
      </c>
      <c r="D3818" s="1" t="s">
        <v>19</v>
      </c>
      <c r="E3818" s="12">
        <f>6*F3818</f>
        <v>1.7999999999999998</v>
      </c>
      <c r="F3818" s="12">
        <f>Systems!D168</f>
        <v>0.3</v>
      </c>
      <c r="G3818" s="1" t="s">
        <v>14</v>
      </c>
      <c r="H3818" s="1" t="s">
        <v>342</v>
      </c>
    </row>
    <row r="3819" spans="1:8">
      <c r="A3819" s="1" t="s">
        <v>2824</v>
      </c>
      <c r="B3819" s="1" t="s">
        <v>26</v>
      </c>
      <c r="C3819" s="1" t="s">
        <v>3033</v>
      </c>
      <c r="D3819" s="1" t="s">
        <v>19</v>
      </c>
      <c r="E3819" s="12">
        <f>F3819/12</f>
        <v>2.4999999999999998E-2</v>
      </c>
      <c r="F3819" s="12">
        <f>Systems!D168</f>
        <v>0.3</v>
      </c>
      <c r="G3819" s="1" t="s">
        <v>14</v>
      </c>
      <c r="H3819" s="1" t="s">
        <v>342</v>
      </c>
    </row>
    <row r="3820" spans="1:8" ht="16.5">
      <c r="A3820" s="1" t="s">
        <v>1017</v>
      </c>
      <c r="B3820" s="1" t="s">
        <v>26</v>
      </c>
      <c r="C3820" s="1" t="s">
        <v>3034</v>
      </c>
      <c r="D3820" s="1" t="s">
        <v>38</v>
      </c>
      <c r="E3820" s="12">
        <f>F3820</f>
        <v>36</v>
      </c>
      <c r="F3820" s="12">
        <f>Systems!H168</f>
        <v>36</v>
      </c>
      <c r="G3820" s="1" t="s">
        <v>39</v>
      </c>
      <c r="H3820" s="1" t="s">
        <v>342</v>
      </c>
    </row>
    <row r="3821" spans="1:8" ht="16.5">
      <c r="A3821" s="1" t="s">
        <v>5321</v>
      </c>
      <c r="B3821" s="1" t="s">
        <v>26</v>
      </c>
      <c r="C3821" s="1" t="s">
        <v>2936</v>
      </c>
      <c r="D3821" s="1" t="s">
        <v>32</v>
      </c>
      <c r="E3821" s="12">
        <f>30*F3821</f>
        <v>0.03</v>
      </c>
      <c r="F3821" s="12">
        <f>'Physical Definitions'!E9</f>
        <v>1E-3</v>
      </c>
      <c r="G3821" s="1" t="s">
        <v>33</v>
      </c>
      <c r="H3821" s="1" t="s">
        <v>342</v>
      </c>
    </row>
    <row r="3822" spans="1:8" ht="16.5">
      <c r="A3822" s="1" t="s">
        <v>1571</v>
      </c>
      <c r="B3822" s="1" t="s">
        <v>26</v>
      </c>
      <c r="C3822" s="1" t="s">
        <v>2936</v>
      </c>
      <c r="D3822" s="1" t="s">
        <v>32</v>
      </c>
      <c r="E3822" s="12">
        <f>1.5*F3822</f>
        <v>1.5E-3</v>
      </c>
      <c r="F3822" s="12">
        <f>'Physical Definitions'!E9</f>
        <v>1E-3</v>
      </c>
      <c r="G3822" s="1" t="s">
        <v>33</v>
      </c>
      <c r="H3822" s="1" t="s">
        <v>342</v>
      </c>
    </row>
    <row r="3823" spans="1:8" ht="16.5">
      <c r="A3823" s="1" t="s">
        <v>2341</v>
      </c>
      <c r="B3823" s="1" t="s">
        <v>26</v>
      </c>
      <c r="C3823" s="1" t="s">
        <v>2936</v>
      </c>
      <c r="D3823" s="1" t="s">
        <v>32</v>
      </c>
      <c r="E3823" s="12">
        <f>15*F3823</f>
        <v>1.4999999999999999E-2</v>
      </c>
      <c r="F3823" s="12">
        <f>'Physical Definitions'!E9</f>
        <v>1E-3</v>
      </c>
      <c r="G3823" s="1" t="s">
        <v>33</v>
      </c>
      <c r="H3823" s="1" t="s">
        <v>342</v>
      </c>
    </row>
    <row r="3824" spans="1:8" ht="16.5">
      <c r="A3824" s="1" t="s">
        <v>2414</v>
      </c>
      <c r="B3824" s="1" t="s">
        <v>26</v>
      </c>
      <c r="C3824" s="1" t="s">
        <v>2936</v>
      </c>
      <c r="D3824" s="1" t="s">
        <v>32</v>
      </c>
      <c r="E3824" s="12">
        <f>150*F3824</f>
        <v>0.15</v>
      </c>
      <c r="F3824" s="12">
        <f>'Physical Definitions'!E9</f>
        <v>1E-3</v>
      </c>
      <c r="G3824" s="1" t="s">
        <v>33</v>
      </c>
      <c r="H3824" s="1" t="s">
        <v>342</v>
      </c>
    </row>
    <row r="3825" spans="1:8" ht="16.5">
      <c r="A3825" s="1" t="s">
        <v>1766</v>
      </c>
      <c r="B3825" s="1" t="s">
        <v>26</v>
      </c>
      <c r="C3825" s="1" t="s">
        <v>2935</v>
      </c>
      <c r="D3825" s="1" t="s">
        <v>32</v>
      </c>
      <c r="E3825" s="12">
        <f>1.5*F3825</f>
        <v>1.5E-3</v>
      </c>
      <c r="F3825" s="12">
        <f>'Physical Definitions'!E9</f>
        <v>1E-3</v>
      </c>
      <c r="G3825" s="1" t="s">
        <v>33</v>
      </c>
      <c r="H3825" s="1" t="s">
        <v>342</v>
      </c>
    </row>
    <row r="3826" spans="1:8" ht="16.5">
      <c r="A3826" s="1" t="s">
        <v>2097</v>
      </c>
      <c r="B3826" s="1" t="s">
        <v>26</v>
      </c>
      <c r="C3826" s="1" t="s">
        <v>2935</v>
      </c>
      <c r="D3826" s="1" t="s">
        <v>32</v>
      </c>
      <c r="E3826" s="12">
        <f>150*F3826</f>
        <v>0.15000000000000002</v>
      </c>
      <c r="F3826" s="12">
        <f>POWER('Physical Definitions'!E25,3)</f>
        <v>1.0000000000000002E-3</v>
      </c>
      <c r="G3826" s="1" t="s">
        <v>33</v>
      </c>
      <c r="H3826" s="1" t="s">
        <v>342</v>
      </c>
    </row>
    <row r="3827" spans="1:8" ht="16.5">
      <c r="A3827" s="1" t="s">
        <v>579</v>
      </c>
      <c r="B3827" s="1" t="s">
        <v>26</v>
      </c>
      <c r="C3827" s="1" t="s">
        <v>2935</v>
      </c>
      <c r="D3827" s="1" t="s">
        <v>32</v>
      </c>
      <c r="E3827" s="12">
        <f>3*F3827/2</f>
        <v>1.5000000000000005E-3</v>
      </c>
      <c r="F3827" s="12">
        <f>POWER('Physical Definitions'!E25,3)</f>
        <v>1.0000000000000002E-3</v>
      </c>
      <c r="G3827" s="1" t="s">
        <v>33</v>
      </c>
      <c r="H3827" s="1" t="s">
        <v>342</v>
      </c>
    </row>
    <row r="3828" spans="1:8" ht="16.5">
      <c r="A3828" s="1" t="s">
        <v>813</v>
      </c>
      <c r="B3828" s="1" t="s">
        <v>26</v>
      </c>
      <c r="C3828" s="1" t="s">
        <v>2935</v>
      </c>
      <c r="D3828" s="1" t="s">
        <v>32</v>
      </c>
      <c r="E3828" s="12">
        <f>75*F3828/2</f>
        <v>3.7500000000000006E-2</v>
      </c>
      <c r="F3828" s="12">
        <f>POWER('Physical Definitions'!E25,3)</f>
        <v>1.0000000000000002E-3</v>
      </c>
      <c r="G3828" s="1" t="s">
        <v>33</v>
      </c>
      <c r="H3828" s="1" t="s">
        <v>342</v>
      </c>
    </row>
    <row r="3829" spans="1:8">
      <c r="A3829" s="1" t="s">
        <v>4412</v>
      </c>
      <c r="B3829" s="1" t="s">
        <v>26</v>
      </c>
      <c r="C3829" s="1" t="s">
        <v>17</v>
      </c>
      <c r="D3829" s="1" t="s">
        <v>20</v>
      </c>
      <c r="E3829" s="12">
        <f>F3829/96</f>
        <v>3.90625E-3</v>
      </c>
      <c r="F3829" s="12">
        <f>Systems!L169</f>
        <v>0.375</v>
      </c>
      <c r="G3829" s="1" t="s">
        <v>23</v>
      </c>
      <c r="H3829" s="1" t="s">
        <v>342</v>
      </c>
    </row>
    <row r="3830" spans="1:8">
      <c r="A3830" s="1" t="s">
        <v>4859</v>
      </c>
      <c r="B3830" s="1" t="s">
        <v>26</v>
      </c>
      <c r="C3830" s="1" t="s">
        <v>17</v>
      </c>
      <c r="D3830" s="1" t="s">
        <v>20</v>
      </c>
      <c r="E3830" s="12">
        <f>F3830/5760</f>
        <v>6.5104166666666666E-5</v>
      </c>
      <c r="F3830" s="12">
        <f>Systems!L169</f>
        <v>0.375</v>
      </c>
      <c r="G3830" s="1" t="s">
        <v>23</v>
      </c>
      <c r="H3830" s="1" t="s">
        <v>342</v>
      </c>
    </row>
    <row r="3831" spans="1:8">
      <c r="A3831" s="1" t="s">
        <v>815</v>
      </c>
      <c r="B3831" s="1" t="s">
        <v>26</v>
      </c>
      <c r="C3831" s="1" t="s">
        <v>17</v>
      </c>
      <c r="D3831" s="1" t="s">
        <v>20</v>
      </c>
      <c r="E3831" s="12">
        <f>F3831</f>
        <v>0.5</v>
      </c>
      <c r="F3831" s="12">
        <f>Systems!L168</f>
        <v>0.5</v>
      </c>
      <c r="G3831" s="1" t="s">
        <v>23</v>
      </c>
      <c r="H3831" s="1" t="s">
        <v>342</v>
      </c>
    </row>
    <row r="3832" spans="1:8">
      <c r="A3832" s="1" t="s">
        <v>5322</v>
      </c>
      <c r="B3832" s="1" t="s">
        <v>26</v>
      </c>
      <c r="C3832" s="1" t="s">
        <v>17</v>
      </c>
      <c r="D3832" s="1" t="s">
        <v>20</v>
      </c>
      <c r="E3832" s="12">
        <f>F3832</f>
        <v>0.375</v>
      </c>
      <c r="F3832" s="12">
        <f>Systems!L169</f>
        <v>0.375</v>
      </c>
      <c r="G3832" s="1" t="s">
        <v>23</v>
      </c>
      <c r="H3832" s="1" t="s">
        <v>342</v>
      </c>
    </row>
    <row r="3833" spans="1:8">
      <c r="A3833" s="1" t="s">
        <v>5323</v>
      </c>
      <c r="B3833" s="1" t="s">
        <v>26</v>
      </c>
      <c r="C3833" s="1" t="s">
        <v>17</v>
      </c>
      <c r="D3833" s="1" t="s">
        <v>20</v>
      </c>
      <c r="E3833" s="12">
        <f>4*F3833/3</f>
        <v>0.5</v>
      </c>
      <c r="F3833" s="12">
        <f>Systems!L169</f>
        <v>0.375</v>
      </c>
      <c r="G3833" s="1" t="s">
        <v>23</v>
      </c>
      <c r="H3833" s="1" t="s">
        <v>342</v>
      </c>
    </row>
    <row r="3834" spans="1:8">
      <c r="A3834" s="1" t="s">
        <v>1988</v>
      </c>
      <c r="B3834" s="1" t="s">
        <v>26</v>
      </c>
      <c r="C3834" s="1" t="s">
        <v>17</v>
      </c>
      <c r="D3834" s="1" t="s">
        <v>20</v>
      </c>
      <c r="E3834" s="12">
        <f>F3834/32</f>
        <v>1.5625E-2</v>
      </c>
      <c r="F3834" s="12">
        <f>Systems!L168</f>
        <v>0.5</v>
      </c>
      <c r="G3834" s="1" t="s">
        <v>23</v>
      </c>
      <c r="H3834" s="1" t="s">
        <v>342</v>
      </c>
    </row>
    <row r="3835" spans="1:8">
      <c r="A3835" s="1" t="s">
        <v>2170</v>
      </c>
      <c r="B3835" s="1" t="s">
        <v>26</v>
      </c>
      <c r="C3835" s="1" t="s">
        <v>17</v>
      </c>
      <c r="D3835" s="1" t="s">
        <v>20</v>
      </c>
      <c r="E3835" s="12">
        <f>F3835/16</f>
        <v>3.125E-2</v>
      </c>
      <c r="F3835" s="12">
        <f>Systems!L168</f>
        <v>0.5</v>
      </c>
      <c r="G3835" s="1" t="s">
        <v>23</v>
      </c>
      <c r="H3835" s="1" t="s">
        <v>342</v>
      </c>
    </row>
    <row r="3836" spans="1:8">
      <c r="A3836" s="1" t="s">
        <v>5127</v>
      </c>
      <c r="B3836" s="1" t="s">
        <v>26</v>
      </c>
      <c r="C3836" s="1" t="s">
        <v>17</v>
      </c>
      <c r="D3836" s="1" t="s">
        <v>20</v>
      </c>
      <c r="E3836" s="12">
        <f>F3836/12</f>
        <v>3.125E-2</v>
      </c>
      <c r="F3836" s="12">
        <f>Systems!L169</f>
        <v>0.375</v>
      </c>
      <c r="G3836" s="1" t="s">
        <v>23</v>
      </c>
      <c r="H3836" s="1" t="s">
        <v>342</v>
      </c>
    </row>
    <row r="3837" spans="1:8">
      <c r="A3837" s="1" t="s">
        <v>819</v>
      </c>
      <c r="B3837" s="1" t="s">
        <v>26</v>
      </c>
      <c r="C3837" s="1" t="s">
        <v>17</v>
      </c>
      <c r="D3837" s="1" t="s">
        <v>20</v>
      </c>
      <c r="E3837" s="12">
        <v>0.5</v>
      </c>
      <c r="F3837" s="12">
        <f>Systems!L168</f>
        <v>0.5</v>
      </c>
      <c r="G3837" s="1" t="s">
        <v>23</v>
      </c>
      <c r="H3837" s="1" t="s">
        <v>342</v>
      </c>
    </row>
    <row r="3838" spans="1:8">
      <c r="A3838" s="1" t="s">
        <v>2357</v>
      </c>
      <c r="B3838" s="1" t="s">
        <v>26</v>
      </c>
      <c r="C3838" s="1" t="s">
        <v>17</v>
      </c>
      <c r="D3838" s="1" t="s">
        <v>20</v>
      </c>
      <c r="E3838" s="12">
        <f>100*F3838</f>
        <v>50</v>
      </c>
      <c r="F3838" s="12">
        <f>Systems!L168</f>
        <v>0.5</v>
      </c>
      <c r="G3838" s="1" t="s">
        <v>23</v>
      </c>
      <c r="H3838" s="1" t="s">
        <v>342</v>
      </c>
    </row>
    <row r="3839" spans="1:8">
      <c r="A3839" s="1" t="s">
        <v>4416</v>
      </c>
      <c r="B3839" s="1" t="s">
        <v>26</v>
      </c>
      <c r="C3839" s="1" t="s">
        <v>17</v>
      </c>
      <c r="D3839" s="1" t="s">
        <v>20</v>
      </c>
      <c r="E3839" s="12">
        <f>F3839/288</f>
        <v>1.3020833333333333E-3</v>
      </c>
      <c r="F3839" s="12">
        <f>Systems!L169</f>
        <v>0.375</v>
      </c>
      <c r="G3839" s="1" t="s">
        <v>23</v>
      </c>
      <c r="H3839" s="1" t="s">
        <v>342</v>
      </c>
    </row>
    <row r="3840" spans="1:8">
      <c r="A3840" s="1" t="s">
        <v>979</v>
      </c>
      <c r="B3840" s="1" t="s">
        <v>26</v>
      </c>
      <c r="C3840" s="1" t="s">
        <v>17</v>
      </c>
      <c r="D3840" s="1" t="s">
        <v>20</v>
      </c>
      <c r="E3840" s="12">
        <f>F3840</f>
        <v>0.5</v>
      </c>
      <c r="F3840" s="12">
        <f>Systems!L168</f>
        <v>0.5</v>
      </c>
      <c r="G3840" s="1" t="s">
        <v>23</v>
      </c>
      <c r="H3840" s="1" t="s">
        <v>342</v>
      </c>
    </row>
    <row r="3841" spans="1:8">
      <c r="A3841" s="248"/>
      <c r="B3841" s="248"/>
      <c r="C3841" s="248"/>
      <c r="D3841" s="248"/>
      <c r="E3841" s="250"/>
      <c r="F3841" s="250"/>
      <c r="G3841" s="248"/>
      <c r="H3841" s="248"/>
    </row>
    <row r="3842" spans="1:8">
      <c r="A3842" s="1" t="s">
        <v>835</v>
      </c>
      <c r="B3842" s="1" t="s">
        <v>26</v>
      </c>
      <c r="C3842" s="1" t="s">
        <v>3033</v>
      </c>
      <c r="D3842" s="1" t="s">
        <v>19</v>
      </c>
      <c r="E3842" s="12">
        <f>F3842</f>
        <v>0.58199999999999996</v>
      </c>
      <c r="F3842" s="12">
        <f>Systems!D170</f>
        <v>0.58199999999999996</v>
      </c>
      <c r="G3842" s="1" t="s">
        <v>14</v>
      </c>
      <c r="H3842" s="1" t="s">
        <v>494</v>
      </c>
    </row>
    <row r="3843" spans="1:8" ht="16.5">
      <c r="A3843" s="1" t="s">
        <v>4345</v>
      </c>
      <c r="B3843" s="1" t="s">
        <v>26</v>
      </c>
      <c r="C3843" s="1" t="s">
        <v>3034</v>
      </c>
      <c r="D3843" s="1" t="s">
        <v>38</v>
      </c>
      <c r="E3843" s="12">
        <f>F3843</f>
        <v>0.33872399999999997</v>
      </c>
      <c r="F3843" s="12">
        <f>Systems!H170</f>
        <v>0.33872399999999997</v>
      </c>
      <c r="G3843" s="1" t="s">
        <v>39</v>
      </c>
      <c r="H3843" s="1" t="s">
        <v>494</v>
      </c>
    </row>
    <row r="3844" spans="1:8" ht="16.5">
      <c r="A3844" s="1" t="s">
        <v>4346</v>
      </c>
      <c r="B3844" s="1" t="s">
        <v>26</v>
      </c>
      <c r="C3844" s="1" t="s">
        <v>2936</v>
      </c>
      <c r="D3844" s="1" t="s">
        <v>32</v>
      </c>
      <c r="E3844" s="12">
        <f>F3844</f>
        <v>0.19713736799999998</v>
      </c>
      <c r="F3844" s="12">
        <f>Systems!T170</f>
        <v>0.19713736799999998</v>
      </c>
      <c r="G3844" s="1" t="s">
        <v>33</v>
      </c>
      <c r="H3844" s="1" t="s">
        <v>494</v>
      </c>
    </row>
    <row r="3845" spans="1:8" ht="16.5">
      <c r="A3845" s="1" t="s">
        <v>1651</v>
      </c>
      <c r="B3845" s="1" t="s">
        <v>26</v>
      </c>
      <c r="C3845" s="1" t="s">
        <v>2935</v>
      </c>
      <c r="D3845" s="1" t="s">
        <v>32</v>
      </c>
      <c r="E3845" s="12">
        <f>450*F3845</f>
        <v>1.4400000000000002</v>
      </c>
      <c r="F3845" s="12">
        <f>Systems!P170</f>
        <v>3.2000000000000002E-3</v>
      </c>
      <c r="G3845" s="1" t="s">
        <v>33</v>
      </c>
      <c r="H3845" s="1" t="s">
        <v>494</v>
      </c>
    </row>
    <row r="3846" spans="1:8" ht="16.5">
      <c r="A3846" s="1" t="s">
        <v>2003</v>
      </c>
      <c r="B3846" s="1" t="s">
        <v>26</v>
      </c>
      <c r="C3846" s="1" t="s">
        <v>2935</v>
      </c>
      <c r="D3846" s="1" t="s">
        <v>32</v>
      </c>
      <c r="E3846" s="12">
        <f>250*F3846</f>
        <v>0.8</v>
      </c>
      <c r="F3846" s="12">
        <f>Systems!P170</f>
        <v>3.2000000000000002E-3</v>
      </c>
      <c r="G3846" s="1" t="s">
        <v>33</v>
      </c>
      <c r="H3846" s="1" t="s">
        <v>494</v>
      </c>
    </row>
    <row r="3847" spans="1:8" ht="16.5">
      <c r="A3847" s="1" t="s">
        <v>810</v>
      </c>
      <c r="B3847" s="1" t="s">
        <v>26</v>
      </c>
      <c r="C3847" s="1" t="s">
        <v>2935</v>
      </c>
      <c r="D3847" s="1" t="s">
        <v>32</v>
      </c>
      <c r="E3847" s="12">
        <f>F3847</f>
        <v>3.2000000000000002E-3</v>
      </c>
      <c r="F3847" s="12">
        <f>Systems!P170</f>
        <v>3.2000000000000002E-3</v>
      </c>
      <c r="G3847" s="1" t="s">
        <v>33</v>
      </c>
      <c r="H3847" s="1" t="s">
        <v>494</v>
      </c>
    </row>
    <row r="3848" spans="1:8">
      <c r="A3848" s="1" t="s">
        <v>851</v>
      </c>
      <c r="B3848" s="1" t="s">
        <v>26</v>
      </c>
      <c r="C3848" s="1" t="s">
        <v>17</v>
      </c>
      <c r="D3848" s="1" t="s">
        <v>20</v>
      </c>
      <c r="E3848" s="12">
        <f>100*F3848</f>
        <v>178.5</v>
      </c>
      <c r="F3848" s="12">
        <f>Systems!L170</f>
        <v>1.7849999999999999</v>
      </c>
      <c r="G3848" s="1" t="s">
        <v>23</v>
      </c>
      <c r="H3848" s="1" t="s">
        <v>494</v>
      </c>
    </row>
    <row r="3849" spans="1:8">
      <c r="A3849" s="1" t="s">
        <v>1425</v>
      </c>
      <c r="B3849" s="1" t="s">
        <v>26</v>
      </c>
      <c r="C3849" s="1" t="s">
        <v>17</v>
      </c>
      <c r="D3849" s="1" t="s">
        <v>20</v>
      </c>
      <c r="E3849" s="12">
        <f>35*F3849</f>
        <v>62.474999999999994</v>
      </c>
      <c r="F3849" s="12">
        <f>Systems!L170</f>
        <v>1.7849999999999999</v>
      </c>
      <c r="G3849" s="1" t="s">
        <v>23</v>
      </c>
      <c r="H3849" s="1" t="s">
        <v>494</v>
      </c>
    </row>
    <row r="3850" spans="1:8">
      <c r="A3850" s="1" t="s">
        <v>1550</v>
      </c>
      <c r="B3850" s="1" t="s">
        <v>26</v>
      </c>
      <c r="C3850" s="1" t="s">
        <v>17</v>
      </c>
      <c r="D3850" s="1" t="s">
        <v>20</v>
      </c>
      <c r="E3850" s="12">
        <f>F3850/400</f>
        <v>4.4624999999999995E-3</v>
      </c>
      <c r="F3850" s="12">
        <f>Systems!L170</f>
        <v>1.7849999999999999</v>
      </c>
      <c r="G3850" s="1" t="s">
        <v>23</v>
      </c>
      <c r="H3850" s="1" t="s">
        <v>494</v>
      </c>
    </row>
    <row r="3851" spans="1:8">
      <c r="A3851" s="1" t="s">
        <v>2053</v>
      </c>
      <c r="B3851" s="1" t="s">
        <v>26</v>
      </c>
      <c r="C3851" s="1" t="s">
        <v>17</v>
      </c>
      <c r="D3851" s="1" t="s">
        <v>20</v>
      </c>
      <c r="E3851" s="12">
        <f>F3851/400</f>
        <v>4.4624999999999995E-3</v>
      </c>
      <c r="F3851" s="12">
        <f>Systems!L170</f>
        <v>1.7849999999999999</v>
      </c>
      <c r="G3851" s="1" t="s">
        <v>23</v>
      </c>
      <c r="H3851" s="1" t="s">
        <v>494</v>
      </c>
    </row>
    <row r="3852" spans="1:8">
      <c r="A3852" s="1" t="s">
        <v>2089</v>
      </c>
      <c r="B3852" s="1" t="s">
        <v>26</v>
      </c>
      <c r="C3852" s="1" t="s">
        <v>17</v>
      </c>
      <c r="D3852" s="1" t="s">
        <v>20</v>
      </c>
      <c r="E3852" s="12">
        <f>F3852/400</f>
        <v>4.4624999999999995E-3</v>
      </c>
      <c r="F3852" s="12">
        <f>Systems!L170</f>
        <v>1.7849999999999999</v>
      </c>
      <c r="G3852" s="1" t="s">
        <v>23</v>
      </c>
      <c r="H3852" s="1" t="s">
        <v>494</v>
      </c>
    </row>
    <row r="3853" spans="1:8">
      <c r="A3853" s="1" t="s">
        <v>2170</v>
      </c>
      <c r="B3853" s="1" t="s">
        <v>26</v>
      </c>
      <c r="C3853" s="1" t="s">
        <v>17</v>
      </c>
      <c r="D3853" s="1" t="s">
        <v>20</v>
      </c>
      <c r="E3853" s="12">
        <f>F3853/60</f>
        <v>2.9749999999999999E-2</v>
      </c>
      <c r="F3853" s="12">
        <f>Systems!L170</f>
        <v>1.7849999999999999</v>
      </c>
      <c r="G3853" s="1" t="s">
        <v>23</v>
      </c>
      <c r="H3853" s="1" t="s">
        <v>494</v>
      </c>
    </row>
    <row r="3854" spans="1:8">
      <c r="A3854" s="1" t="s">
        <v>2250</v>
      </c>
      <c r="B3854" s="1" t="s">
        <v>26</v>
      </c>
      <c r="C3854" s="1" t="s">
        <v>17</v>
      </c>
      <c r="D3854" s="1" t="s">
        <v>20</v>
      </c>
      <c r="E3854" s="12">
        <f>F3854/600</f>
        <v>2.9749999999999998E-3</v>
      </c>
      <c r="F3854" s="12">
        <f>Systems!L170</f>
        <v>1.7849999999999999</v>
      </c>
      <c r="G3854" s="1" t="s">
        <v>23</v>
      </c>
      <c r="H3854" s="1" t="s">
        <v>494</v>
      </c>
    </row>
    <row r="3855" spans="1:8">
      <c r="A3855" s="1" t="s">
        <v>828</v>
      </c>
      <c r="B3855" s="1" t="s">
        <v>26</v>
      </c>
      <c r="C3855" s="1" t="s">
        <v>17</v>
      </c>
      <c r="D3855" s="1" t="s">
        <v>20</v>
      </c>
      <c r="E3855" s="12">
        <f>F3855</f>
        <v>1.7849999999999999</v>
      </c>
      <c r="F3855" s="12">
        <f>Systems!L170</f>
        <v>1.7849999999999999</v>
      </c>
      <c r="G3855" s="1" t="s">
        <v>23</v>
      </c>
      <c r="H3855" s="1" t="s">
        <v>494</v>
      </c>
    </row>
    <row r="3856" spans="1:8">
      <c r="A3856" s="1" t="s">
        <v>2827</v>
      </c>
      <c r="B3856" s="1" t="s">
        <v>26</v>
      </c>
      <c r="C3856" s="1" t="s">
        <v>17</v>
      </c>
      <c r="D3856" s="1" t="s">
        <v>20</v>
      </c>
      <c r="E3856" s="12">
        <f>55*F3856/2</f>
        <v>49.087499999999999</v>
      </c>
      <c r="F3856" s="12">
        <f>Systems!L170</f>
        <v>1.7849999999999999</v>
      </c>
      <c r="G3856" s="1" t="s">
        <v>23</v>
      </c>
      <c r="H3856" s="1" t="s">
        <v>494</v>
      </c>
    </row>
    <row r="3857" spans="1:8">
      <c r="A3857" s="248"/>
      <c r="B3857" s="248"/>
      <c r="C3857" s="248"/>
      <c r="D3857" s="248"/>
      <c r="E3857" s="250"/>
      <c r="F3857" s="250"/>
      <c r="G3857" s="248"/>
      <c r="H3857" s="248"/>
    </row>
    <row r="3858" spans="1:8">
      <c r="A3858" s="336" t="s">
        <v>1759</v>
      </c>
      <c r="B3858" s="336" t="s">
        <v>26</v>
      </c>
      <c r="C3858" s="1" t="s">
        <v>3033</v>
      </c>
      <c r="D3858" s="1" t="s">
        <v>19</v>
      </c>
      <c r="E3858" s="337">
        <f>F3858/100</f>
        <v>3.0303030303030303E-3</v>
      </c>
      <c r="F3858" s="337">
        <f>Systems!D202</f>
        <v>0.30303030303030304</v>
      </c>
      <c r="G3858" s="336" t="s">
        <v>14</v>
      </c>
      <c r="H3858" s="336" t="s">
        <v>7194</v>
      </c>
    </row>
    <row r="3859" spans="1:8">
      <c r="A3859" s="336" t="s">
        <v>7199</v>
      </c>
      <c r="B3859" s="336" t="s">
        <v>26</v>
      </c>
      <c r="C3859" s="1" t="s">
        <v>3033</v>
      </c>
      <c r="D3859" s="1" t="s">
        <v>19</v>
      </c>
      <c r="E3859" s="337">
        <f>F3859/10</f>
        <v>3.0303030303030304E-2</v>
      </c>
      <c r="F3859" s="337">
        <f>Systems!D202</f>
        <v>0.30303030303030304</v>
      </c>
      <c r="G3859" s="336" t="s">
        <v>14</v>
      </c>
      <c r="H3859" s="336" t="s">
        <v>7194</v>
      </c>
    </row>
    <row r="3860" spans="1:8">
      <c r="A3860" s="336" t="s">
        <v>7197</v>
      </c>
      <c r="B3860" s="336" t="s">
        <v>26</v>
      </c>
      <c r="C3860" s="1" t="s">
        <v>3033</v>
      </c>
      <c r="D3860" s="1" t="s">
        <v>19</v>
      </c>
      <c r="E3860" s="337">
        <f>F3860</f>
        <v>0.30303030303030304</v>
      </c>
      <c r="F3860" s="337">
        <f>Systems!D202</f>
        <v>0.30303030303030304</v>
      </c>
      <c r="G3860" s="336" t="s">
        <v>14</v>
      </c>
      <c r="H3860" s="336" t="s">
        <v>7194</v>
      </c>
    </row>
    <row r="3861" spans="1:8">
      <c r="A3861" s="336" t="s">
        <v>7200</v>
      </c>
      <c r="B3861" s="336" t="s">
        <v>26</v>
      </c>
      <c r="C3861" s="1" t="s">
        <v>3033</v>
      </c>
      <c r="D3861" s="1" t="s">
        <v>19</v>
      </c>
      <c r="E3861" s="337">
        <f>10*F3861</f>
        <v>3.0303030303030303</v>
      </c>
      <c r="F3861" s="337">
        <f>Systems!D202</f>
        <v>0.30303030303030304</v>
      </c>
      <c r="G3861" s="336" t="s">
        <v>14</v>
      </c>
      <c r="H3861" s="336" t="s">
        <v>7194</v>
      </c>
    </row>
    <row r="3862" spans="1:8" ht="16.5">
      <c r="A3862" s="336" t="s">
        <v>824</v>
      </c>
      <c r="B3862" s="336" t="s">
        <v>26</v>
      </c>
      <c r="C3862" s="336" t="s">
        <v>3034</v>
      </c>
      <c r="D3862" s="1" t="s">
        <v>38</v>
      </c>
      <c r="E3862" s="337">
        <f>F3862</f>
        <v>3.3057851239669422</v>
      </c>
      <c r="F3862" s="337">
        <f>Systems!H202</f>
        <v>3.3057851239669422</v>
      </c>
      <c r="G3862" s="1" t="s">
        <v>39</v>
      </c>
      <c r="H3862" s="336" t="s">
        <v>7194</v>
      </c>
    </row>
    <row r="3863" spans="1:8" ht="16.5">
      <c r="A3863" s="336" t="s">
        <v>7147</v>
      </c>
      <c r="B3863" s="336" t="s">
        <v>26</v>
      </c>
      <c r="C3863" s="336" t="s">
        <v>3034</v>
      </c>
      <c r="D3863" s="1" t="s">
        <v>38</v>
      </c>
      <c r="E3863" s="337">
        <f>30*F3863</f>
        <v>99.173553719008268</v>
      </c>
      <c r="F3863" s="337">
        <f>Systems!H202</f>
        <v>3.3057851239669422</v>
      </c>
      <c r="G3863" s="1" t="s">
        <v>39</v>
      </c>
      <c r="H3863" s="336" t="s">
        <v>7194</v>
      </c>
    </row>
    <row r="3864" spans="1:8" ht="16.5">
      <c r="A3864" s="336" t="s">
        <v>1759</v>
      </c>
      <c r="B3864" s="336" t="s">
        <v>26</v>
      </c>
      <c r="C3864" s="336" t="s">
        <v>3034</v>
      </c>
      <c r="D3864" s="1" t="s">
        <v>38</v>
      </c>
      <c r="E3864" s="337">
        <f>293.4*F3864</f>
        <v>969.91735537190073</v>
      </c>
      <c r="F3864" s="337">
        <f>Systems!H202</f>
        <v>3.3057851239669422</v>
      </c>
      <c r="G3864" s="1" t="s">
        <v>39</v>
      </c>
      <c r="H3864" s="336" t="s">
        <v>7194</v>
      </c>
    </row>
    <row r="3865" spans="1:8" ht="16.5">
      <c r="A3865" s="336" t="s">
        <v>7201</v>
      </c>
      <c r="B3865" s="336" t="s">
        <v>26</v>
      </c>
      <c r="C3865" s="336" t="s">
        <v>3034</v>
      </c>
      <c r="D3865" s="1" t="s">
        <v>38</v>
      </c>
      <c r="E3865" s="337">
        <f>2934*F3865</f>
        <v>9699.1735537190089</v>
      </c>
      <c r="F3865" s="337">
        <f>Systems!H202</f>
        <v>3.3057851239669422</v>
      </c>
      <c r="G3865" s="1" t="s">
        <v>39</v>
      </c>
      <c r="H3865" s="336" t="s">
        <v>7194</v>
      </c>
    </row>
    <row r="3866" spans="1:8" ht="16.5">
      <c r="A3866" s="336" t="s">
        <v>1937</v>
      </c>
      <c r="B3866" s="336" t="s">
        <v>26</v>
      </c>
      <c r="C3866" s="336" t="s">
        <v>3034</v>
      </c>
      <c r="D3866" s="1" t="s">
        <v>38</v>
      </c>
      <c r="E3866" s="337">
        <f>14670*F3866</f>
        <v>48495.867768595046</v>
      </c>
      <c r="F3866" s="337">
        <f>Systems!H202</f>
        <v>3.3057851239669422</v>
      </c>
      <c r="G3866" s="1" t="s">
        <v>39</v>
      </c>
      <c r="H3866" s="336" t="s">
        <v>7194</v>
      </c>
    </row>
    <row r="3867" spans="1:8" ht="16.5">
      <c r="A3867" s="336" t="s">
        <v>7198</v>
      </c>
      <c r="B3867" s="336" t="s">
        <v>26</v>
      </c>
      <c r="C3867" s="1" t="s">
        <v>2936</v>
      </c>
      <c r="D3867" s="1" t="s">
        <v>32</v>
      </c>
      <c r="E3867" s="337">
        <f>F3867</f>
        <v>2.7826474107465846E-2</v>
      </c>
      <c r="F3867" s="337">
        <f>Systems!T202</f>
        <v>2.7826474107465846E-2</v>
      </c>
      <c r="G3867" s="1" t="s">
        <v>33</v>
      </c>
      <c r="H3867" s="336" t="s">
        <v>7194</v>
      </c>
    </row>
    <row r="3868" spans="1:8" ht="16.5">
      <c r="A3868" s="336" t="s">
        <v>7202</v>
      </c>
      <c r="B3868" s="336" t="s">
        <v>26</v>
      </c>
      <c r="C3868" s="1" t="s">
        <v>2935</v>
      </c>
      <c r="D3868" s="1" t="s">
        <v>32</v>
      </c>
      <c r="E3868" s="337">
        <f>F3868</f>
        <v>1E-3</v>
      </c>
      <c r="F3868" s="337">
        <f>Systems!P202</f>
        <v>1E-3</v>
      </c>
      <c r="G3868" s="1" t="s">
        <v>33</v>
      </c>
      <c r="H3868" s="336" t="s">
        <v>7194</v>
      </c>
    </row>
    <row r="3869" spans="1:8">
      <c r="A3869" s="336" t="s">
        <v>1954</v>
      </c>
      <c r="B3869" s="336" t="s">
        <v>26</v>
      </c>
      <c r="C3869" s="336" t="s">
        <v>17</v>
      </c>
      <c r="D3869" s="1" t="s">
        <v>20</v>
      </c>
      <c r="E3869" s="337">
        <f>F3869/1000</f>
        <v>3.7499999999999997E-5</v>
      </c>
      <c r="F3869" s="337">
        <f>Systems!L202</f>
        <v>3.7499999999999999E-2</v>
      </c>
      <c r="G3869" s="1" t="s">
        <v>23</v>
      </c>
      <c r="H3869" s="336" t="s">
        <v>7194</v>
      </c>
    </row>
    <row r="3870" spans="1:8">
      <c r="A3870" s="336" t="s">
        <v>1759</v>
      </c>
      <c r="B3870" s="336" t="s">
        <v>26</v>
      </c>
      <c r="C3870" s="336" t="s">
        <v>17</v>
      </c>
      <c r="D3870" s="1" t="s">
        <v>20</v>
      </c>
      <c r="E3870" s="337">
        <f>F3870/100</f>
        <v>3.7500000000000001E-4</v>
      </c>
      <c r="F3870" s="337">
        <f>Systems!L202</f>
        <v>3.7499999999999999E-2</v>
      </c>
      <c r="G3870" s="1" t="s">
        <v>23</v>
      </c>
      <c r="H3870" s="336" t="s">
        <v>7194</v>
      </c>
    </row>
    <row r="3871" spans="1:8">
      <c r="A3871" s="336" t="s">
        <v>1401</v>
      </c>
      <c r="B3871" s="336" t="s">
        <v>26</v>
      </c>
      <c r="C3871" s="336" t="s">
        <v>17</v>
      </c>
      <c r="D3871" s="1" t="s">
        <v>20</v>
      </c>
      <c r="E3871" s="337">
        <f>F3871/10</f>
        <v>3.7499999999999999E-3</v>
      </c>
      <c r="F3871" s="337">
        <f>Systems!L202</f>
        <v>3.7499999999999999E-2</v>
      </c>
      <c r="G3871" s="1" t="s">
        <v>23</v>
      </c>
      <c r="H3871" s="336" t="s">
        <v>7194</v>
      </c>
    </row>
    <row r="3872" spans="1:8">
      <c r="A3872" s="336" t="s">
        <v>7196</v>
      </c>
      <c r="B3872" s="336" t="s">
        <v>26</v>
      </c>
      <c r="C3872" s="336" t="s">
        <v>17</v>
      </c>
      <c r="D3872" s="1" t="s">
        <v>20</v>
      </c>
      <c r="E3872" s="337">
        <f>F3872</f>
        <v>3.7499999999999999E-2</v>
      </c>
      <c r="F3872" s="337">
        <f>Systems!L202</f>
        <v>3.7499999999999999E-2</v>
      </c>
      <c r="G3872" s="1" t="s">
        <v>23</v>
      </c>
      <c r="H3872" s="336" t="s">
        <v>7194</v>
      </c>
    </row>
    <row r="3873" spans="1:8">
      <c r="A3873" s="336" t="s">
        <v>1847</v>
      </c>
      <c r="B3873" s="336" t="s">
        <v>26</v>
      </c>
      <c r="C3873" s="336" t="s">
        <v>17</v>
      </c>
      <c r="D3873" s="1" t="s">
        <v>20</v>
      </c>
      <c r="E3873" s="337">
        <f>16*F3873</f>
        <v>0.6</v>
      </c>
      <c r="F3873" s="337">
        <f>Systems!L202</f>
        <v>3.7499999999999999E-2</v>
      </c>
      <c r="G3873" s="1" t="s">
        <v>23</v>
      </c>
      <c r="H3873" s="336" t="s">
        <v>7194</v>
      </c>
    </row>
    <row r="3874" spans="1:8">
      <c r="A3874" s="336" t="s">
        <v>7203</v>
      </c>
      <c r="B3874" s="336" t="s">
        <v>26</v>
      </c>
      <c r="C3874" s="336" t="s">
        <v>17</v>
      </c>
      <c r="D3874" s="1" t="s">
        <v>20</v>
      </c>
      <c r="E3874" s="337">
        <f>16*F3874</f>
        <v>0.6</v>
      </c>
      <c r="F3874" s="337">
        <f>Systems!L202</f>
        <v>3.7499999999999999E-2</v>
      </c>
      <c r="G3874" s="1" t="s">
        <v>23</v>
      </c>
      <c r="H3874" s="336" t="s">
        <v>7194</v>
      </c>
    </row>
    <row r="3875" spans="1:8">
      <c r="A3875" s="336" t="s">
        <v>2592</v>
      </c>
      <c r="B3875" s="336" t="s">
        <v>26</v>
      </c>
      <c r="C3875" s="336" t="s">
        <v>17</v>
      </c>
      <c r="D3875" s="1" t="s">
        <v>20</v>
      </c>
      <c r="E3875" s="337">
        <f>1600*F3875</f>
        <v>60</v>
      </c>
      <c r="F3875" s="337">
        <f>Systems!L202</f>
        <v>3.7499999999999999E-2</v>
      </c>
      <c r="G3875" s="336" t="s">
        <v>23</v>
      </c>
      <c r="H3875" s="336" t="s">
        <v>7194</v>
      </c>
    </row>
    <row r="3876" spans="1:8">
      <c r="A3876" s="248"/>
      <c r="B3876" s="248"/>
      <c r="C3876" s="248"/>
      <c r="D3876" s="248"/>
      <c r="E3876" s="250"/>
      <c r="F3876" s="250"/>
      <c r="G3876" s="248"/>
      <c r="H3876" s="248"/>
    </row>
    <row r="3877" spans="1:8">
      <c r="A3877" t="s">
        <v>7209</v>
      </c>
      <c r="B3877" s="336" t="s">
        <v>26</v>
      </c>
      <c r="C3877" s="1" t="s">
        <v>3033</v>
      </c>
      <c r="D3877" s="1" t="s">
        <v>19</v>
      </c>
      <c r="E3877" s="337">
        <f>F3877/80530636800</f>
        <v>1.158953125E-11</v>
      </c>
      <c r="F3877" s="337">
        <f>Systems!D203</f>
        <v>0.93331233177600004</v>
      </c>
      <c r="G3877" s="336" t="s">
        <v>14</v>
      </c>
      <c r="H3877" s="336" t="s">
        <v>7204</v>
      </c>
    </row>
    <row r="3878" spans="1:8">
      <c r="A3878" t="s">
        <v>7513</v>
      </c>
      <c r="B3878" s="336" t="s">
        <v>26</v>
      </c>
      <c r="C3878" s="1" t="s">
        <v>3033</v>
      </c>
      <c r="D3878" s="1" t="s">
        <v>19</v>
      </c>
      <c r="E3878" s="337">
        <f>F3878/8053063680</f>
        <v>1.158953125E-10</v>
      </c>
      <c r="F3878" s="337">
        <f>Systems!D203</f>
        <v>0.93331233177600004</v>
      </c>
      <c r="G3878" s="336" t="s">
        <v>14</v>
      </c>
      <c r="H3878" s="336" t="s">
        <v>7204</v>
      </c>
    </row>
    <row r="3879" spans="1:8">
      <c r="A3879" t="s">
        <v>1033</v>
      </c>
      <c r="B3879" s="336" t="s">
        <v>26</v>
      </c>
      <c r="C3879" s="1" t="s">
        <v>3033</v>
      </c>
      <c r="D3879" s="1" t="s">
        <v>19</v>
      </c>
      <c r="E3879" s="337">
        <f>F3879/805306368</f>
        <v>1.158953125E-9</v>
      </c>
      <c r="F3879" s="337">
        <f>Systems!D203</f>
        <v>0.93331233177600004</v>
      </c>
      <c r="G3879" s="336" t="s">
        <v>14</v>
      </c>
      <c r="H3879" s="336" t="s">
        <v>7204</v>
      </c>
    </row>
    <row r="3880" spans="1:8">
      <c r="A3880" t="s">
        <v>7514</v>
      </c>
      <c r="B3880" s="336" t="s">
        <v>26</v>
      </c>
      <c r="C3880" s="1" t="s">
        <v>3033</v>
      </c>
      <c r="D3880" s="1" t="s">
        <v>19</v>
      </c>
      <c r="E3880" s="337">
        <f>F3880/100663296</f>
        <v>9.2716249999999998E-9</v>
      </c>
      <c r="F3880" s="337">
        <f>Systems!D203</f>
        <v>0.93331233177600004</v>
      </c>
      <c r="G3880" s="336" t="s">
        <v>14</v>
      </c>
      <c r="H3880" s="336" t="s">
        <v>7204</v>
      </c>
    </row>
    <row r="3881" spans="1:8">
      <c r="A3881" t="s">
        <v>7515</v>
      </c>
      <c r="B3881" s="336" t="s">
        <v>26</v>
      </c>
      <c r="C3881" s="1" t="s">
        <v>3033</v>
      </c>
      <c r="D3881" s="1" t="s">
        <v>19</v>
      </c>
      <c r="E3881" s="337">
        <f>F3881/12582912</f>
        <v>7.4172999999999999E-8</v>
      </c>
      <c r="F3881" s="337">
        <f>Systems!D203</f>
        <v>0.93331233177600004</v>
      </c>
      <c r="G3881" s="336" t="s">
        <v>14</v>
      </c>
      <c r="H3881" s="336" t="s">
        <v>7204</v>
      </c>
    </row>
    <row r="3882" spans="1:8">
      <c r="A3882" t="s">
        <v>7516</v>
      </c>
      <c r="B3882" s="336" t="s">
        <v>26</v>
      </c>
      <c r="C3882" s="1" t="s">
        <v>3033</v>
      </c>
      <c r="D3882" s="1" t="s">
        <v>19</v>
      </c>
      <c r="E3882" s="337">
        <f>F3882/1572864</f>
        <v>5.9338399999999999E-7</v>
      </c>
      <c r="F3882" s="337">
        <f>Systems!D203</f>
        <v>0.93331233177600004</v>
      </c>
      <c r="G3882" s="336" t="s">
        <v>14</v>
      </c>
      <c r="H3882" s="336" t="s">
        <v>7204</v>
      </c>
    </row>
    <row r="3883" spans="1:8">
      <c r="A3883" t="s">
        <v>7517</v>
      </c>
      <c r="B3883" s="336" t="s">
        <v>26</v>
      </c>
      <c r="C3883" s="1" t="s">
        <v>3033</v>
      </c>
      <c r="D3883" s="1" t="s">
        <v>19</v>
      </c>
      <c r="E3883" s="337">
        <f>F3883/196608</f>
        <v>4.7470719999999999E-6</v>
      </c>
      <c r="F3883" s="337">
        <f>Systems!D203</f>
        <v>0.93331233177600004</v>
      </c>
      <c r="G3883" s="336" t="s">
        <v>14</v>
      </c>
      <c r="H3883" s="336" t="s">
        <v>7204</v>
      </c>
    </row>
    <row r="3884" spans="1:8">
      <c r="A3884" t="s">
        <v>7518</v>
      </c>
      <c r="B3884" s="336" t="s">
        <v>26</v>
      </c>
      <c r="C3884" s="1" t="s">
        <v>3033</v>
      </c>
      <c r="D3884" s="1" t="s">
        <v>19</v>
      </c>
      <c r="E3884" s="337">
        <f>F3884/24576</f>
        <v>3.7976575999999999E-5</v>
      </c>
      <c r="F3884" s="337">
        <f>Systems!D203</f>
        <v>0.93331233177600004</v>
      </c>
      <c r="G3884" s="336" t="s">
        <v>14</v>
      </c>
      <c r="H3884" s="336" t="s">
        <v>7204</v>
      </c>
    </row>
    <row r="3885" spans="1:8">
      <c r="A3885" t="s">
        <v>7210</v>
      </c>
      <c r="B3885" s="336" t="s">
        <v>26</v>
      </c>
      <c r="C3885" s="1" t="s">
        <v>3033</v>
      </c>
      <c r="D3885" s="1" t="s">
        <v>19</v>
      </c>
      <c r="E3885" s="337">
        <f>F3885/3072</f>
        <v>3.0381260799999999E-4</v>
      </c>
      <c r="F3885" s="337">
        <f>Systems!D203</f>
        <v>0.93331233177600004</v>
      </c>
      <c r="G3885" s="336" t="s">
        <v>14</v>
      </c>
      <c r="H3885" s="336" t="s">
        <v>7204</v>
      </c>
    </row>
    <row r="3886" spans="1:8">
      <c r="A3886" t="s">
        <v>7211</v>
      </c>
      <c r="B3886" s="336" t="s">
        <v>26</v>
      </c>
      <c r="C3886" s="1" t="s">
        <v>3033</v>
      </c>
      <c r="D3886" s="1" t="s">
        <v>19</v>
      </c>
      <c r="E3886" s="337">
        <f>F3886/384</f>
        <v>2.430500864E-3</v>
      </c>
      <c r="F3886" s="337">
        <f>Systems!D203</f>
        <v>0.93331233177600004</v>
      </c>
      <c r="G3886" s="336" t="s">
        <v>14</v>
      </c>
      <c r="H3886" s="336" t="s">
        <v>7204</v>
      </c>
    </row>
    <row r="3887" spans="1:8">
      <c r="A3887" t="s">
        <v>7212</v>
      </c>
      <c r="B3887" s="336" t="s">
        <v>26</v>
      </c>
      <c r="C3887" s="1" t="s">
        <v>3033</v>
      </c>
      <c r="D3887" s="1" t="s">
        <v>19</v>
      </c>
      <c r="E3887" s="337">
        <f>F3887/48</f>
        <v>1.9444006912E-2</v>
      </c>
      <c r="F3887" s="337">
        <f>Systems!D203</f>
        <v>0.93331233177600004</v>
      </c>
      <c r="G3887" s="336" t="s">
        <v>14</v>
      </c>
      <c r="H3887" s="336" t="s">
        <v>7204</v>
      </c>
    </row>
    <row r="3888" spans="1:8">
      <c r="A3888" t="s">
        <v>7213</v>
      </c>
      <c r="B3888" s="336" t="s">
        <v>26</v>
      </c>
      <c r="C3888" s="1" t="s">
        <v>3033</v>
      </c>
      <c r="D3888" s="1" t="s">
        <v>19</v>
      </c>
      <c r="E3888" s="337">
        <f>F3888/4</f>
        <v>0.23332808294400001</v>
      </c>
      <c r="F3888" s="337">
        <f>Systems!D203</f>
        <v>0.93331233177600004</v>
      </c>
      <c r="G3888" s="336" t="s">
        <v>14</v>
      </c>
      <c r="H3888" s="336" t="s">
        <v>7204</v>
      </c>
    </row>
    <row r="3889" spans="1:8">
      <c r="A3889" t="s">
        <v>1766</v>
      </c>
      <c r="B3889" s="336" t="s">
        <v>26</v>
      </c>
      <c r="C3889" s="1" t="s">
        <v>3033</v>
      </c>
      <c r="D3889" s="1" t="s">
        <v>19</v>
      </c>
      <c r="E3889" s="337">
        <f>F3889/4</f>
        <v>0.23332808294400001</v>
      </c>
      <c r="F3889" s="337">
        <f>Systems!D203</f>
        <v>0.93331233177600004</v>
      </c>
      <c r="G3889" s="336" t="s">
        <v>14</v>
      </c>
      <c r="H3889" s="336" t="s">
        <v>7204</v>
      </c>
    </row>
    <row r="3890" spans="1:8">
      <c r="A3890" t="s">
        <v>7215</v>
      </c>
      <c r="B3890" s="336" t="s">
        <v>26</v>
      </c>
      <c r="C3890" s="1" t="s">
        <v>3033</v>
      </c>
      <c r="D3890" s="1" t="s">
        <v>19</v>
      </c>
      <c r="E3890" s="337">
        <f>F3890/2</f>
        <v>0.46665616588800002</v>
      </c>
      <c r="F3890" s="337">
        <f>Systems!D203</f>
        <v>0.93331233177600004</v>
      </c>
      <c r="G3890" s="336" t="s">
        <v>14</v>
      </c>
      <c r="H3890" s="336" t="s">
        <v>7204</v>
      </c>
    </row>
    <row r="3891" spans="1:8">
      <c r="A3891" t="s">
        <v>7205</v>
      </c>
      <c r="B3891" s="336" t="s">
        <v>26</v>
      </c>
      <c r="C3891" s="1" t="s">
        <v>3033</v>
      </c>
      <c r="D3891" s="1" t="s">
        <v>19</v>
      </c>
      <c r="E3891" s="337">
        <f>F3891</f>
        <v>0.93331233177600004</v>
      </c>
      <c r="F3891" s="337">
        <f>Systems!D203</f>
        <v>0.93331233177600004</v>
      </c>
      <c r="G3891" s="336" t="s">
        <v>14</v>
      </c>
      <c r="H3891" s="336" t="s">
        <v>7204</v>
      </c>
    </row>
    <row r="3892" spans="1:8">
      <c r="A3892" s="336" t="s">
        <v>7214</v>
      </c>
      <c r="B3892" s="336" t="s">
        <v>26</v>
      </c>
      <c r="C3892" s="1" t="s">
        <v>3033</v>
      </c>
      <c r="D3892" s="1" t="s">
        <v>19</v>
      </c>
      <c r="E3892" s="337">
        <f>2*F3892</f>
        <v>1.8666246635520001</v>
      </c>
      <c r="F3892" s="337">
        <f>Systems!D203</f>
        <v>0.93331233177600004</v>
      </c>
      <c r="G3892" s="336" t="s">
        <v>14</v>
      </c>
      <c r="H3892" s="336" t="s">
        <v>7204</v>
      </c>
    </row>
    <row r="3893" spans="1:8">
      <c r="A3893" s="336" t="s">
        <v>1790</v>
      </c>
      <c r="B3893" s="336" t="s">
        <v>26</v>
      </c>
      <c r="C3893" s="1" t="s">
        <v>3033</v>
      </c>
      <c r="D3893" s="1" t="s">
        <v>19</v>
      </c>
      <c r="E3893" s="337">
        <f>1250*F3893</f>
        <v>1166.6404147200001</v>
      </c>
      <c r="F3893" s="337">
        <f>Systems!D203</f>
        <v>0.93331233177600004</v>
      </c>
      <c r="G3893" s="336" t="s">
        <v>14</v>
      </c>
      <c r="H3893" s="336" t="s">
        <v>7204</v>
      </c>
    </row>
    <row r="3894" spans="1:8" ht="16.5">
      <c r="A3894" s="336" t="s">
        <v>7206</v>
      </c>
      <c r="B3894" s="336" t="s">
        <v>26</v>
      </c>
      <c r="C3894" s="336" t="s">
        <v>3034</v>
      </c>
      <c r="D3894" s="1" t="s">
        <v>38</v>
      </c>
      <c r="E3894" s="337">
        <f>F3894</f>
        <v>40.468564224000012</v>
      </c>
      <c r="F3894" s="337">
        <f>Systems!H203</f>
        <v>40.468564224000012</v>
      </c>
      <c r="G3894" s="1" t="s">
        <v>39</v>
      </c>
      <c r="H3894" s="336" t="s">
        <v>7204</v>
      </c>
    </row>
    <row r="3895" spans="1:8" ht="16.5">
      <c r="A3895" t="s">
        <v>7359</v>
      </c>
      <c r="B3895" s="336" t="s">
        <v>26</v>
      </c>
      <c r="C3895" s="336" t="s">
        <v>3034</v>
      </c>
      <c r="D3895" s="1" t="s">
        <v>38</v>
      </c>
      <c r="E3895" s="337">
        <f>8*F3895</f>
        <v>323.7485137920001</v>
      </c>
      <c r="F3895" s="337">
        <f>Systems!H203</f>
        <v>40.468564224000012</v>
      </c>
      <c r="G3895" s="1" t="s">
        <v>39</v>
      </c>
      <c r="H3895" s="336" t="s">
        <v>7204</v>
      </c>
    </row>
    <row r="3896" spans="1:8" ht="16.5">
      <c r="A3896" t="s">
        <v>1042</v>
      </c>
      <c r="B3896" s="336" t="s">
        <v>26</v>
      </c>
      <c r="C3896" s="336" t="s">
        <v>3034</v>
      </c>
      <c r="D3896" s="1" t="s">
        <v>38</v>
      </c>
      <c r="E3896" s="337">
        <f>8*F3896</f>
        <v>323.7485137920001</v>
      </c>
      <c r="F3896" s="337">
        <f>Systems!H203</f>
        <v>40.468564224000012</v>
      </c>
      <c r="G3896" s="1" t="s">
        <v>39</v>
      </c>
      <c r="H3896" s="336" t="s">
        <v>7204</v>
      </c>
    </row>
    <row r="3897" spans="1:8" ht="16.5">
      <c r="A3897" t="s">
        <v>7216</v>
      </c>
      <c r="B3897" s="336" t="s">
        <v>26</v>
      </c>
      <c r="C3897" s="336" t="s">
        <v>3034</v>
      </c>
      <c r="D3897" s="1" t="s">
        <v>38</v>
      </c>
      <c r="E3897" s="337">
        <f>16*F3897</f>
        <v>647.49702758400019</v>
      </c>
      <c r="F3897" s="337">
        <f>Systems!H203</f>
        <v>40.468564224000012</v>
      </c>
      <c r="G3897" s="1" t="s">
        <v>39</v>
      </c>
      <c r="H3897" s="336" t="s">
        <v>7204</v>
      </c>
    </row>
    <row r="3898" spans="1:8" ht="16.5">
      <c r="A3898" t="s">
        <v>7217</v>
      </c>
      <c r="B3898" s="336" t="s">
        <v>26</v>
      </c>
      <c r="C3898" s="336" t="s">
        <v>3034</v>
      </c>
      <c r="D3898" s="1" t="s">
        <v>38</v>
      </c>
      <c r="E3898" s="337">
        <f>24*F3898</f>
        <v>971.24554137600035</v>
      </c>
      <c r="F3898" s="337">
        <f>Systems!H203</f>
        <v>40.468564224000012</v>
      </c>
      <c r="G3898" s="1" t="s">
        <v>39</v>
      </c>
      <c r="H3898" s="336" t="s">
        <v>7204</v>
      </c>
    </row>
    <row r="3899" spans="1:8" ht="16.5">
      <c r="A3899" t="s">
        <v>7218</v>
      </c>
      <c r="B3899" s="336" t="s">
        <v>26</v>
      </c>
      <c r="C3899" s="336" t="s">
        <v>3034</v>
      </c>
      <c r="D3899" s="1" t="s">
        <v>38</v>
      </c>
      <c r="E3899" s="337">
        <f>5*F3899/242</f>
        <v>0.83612736000000021</v>
      </c>
      <c r="F3899" s="337">
        <f>Systems!H203</f>
        <v>40.468564224000012</v>
      </c>
      <c r="G3899" s="1" t="s">
        <v>39</v>
      </c>
      <c r="H3899" s="336" t="s">
        <v>7204</v>
      </c>
    </row>
    <row r="3900" spans="1:8" ht="16.5">
      <c r="A3900" t="s">
        <v>7219</v>
      </c>
      <c r="B3900" s="336" t="s">
        <v>26</v>
      </c>
      <c r="C3900" s="336" t="s">
        <v>3034</v>
      </c>
      <c r="D3900" s="1" t="s">
        <v>38</v>
      </c>
      <c r="E3900" s="337">
        <f>400*F3900/4840</f>
        <v>3.3445094400000008</v>
      </c>
      <c r="F3900" s="337">
        <f>Systems!H203</f>
        <v>40.468564224000012</v>
      </c>
      <c r="G3900" s="1" t="s">
        <v>39</v>
      </c>
      <c r="H3900" s="336" t="s">
        <v>7204</v>
      </c>
    </row>
    <row r="3901" spans="1:8" ht="16.5">
      <c r="A3901" t="s">
        <v>7220</v>
      </c>
      <c r="B3901" s="336" t="s">
        <v>26</v>
      </c>
      <c r="C3901" s="336" t="s">
        <v>3034</v>
      </c>
      <c r="D3901" s="1" t="s">
        <v>38</v>
      </c>
      <c r="E3901" s="337">
        <f>100*F3901/303</f>
        <v>13.355961790099013</v>
      </c>
      <c r="F3901" s="337">
        <f>Systems!H203</f>
        <v>40.468564224000012</v>
      </c>
      <c r="G3901" s="1" t="s">
        <v>39</v>
      </c>
      <c r="H3901" s="336" t="s">
        <v>7204</v>
      </c>
    </row>
    <row r="3902" spans="1:8" ht="16.5">
      <c r="A3902" t="s">
        <v>1997</v>
      </c>
      <c r="B3902" s="336" t="s">
        <v>26</v>
      </c>
      <c r="C3902" s="336" t="s">
        <v>3034</v>
      </c>
      <c r="D3902" s="1" t="s">
        <v>38</v>
      </c>
      <c r="E3902" s="337">
        <f>10000*F3902/303</f>
        <v>1335.5961790099013</v>
      </c>
      <c r="F3902" s="337">
        <f>Systems!H203</f>
        <v>40.468564224000012</v>
      </c>
      <c r="G3902" s="1" t="s">
        <v>39</v>
      </c>
      <c r="H3902" s="336" t="s">
        <v>7204</v>
      </c>
    </row>
    <row r="3903" spans="1:8" ht="16.5">
      <c r="A3903" t="s">
        <v>952</v>
      </c>
      <c r="B3903" s="336" t="s">
        <v>26</v>
      </c>
      <c r="C3903" s="336" t="s">
        <v>3034</v>
      </c>
      <c r="D3903" s="1" t="s">
        <v>38</v>
      </c>
      <c r="E3903" s="337">
        <f>40000*F3903/303</f>
        <v>5342.3847160396053</v>
      </c>
      <c r="F3903" s="337">
        <f>Systems!H203</f>
        <v>40.468564224000012</v>
      </c>
      <c r="G3903" s="1" t="s">
        <v>39</v>
      </c>
      <c r="H3903" s="336" t="s">
        <v>7204</v>
      </c>
    </row>
    <row r="3904" spans="1:8" ht="16.5">
      <c r="A3904" t="s">
        <v>7221</v>
      </c>
      <c r="B3904" s="336" t="s">
        <v>26</v>
      </c>
      <c r="C3904" s="336" t="s">
        <v>3034</v>
      </c>
      <c r="D3904" s="1" t="s">
        <v>38</v>
      </c>
      <c r="E3904" s="337">
        <f>200000*F3904/303</f>
        <v>26711.923580198029</v>
      </c>
      <c r="F3904" s="337">
        <f>Systems!H203</f>
        <v>40.468564224000012</v>
      </c>
      <c r="G3904" s="1" t="s">
        <v>39</v>
      </c>
      <c r="H3904" s="336" t="s">
        <v>7204</v>
      </c>
    </row>
    <row r="3905" spans="1:8" ht="16.5">
      <c r="A3905" t="s">
        <v>7222</v>
      </c>
      <c r="B3905" s="336" t="s">
        <v>26</v>
      </c>
      <c r="C3905" s="336" t="s">
        <v>3034</v>
      </c>
      <c r="D3905" s="1" t="s">
        <v>38</v>
      </c>
      <c r="E3905" s="337">
        <f>84*F3905/4840</f>
        <v>0.70234698240000015</v>
      </c>
      <c r="F3905" s="337">
        <f>Systems!H203</f>
        <v>40.468564224000012</v>
      </c>
      <c r="G3905" s="1" t="s">
        <v>39</v>
      </c>
      <c r="H3905" s="336" t="s">
        <v>7204</v>
      </c>
    </row>
    <row r="3906" spans="1:8" ht="16.5">
      <c r="A3906" t="s">
        <v>7223</v>
      </c>
      <c r="B3906" s="336" t="s">
        <v>26</v>
      </c>
      <c r="C3906" s="336" t="s">
        <v>3034</v>
      </c>
      <c r="D3906" s="1" t="s">
        <v>38</v>
      </c>
      <c r="E3906" s="337">
        <f>6.25*F3906</f>
        <v>252.92852640000007</v>
      </c>
      <c r="F3906" s="337">
        <f>Systems!H203</f>
        <v>40.468564224000012</v>
      </c>
      <c r="G3906" s="1" t="s">
        <v>39</v>
      </c>
      <c r="H3906" s="336" t="s">
        <v>7204</v>
      </c>
    </row>
    <row r="3907" spans="1:8" ht="16.5">
      <c r="A3907" t="s">
        <v>7224</v>
      </c>
      <c r="B3907" s="336" t="s">
        <v>26</v>
      </c>
      <c r="C3907" s="336" t="s">
        <v>3034</v>
      </c>
      <c r="D3907" s="1" t="s">
        <v>38</v>
      </c>
      <c r="E3907" s="337">
        <f>6.25*F3907</f>
        <v>252.92852640000007</v>
      </c>
      <c r="F3907" s="337">
        <f>Systems!H203</f>
        <v>40.468564224000012</v>
      </c>
      <c r="G3907" s="1" t="s">
        <v>39</v>
      </c>
      <c r="H3907" s="336" t="s">
        <v>7204</v>
      </c>
    </row>
    <row r="3908" spans="1:8" ht="16.5">
      <c r="A3908" t="s">
        <v>7225</v>
      </c>
      <c r="B3908" s="336" t="s">
        <v>26</v>
      </c>
      <c r="C3908" s="336" t="s">
        <v>3034</v>
      </c>
      <c r="D3908" s="1" t="s">
        <v>38</v>
      </c>
      <c r="E3908" s="337">
        <f>6.25*F3908/18</f>
        <v>14.051584800000004</v>
      </c>
      <c r="F3908" s="337">
        <f>Systems!H203</f>
        <v>40.468564224000012</v>
      </c>
      <c r="G3908" s="1" t="s">
        <v>39</v>
      </c>
      <c r="H3908" s="336" t="s">
        <v>7204</v>
      </c>
    </row>
    <row r="3909" spans="1:8" ht="16.5">
      <c r="A3909" t="s">
        <v>7226</v>
      </c>
      <c r="B3909" s="336" t="s">
        <v>26</v>
      </c>
      <c r="C3909" s="1" t="s">
        <v>2936</v>
      </c>
      <c r="D3909" s="1" t="s">
        <v>32</v>
      </c>
      <c r="E3909" s="337">
        <f>100*F3909/24</f>
        <v>168.61901760000003</v>
      </c>
      <c r="F3909" s="337">
        <f>Systems!H203</f>
        <v>40.468564224000012</v>
      </c>
      <c r="G3909" s="1" t="s">
        <v>33</v>
      </c>
      <c r="H3909" s="336" t="s">
        <v>7204</v>
      </c>
    </row>
    <row r="3910" spans="1:8" ht="16.5">
      <c r="A3910" t="s">
        <v>7208</v>
      </c>
      <c r="B3910" s="336" t="s">
        <v>26</v>
      </c>
      <c r="C3910" s="1" t="s">
        <v>2936</v>
      </c>
      <c r="D3910" s="1" t="s">
        <v>32</v>
      </c>
      <c r="E3910" s="337">
        <f>F3910</f>
        <v>1.3439999999999999E-3</v>
      </c>
      <c r="F3910" s="337">
        <f>Systems!T203</f>
        <v>1.3439999999999999E-3</v>
      </c>
      <c r="G3910" s="1" t="s">
        <v>33</v>
      </c>
      <c r="H3910" s="336" t="s">
        <v>7204</v>
      </c>
    </row>
    <row r="3911" spans="1:8" ht="16.5">
      <c r="A3911" t="s">
        <v>7238</v>
      </c>
      <c r="B3911" s="336" t="s">
        <v>26</v>
      </c>
      <c r="C3911" s="1" t="s">
        <v>2936</v>
      </c>
      <c r="D3911" s="1" t="s">
        <v>32</v>
      </c>
      <c r="E3911" s="337">
        <f>F3911/2</f>
        <v>6.7199999999999996E-4</v>
      </c>
      <c r="F3911" s="337">
        <f>Systems!T203</f>
        <v>1.3439999999999999E-3</v>
      </c>
      <c r="G3911" s="1" t="s">
        <v>33</v>
      </c>
      <c r="H3911" s="336" t="s">
        <v>7204</v>
      </c>
    </row>
    <row r="3912" spans="1:8" ht="16.5">
      <c r="A3912" t="s">
        <v>7532</v>
      </c>
      <c r="B3912" s="336" t="s">
        <v>26</v>
      </c>
      <c r="C3912" s="1" t="s">
        <v>2936</v>
      </c>
      <c r="D3912" s="1" t="s">
        <v>32</v>
      </c>
      <c r="E3912" s="337">
        <f>F3912/4</f>
        <v>3.3599999999999998E-4</v>
      </c>
      <c r="F3912" s="337">
        <f>Systems!T203</f>
        <v>1.3439999999999999E-3</v>
      </c>
      <c r="G3912" s="1" t="s">
        <v>33</v>
      </c>
      <c r="H3912" s="336" t="s">
        <v>7204</v>
      </c>
    </row>
    <row r="3913" spans="1:8" ht="16.5">
      <c r="A3913" t="s">
        <v>7239</v>
      </c>
      <c r="B3913" s="336" t="s">
        <v>26</v>
      </c>
      <c r="C3913" s="1" t="s">
        <v>2936</v>
      </c>
      <c r="D3913" s="1" t="s">
        <v>32</v>
      </c>
      <c r="E3913" s="337">
        <f>F3913/8</f>
        <v>1.6799999999999999E-4</v>
      </c>
      <c r="F3913" s="337">
        <f>Systems!T203</f>
        <v>1.3439999999999999E-3</v>
      </c>
      <c r="G3913" s="1" t="s">
        <v>33</v>
      </c>
      <c r="H3913" s="336" t="s">
        <v>7204</v>
      </c>
    </row>
    <row r="3914" spans="1:8" ht="16.5">
      <c r="A3914" t="s">
        <v>7240</v>
      </c>
      <c r="B3914" s="336" t="s">
        <v>26</v>
      </c>
      <c r="C3914" s="1" t="s">
        <v>2936</v>
      </c>
      <c r="D3914" s="1" t="s">
        <v>32</v>
      </c>
      <c r="E3914" s="337">
        <f>F3914/40</f>
        <v>3.3599999999999997E-5</v>
      </c>
      <c r="F3914" s="337">
        <f>Systems!T203</f>
        <v>1.3439999999999999E-3</v>
      </c>
      <c r="G3914" s="1" t="s">
        <v>33</v>
      </c>
      <c r="H3914" s="336" t="s">
        <v>7204</v>
      </c>
    </row>
    <row r="3915" spans="1:8" ht="16.5">
      <c r="A3915" t="s">
        <v>7211</v>
      </c>
      <c r="B3915" s="336" t="s">
        <v>26</v>
      </c>
      <c r="C3915" s="1" t="s">
        <v>2936</v>
      </c>
      <c r="D3915" s="1" t="s">
        <v>32</v>
      </c>
      <c r="E3915" s="337">
        <f>F3915/14400</f>
        <v>9.3333333333333322E-8</v>
      </c>
      <c r="F3915" s="337">
        <f>Systems!T203</f>
        <v>1.3439999999999999E-3</v>
      </c>
      <c r="G3915" s="1" t="s">
        <v>33</v>
      </c>
      <c r="H3915" s="336" t="s">
        <v>7204</v>
      </c>
    </row>
    <row r="3916" spans="1:8" ht="16.5">
      <c r="A3916" t="s">
        <v>7241</v>
      </c>
      <c r="B3916" s="336" t="s">
        <v>26</v>
      </c>
      <c r="C3916" s="1" t="s">
        <v>2936</v>
      </c>
      <c r="D3916" s="1" t="s">
        <v>32</v>
      </c>
      <c r="E3916" s="337">
        <f>8*F3916</f>
        <v>1.0751999999999999E-2</v>
      </c>
      <c r="F3916" s="337">
        <f>Systems!T203</f>
        <v>1.3439999999999999E-3</v>
      </c>
      <c r="G3916" s="1" t="s">
        <v>33</v>
      </c>
      <c r="H3916" s="336" t="s">
        <v>7204</v>
      </c>
    </row>
    <row r="3917" spans="1:8" ht="16.5">
      <c r="A3917" t="s">
        <v>1042</v>
      </c>
      <c r="B3917" s="336" t="s">
        <v>26</v>
      </c>
      <c r="C3917" s="1" t="s">
        <v>2936</v>
      </c>
      <c r="D3917" s="1" t="s">
        <v>32</v>
      </c>
      <c r="E3917" s="337">
        <f>8*F3917</f>
        <v>1.0751999999999999E-2</v>
      </c>
      <c r="F3917" s="337">
        <f>Systems!T203</f>
        <v>1.3439999999999999E-3</v>
      </c>
      <c r="G3917" s="1" t="s">
        <v>33</v>
      </c>
      <c r="H3917" s="336" t="s">
        <v>7204</v>
      </c>
    </row>
    <row r="3918" spans="1:8" ht="16.5">
      <c r="A3918" t="s">
        <v>7242</v>
      </c>
      <c r="B3918" s="336" t="s">
        <v>26</v>
      </c>
      <c r="C3918" s="1" t="s">
        <v>2936</v>
      </c>
      <c r="D3918" s="1" t="s">
        <v>32</v>
      </c>
      <c r="E3918" s="337">
        <f>16*F3918</f>
        <v>2.1503999999999999E-2</v>
      </c>
      <c r="F3918" s="337">
        <f>Systems!T203</f>
        <v>1.3439999999999999E-3</v>
      </c>
      <c r="G3918" s="1" t="s">
        <v>33</v>
      </c>
      <c r="H3918" s="336" t="s">
        <v>7204</v>
      </c>
    </row>
    <row r="3919" spans="1:8" ht="16.5">
      <c r="A3919" t="s">
        <v>7243</v>
      </c>
      <c r="B3919" s="336" t="s">
        <v>26</v>
      </c>
      <c r="C3919" s="1" t="s">
        <v>2936</v>
      </c>
      <c r="D3919" s="1" t="s">
        <v>32</v>
      </c>
      <c r="E3919" s="337">
        <f>32*F3919</f>
        <v>4.3007999999999998E-2</v>
      </c>
      <c r="F3919" s="337">
        <f>Systems!T203</f>
        <v>1.3439999999999999E-3</v>
      </c>
      <c r="G3919" s="1" t="s">
        <v>33</v>
      </c>
      <c r="H3919" s="336" t="s">
        <v>7204</v>
      </c>
    </row>
    <row r="3920" spans="1:8" ht="16.5">
      <c r="A3920" t="s">
        <v>7244</v>
      </c>
      <c r="B3920" s="336" t="s">
        <v>26</v>
      </c>
      <c r="C3920" s="1" t="s">
        <v>2936</v>
      </c>
      <c r="D3920" s="1" t="s">
        <v>32</v>
      </c>
      <c r="E3920" s="337">
        <f>96*F3920</f>
        <v>0.129024</v>
      </c>
      <c r="F3920" s="337">
        <f>Systems!T203</f>
        <v>1.3439999999999999E-3</v>
      </c>
      <c r="G3920" s="1" t="s">
        <v>33</v>
      </c>
      <c r="H3920" s="336" t="s">
        <v>7204</v>
      </c>
    </row>
    <row r="3921" spans="1:8" ht="16.5">
      <c r="A3921" t="s">
        <v>7245</v>
      </c>
      <c r="B3921" s="336" t="s">
        <v>26</v>
      </c>
      <c r="C3921" s="1" t="s">
        <v>2936</v>
      </c>
      <c r="D3921" s="1" t="s">
        <v>32</v>
      </c>
      <c r="E3921" s="337">
        <f>40*F3921</f>
        <v>5.3759999999999995E-2</v>
      </c>
      <c r="F3921" s="337">
        <f>Systems!T203</f>
        <v>1.3439999999999999E-3</v>
      </c>
      <c r="G3921" s="1" t="s">
        <v>33</v>
      </c>
      <c r="H3921" s="336" t="s">
        <v>7204</v>
      </c>
    </row>
    <row r="3922" spans="1:8" ht="16.5">
      <c r="A3922" t="s">
        <v>7246</v>
      </c>
      <c r="B3922" s="336" t="s">
        <v>26</v>
      </c>
      <c r="C3922" s="1" t="s">
        <v>2936</v>
      </c>
      <c r="D3922" s="1" t="s">
        <v>32</v>
      </c>
      <c r="E3922" s="337">
        <f>3200*F3922</f>
        <v>4.3007999999999997</v>
      </c>
      <c r="F3922" s="337">
        <f>Systems!T203</f>
        <v>1.3439999999999999E-3</v>
      </c>
      <c r="G3922" s="1" t="s">
        <v>33</v>
      </c>
      <c r="H3922" s="336" t="s">
        <v>7204</v>
      </c>
    </row>
    <row r="3923" spans="1:8" ht="16.5">
      <c r="A3923" t="s">
        <v>7247</v>
      </c>
      <c r="B3923" s="336" t="s">
        <v>26</v>
      </c>
      <c r="C3923" s="1" t="s">
        <v>2936</v>
      </c>
      <c r="D3923" s="1" t="s">
        <v>32</v>
      </c>
      <c r="E3923" s="337">
        <f>96*F3923</f>
        <v>0.129024</v>
      </c>
      <c r="F3923" s="337">
        <f>Systems!T203</f>
        <v>1.3439999999999999E-3</v>
      </c>
      <c r="G3923" s="1" t="s">
        <v>33</v>
      </c>
      <c r="H3923" s="336" t="s">
        <v>7204</v>
      </c>
    </row>
    <row r="3924" spans="1:8" ht="16.5">
      <c r="A3924" t="s">
        <v>7248</v>
      </c>
      <c r="B3924" s="336" t="s">
        <v>26</v>
      </c>
      <c r="C3924" s="1" t="s">
        <v>2936</v>
      </c>
      <c r="D3924" s="1" t="s">
        <v>32</v>
      </c>
      <c r="E3924" s="337">
        <f>96*F3924</f>
        <v>0.129024</v>
      </c>
      <c r="F3924" s="337">
        <f>Systems!T203</f>
        <v>1.3439999999999999E-3</v>
      </c>
      <c r="G3924" s="1" t="s">
        <v>33</v>
      </c>
      <c r="H3924" s="336" t="s">
        <v>7204</v>
      </c>
    </row>
    <row r="3925" spans="1:8" ht="16.5">
      <c r="A3925" t="s">
        <v>7249</v>
      </c>
      <c r="B3925" s="336" t="s">
        <v>26</v>
      </c>
      <c r="C3925" s="1" t="s">
        <v>2936</v>
      </c>
      <c r="D3925" s="1" t="s">
        <v>32</v>
      </c>
      <c r="E3925" s="337">
        <f>168*F3925</f>
        <v>0.22579199999999999</v>
      </c>
      <c r="F3925" s="337">
        <f>Systems!T203</f>
        <v>1.3439999999999999E-3</v>
      </c>
      <c r="G3925" s="1" t="s">
        <v>33</v>
      </c>
      <c r="H3925" s="336" t="s">
        <v>7204</v>
      </c>
    </row>
    <row r="3926" spans="1:8" ht="16.5">
      <c r="A3926" t="s">
        <v>7208</v>
      </c>
      <c r="B3926" s="336" t="s">
        <v>26</v>
      </c>
      <c r="C3926" s="1" t="s">
        <v>2935</v>
      </c>
      <c r="D3926" s="1" t="s">
        <v>32</v>
      </c>
      <c r="E3926" s="337">
        <f>F3926</f>
        <v>1.3439999999999999E-3</v>
      </c>
      <c r="F3926" s="337">
        <f>Systems!P203</f>
        <v>1.3439999999999999E-3</v>
      </c>
      <c r="G3926" s="1" t="s">
        <v>33</v>
      </c>
      <c r="H3926" s="336" t="s">
        <v>7204</v>
      </c>
    </row>
    <row r="3927" spans="1:8" ht="16.5">
      <c r="A3927" t="s">
        <v>7532</v>
      </c>
      <c r="B3927" s="336" t="s">
        <v>26</v>
      </c>
      <c r="C3927" s="1" t="s">
        <v>2935</v>
      </c>
      <c r="D3927" s="1" t="s">
        <v>32</v>
      </c>
      <c r="E3927" s="337">
        <f>F3927/2</f>
        <v>6.7199999999999996E-4</v>
      </c>
      <c r="F3927" s="337">
        <f>Systems!P203</f>
        <v>1.3439999999999999E-3</v>
      </c>
      <c r="G3927" s="1" t="s">
        <v>33</v>
      </c>
      <c r="H3927" s="336" t="s">
        <v>7204</v>
      </c>
    </row>
    <row r="3928" spans="1:8" ht="16.5">
      <c r="A3928" t="s">
        <v>7241</v>
      </c>
      <c r="B3928" s="336" t="s">
        <v>26</v>
      </c>
      <c r="C3928" s="1" t="s">
        <v>2935</v>
      </c>
      <c r="D3928" s="1" t="s">
        <v>32</v>
      </c>
      <c r="E3928" s="337">
        <f>4*F3928</f>
        <v>5.3759999999999997E-3</v>
      </c>
      <c r="F3928" s="337">
        <f>Systems!P203</f>
        <v>1.3439999999999999E-3</v>
      </c>
      <c r="G3928" s="1" t="s">
        <v>33</v>
      </c>
      <c r="H3928" s="336" t="s">
        <v>7204</v>
      </c>
    </row>
    <row r="3929" spans="1:8" ht="16.5">
      <c r="A3929" t="s">
        <v>7242</v>
      </c>
      <c r="B3929" s="336" t="s">
        <v>26</v>
      </c>
      <c r="C3929" s="1" t="s">
        <v>2935</v>
      </c>
      <c r="D3929" s="1" t="s">
        <v>32</v>
      </c>
      <c r="E3929" s="337">
        <f>8*F3929</f>
        <v>1.0751999999999999E-2</v>
      </c>
      <c r="F3929" s="337">
        <f>Systems!P203</f>
        <v>1.3439999999999999E-3</v>
      </c>
      <c r="G3929" s="1" t="s">
        <v>33</v>
      </c>
      <c r="H3929" s="336" t="s">
        <v>7204</v>
      </c>
    </row>
    <row r="3930" spans="1:8" ht="16.5">
      <c r="A3930" t="s">
        <v>7243</v>
      </c>
      <c r="B3930" s="336" t="s">
        <v>26</v>
      </c>
      <c r="C3930" s="1" t="s">
        <v>2935</v>
      </c>
      <c r="D3930" s="1" t="s">
        <v>32</v>
      </c>
      <c r="E3930" s="337">
        <f>16*F3930</f>
        <v>2.1503999999999999E-2</v>
      </c>
      <c r="F3930" s="337">
        <f>Systems!P203</f>
        <v>1.3439999999999999E-3</v>
      </c>
      <c r="G3930" s="1" t="s">
        <v>33</v>
      </c>
      <c r="H3930" s="336" t="s">
        <v>7204</v>
      </c>
    </row>
    <row r="3931" spans="1:8" ht="16.5">
      <c r="A3931" t="s">
        <v>7249</v>
      </c>
      <c r="B3931" s="336" t="s">
        <v>26</v>
      </c>
      <c r="C3931" s="1" t="s">
        <v>2935</v>
      </c>
      <c r="D3931" s="1" t="s">
        <v>32</v>
      </c>
      <c r="E3931" s="337">
        <f>84*F3931</f>
        <v>0.112896</v>
      </c>
      <c r="F3931" s="337">
        <f>Systems!P203</f>
        <v>1.3439999999999999E-3</v>
      </c>
      <c r="G3931" s="1" t="s">
        <v>33</v>
      </c>
      <c r="H3931" s="336" t="s">
        <v>7204</v>
      </c>
    </row>
    <row r="3932" spans="1:8" ht="16.5">
      <c r="A3932" t="s">
        <v>7238</v>
      </c>
      <c r="B3932" s="336" t="s">
        <v>26</v>
      </c>
      <c r="C3932" s="1" t="s">
        <v>2935</v>
      </c>
      <c r="D3932" s="1" t="s">
        <v>32</v>
      </c>
      <c r="E3932" s="337">
        <f>F3932</f>
        <v>1.3439999999999999E-3</v>
      </c>
      <c r="F3932" s="337">
        <f>Systems!P203</f>
        <v>1.3439999999999999E-3</v>
      </c>
      <c r="G3932" s="1" t="s">
        <v>33</v>
      </c>
      <c r="H3932" s="336" t="s">
        <v>7204</v>
      </c>
    </row>
    <row r="3933" spans="1:8" ht="16.5">
      <c r="A3933" t="s">
        <v>7239</v>
      </c>
      <c r="B3933" s="336" t="s">
        <v>26</v>
      </c>
      <c r="C3933" s="1" t="s">
        <v>2935</v>
      </c>
      <c r="D3933" s="1" t="s">
        <v>32</v>
      </c>
      <c r="E3933" s="337">
        <f>F3933/4</f>
        <v>3.3599999999999998E-4</v>
      </c>
      <c r="F3933" s="337">
        <f>Systems!P203</f>
        <v>1.3439999999999999E-3</v>
      </c>
      <c r="G3933" s="1" t="s">
        <v>33</v>
      </c>
      <c r="H3933" s="336" t="s">
        <v>7204</v>
      </c>
    </row>
    <row r="3934" spans="1:8" ht="16.5">
      <c r="A3934" t="s">
        <v>7250</v>
      </c>
      <c r="B3934" s="336" t="s">
        <v>26</v>
      </c>
      <c r="C3934" s="1" t="s">
        <v>2935</v>
      </c>
      <c r="D3934" s="1" t="s">
        <v>32</v>
      </c>
      <c r="E3934" s="337">
        <f>F3934/8</f>
        <v>1.6799999999999999E-4</v>
      </c>
      <c r="F3934" s="337">
        <f>Systems!P203</f>
        <v>1.3439999999999999E-3</v>
      </c>
      <c r="G3934" s="1" t="s">
        <v>33</v>
      </c>
      <c r="H3934" s="336" t="s">
        <v>7204</v>
      </c>
    </row>
    <row r="3935" spans="1:8" ht="16.5">
      <c r="A3935" t="s">
        <v>7240</v>
      </c>
      <c r="B3935" s="336" t="s">
        <v>26</v>
      </c>
      <c r="C3935" s="1" t="s">
        <v>2935</v>
      </c>
      <c r="D3935" s="1" t="s">
        <v>32</v>
      </c>
      <c r="E3935" s="337">
        <f>F3935/20</f>
        <v>6.7199999999999994E-5</v>
      </c>
      <c r="F3935" s="337">
        <f>Systems!P203</f>
        <v>1.3439999999999999E-3</v>
      </c>
      <c r="G3935" s="1" t="s">
        <v>33</v>
      </c>
      <c r="H3935" s="336" t="s">
        <v>7204</v>
      </c>
    </row>
    <row r="3936" spans="1:8">
      <c r="A3936" t="s">
        <v>7207</v>
      </c>
      <c r="B3936" s="336" t="s">
        <v>26</v>
      </c>
      <c r="C3936" s="336" t="s">
        <v>17</v>
      </c>
      <c r="D3936" s="336" t="s">
        <v>20</v>
      </c>
      <c r="E3936" s="337">
        <f>F3936</f>
        <v>4.8000000000000001E-2</v>
      </c>
      <c r="F3936" s="337">
        <f>Systems!L203</f>
        <v>4.8000000000000001E-2</v>
      </c>
      <c r="G3936" s="336" t="s">
        <v>23</v>
      </c>
      <c r="H3936" s="336" t="s">
        <v>7204</v>
      </c>
    </row>
    <row r="3937" spans="1:8">
      <c r="A3937" t="s">
        <v>7227</v>
      </c>
      <c r="B3937" s="336" t="s">
        <v>26</v>
      </c>
      <c r="C3937" s="336" t="s">
        <v>17</v>
      </c>
      <c r="D3937" s="336" t="s">
        <v>20</v>
      </c>
      <c r="E3937" s="337">
        <f>F3937/4</f>
        <v>1.2E-2</v>
      </c>
      <c r="F3937" s="337">
        <f>Systems!L203</f>
        <v>4.8000000000000001E-2</v>
      </c>
      <c r="G3937" s="336" t="s">
        <v>23</v>
      </c>
      <c r="H3937" s="336" t="s">
        <v>7204</v>
      </c>
    </row>
    <row r="3938" spans="1:8">
      <c r="A3938" t="s">
        <v>7228</v>
      </c>
      <c r="B3938" s="336" t="s">
        <v>26</v>
      </c>
      <c r="C3938" s="336" t="s">
        <v>17</v>
      </c>
      <c r="D3938" s="336" t="s">
        <v>20</v>
      </c>
      <c r="E3938" s="337">
        <f>F3938/16</f>
        <v>3.0000000000000001E-3</v>
      </c>
      <c r="F3938" s="337">
        <f>Systems!L203</f>
        <v>4.8000000000000001E-2</v>
      </c>
      <c r="G3938" s="336" t="s">
        <v>23</v>
      </c>
      <c r="H3938" s="336" t="s">
        <v>7204</v>
      </c>
    </row>
    <row r="3939" spans="1:8">
      <c r="A3939" t="s">
        <v>7229</v>
      </c>
      <c r="B3939" s="336" t="s">
        <v>26</v>
      </c>
      <c r="C3939" s="336" t="s">
        <v>17</v>
      </c>
      <c r="D3939" s="336" t="s">
        <v>20</v>
      </c>
      <c r="E3939" s="337">
        <f>F3939/80</f>
        <v>6.0000000000000006E-4</v>
      </c>
      <c r="F3939" s="337">
        <f>Systems!L203</f>
        <v>4.8000000000000001E-2</v>
      </c>
      <c r="G3939" s="336" t="s">
        <v>23</v>
      </c>
      <c r="H3939" s="336" t="s">
        <v>7204</v>
      </c>
    </row>
    <row r="3940" spans="1:8">
      <c r="A3940" t="s">
        <v>7230</v>
      </c>
      <c r="B3940" s="336" t="s">
        <v>26</v>
      </c>
      <c r="C3940" s="336" t="s">
        <v>17</v>
      </c>
      <c r="D3940" s="336" t="s">
        <v>20</v>
      </c>
      <c r="E3940" s="337">
        <f>F3940/10</f>
        <v>4.8000000000000004E-3</v>
      </c>
      <c r="F3940" s="337">
        <f>Systems!L203</f>
        <v>4.8000000000000001E-2</v>
      </c>
      <c r="G3940" s="336" t="s">
        <v>23</v>
      </c>
      <c r="H3940" s="336" t="s">
        <v>7204</v>
      </c>
    </row>
    <row r="3941" spans="1:8">
      <c r="A3941" t="s">
        <v>7231</v>
      </c>
      <c r="B3941" s="336" t="s">
        <v>26</v>
      </c>
      <c r="C3941" s="336" t="s">
        <v>17</v>
      </c>
      <c r="D3941" s="336" t="s">
        <v>20</v>
      </c>
      <c r="E3941" s="337">
        <f>F3941/80</f>
        <v>6.0000000000000006E-4</v>
      </c>
      <c r="F3941" s="337">
        <f>Systems!L203</f>
        <v>4.8000000000000001E-2</v>
      </c>
      <c r="G3941" s="336" t="s">
        <v>23</v>
      </c>
      <c r="H3941" s="336" t="s">
        <v>7204</v>
      </c>
    </row>
    <row r="3942" spans="1:8">
      <c r="A3942" t="s">
        <v>7232</v>
      </c>
      <c r="B3942" s="336" t="s">
        <v>26</v>
      </c>
      <c r="C3942" s="336" t="s">
        <v>17</v>
      </c>
      <c r="D3942" s="336" t="s">
        <v>20</v>
      </c>
      <c r="E3942" s="337">
        <f>F3942/160</f>
        <v>3.0000000000000003E-4</v>
      </c>
      <c r="F3942" s="337">
        <f>Systems!L203</f>
        <v>4.8000000000000001E-2</v>
      </c>
      <c r="G3942" s="336" t="s">
        <v>23</v>
      </c>
      <c r="H3942" s="336" t="s">
        <v>7204</v>
      </c>
    </row>
    <row r="3943" spans="1:8">
      <c r="A3943" t="s">
        <v>7358</v>
      </c>
      <c r="B3943" s="336" t="s">
        <v>26</v>
      </c>
      <c r="C3943" s="336" t="s">
        <v>17</v>
      </c>
      <c r="D3943" s="336" t="s">
        <v>20</v>
      </c>
      <c r="E3943" s="337">
        <f>F3943/640</f>
        <v>7.5000000000000007E-5</v>
      </c>
      <c r="F3943" s="337">
        <f>Systems!L203</f>
        <v>4.8000000000000001E-2</v>
      </c>
      <c r="G3943" s="336" t="s">
        <v>23</v>
      </c>
      <c r="H3943" s="336" t="s">
        <v>7204</v>
      </c>
    </row>
    <row r="3944" spans="1:8">
      <c r="A3944" t="s">
        <v>7233</v>
      </c>
      <c r="B3944" s="336" t="s">
        <v>26</v>
      </c>
      <c r="C3944" s="336" t="s">
        <v>17</v>
      </c>
      <c r="D3944" s="336" t="s">
        <v>20</v>
      </c>
      <c r="E3944" s="337">
        <f>40*F3944</f>
        <v>1.92</v>
      </c>
      <c r="F3944" s="337">
        <f>Systems!L203</f>
        <v>4.8000000000000001E-2</v>
      </c>
      <c r="G3944" s="336" t="s">
        <v>23</v>
      </c>
      <c r="H3944" s="336" t="s">
        <v>7204</v>
      </c>
    </row>
    <row r="3945" spans="1:8">
      <c r="A3945" t="s">
        <v>7234</v>
      </c>
      <c r="B3945" s="336" t="s">
        <v>26</v>
      </c>
      <c r="C3945" s="336" t="s">
        <v>17</v>
      </c>
      <c r="D3945" s="336" t="s">
        <v>20</v>
      </c>
      <c r="E3945" s="337">
        <f>1000*F3945</f>
        <v>48</v>
      </c>
      <c r="F3945" s="337">
        <f>Systems!L203</f>
        <v>4.8000000000000001E-2</v>
      </c>
      <c r="G3945" s="336" t="s">
        <v>23</v>
      </c>
      <c r="H3945" s="336" t="s">
        <v>7204</v>
      </c>
    </row>
    <row r="3946" spans="1:8">
      <c r="A3946" t="s">
        <v>7235</v>
      </c>
      <c r="B3946" s="336" t="s">
        <v>26</v>
      </c>
      <c r="C3946" s="336" t="s">
        <v>17</v>
      </c>
      <c r="D3946" s="336" t="s">
        <v>20</v>
      </c>
      <c r="E3946" s="337">
        <f>240*F3946</f>
        <v>11.52</v>
      </c>
      <c r="F3946" s="337">
        <f>Systems!L203</f>
        <v>4.8000000000000001E-2</v>
      </c>
      <c r="G3946" s="336" t="s">
        <v>23</v>
      </c>
      <c r="H3946" s="336" t="s">
        <v>7204</v>
      </c>
    </row>
    <row r="3947" spans="1:8">
      <c r="A3947" t="s">
        <v>7236</v>
      </c>
      <c r="B3947" s="336" t="s">
        <v>26</v>
      </c>
      <c r="C3947" s="336" t="s">
        <v>17</v>
      </c>
      <c r="D3947" s="336" t="s">
        <v>20</v>
      </c>
      <c r="E3947" s="337">
        <f>320*F3947</f>
        <v>15.36</v>
      </c>
      <c r="F3947" s="337">
        <f>Systems!L203</f>
        <v>4.8000000000000001E-2</v>
      </c>
      <c r="G3947" s="336" t="s">
        <v>23</v>
      </c>
      <c r="H3947" s="336" t="s">
        <v>7204</v>
      </c>
    </row>
    <row r="3948" spans="1:8">
      <c r="A3948" t="s">
        <v>7237</v>
      </c>
      <c r="B3948" s="336" t="s">
        <v>26</v>
      </c>
      <c r="C3948" s="336" t="s">
        <v>17</v>
      </c>
      <c r="D3948" s="336" t="s">
        <v>20</v>
      </c>
      <c r="E3948" s="337">
        <f>6400*F3948</f>
        <v>307.2</v>
      </c>
      <c r="F3948" s="337">
        <f>Systems!L203</f>
        <v>4.8000000000000001E-2</v>
      </c>
      <c r="G3948" s="336" t="s">
        <v>23</v>
      </c>
      <c r="H3948" s="336" t="s">
        <v>7204</v>
      </c>
    </row>
    <row r="3949" spans="1:8">
      <c r="A3949" s="248"/>
      <c r="B3949" s="248"/>
      <c r="C3949" s="248"/>
      <c r="D3949" s="248"/>
      <c r="E3949" s="250"/>
      <c r="F3949" s="250"/>
      <c r="G3949" s="248"/>
      <c r="H3949" s="248"/>
    </row>
    <row r="3950" spans="1:8">
      <c r="A3950" s="336" t="s">
        <v>7108</v>
      </c>
      <c r="B3950" s="336" t="s">
        <v>26</v>
      </c>
      <c r="C3950" s="1" t="s">
        <v>3033</v>
      </c>
      <c r="D3950" s="1" t="s">
        <v>19</v>
      </c>
      <c r="E3950" s="337">
        <f>F3950</f>
        <v>0.57099200000000006</v>
      </c>
      <c r="F3950" s="337">
        <f>Systems!D194</f>
        <v>0.57099200000000006</v>
      </c>
      <c r="G3950" s="336" t="s">
        <v>14</v>
      </c>
      <c r="H3950" s="336" t="s">
        <v>7106</v>
      </c>
    </row>
    <row r="3951" spans="1:8" ht="16.5">
      <c r="A3951" s="336" t="s">
        <v>7109</v>
      </c>
      <c r="B3951" s="336" t="s">
        <v>26</v>
      </c>
      <c r="C3951" s="1" t="s">
        <v>3034</v>
      </c>
      <c r="D3951" s="1" t="s">
        <v>38</v>
      </c>
      <c r="E3951" s="337">
        <f>F3951</f>
        <v>0.32603186406400009</v>
      </c>
      <c r="F3951" s="337">
        <f>Systems!H194</f>
        <v>0.32603186406400009</v>
      </c>
      <c r="G3951" s="1" t="s">
        <v>39</v>
      </c>
      <c r="H3951" s="336" t="s">
        <v>7106</v>
      </c>
    </row>
    <row r="3952" spans="1:8" ht="16.5">
      <c r="A3952" s="336" t="s">
        <v>7115</v>
      </c>
      <c r="B3952" s="336" t="s">
        <v>26</v>
      </c>
      <c r="C3952" s="1" t="s">
        <v>2936</v>
      </c>
      <c r="D3952" s="1" t="s">
        <v>32</v>
      </c>
      <c r="E3952" s="337">
        <f>F3952</f>
        <v>0.2574214075690584</v>
      </c>
      <c r="F3952" s="337">
        <f>Systems!T194</f>
        <v>0.2574214075690584</v>
      </c>
      <c r="G3952" s="1" t="s">
        <v>33</v>
      </c>
      <c r="H3952" s="336" t="s">
        <v>7106</v>
      </c>
    </row>
    <row r="3953" spans="1:8" ht="16.5">
      <c r="A3953" s="336" t="s">
        <v>7114</v>
      </c>
      <c r="B3953" s="336" t="s">
        <v>26</v>
      </c>
      <c r="C3953" s="1" t="s">
        <v>2935</v>
      </c>
      <c r="D3953" s="1" t="s">
        <v>32</v>
      </c>
      <c r="E3953" s="337">
        <f>F3953</f>
        <v>0.18616158612563155</v>
      </c>
      <c r="F3953" s="337">
        <f>Systems!P194</f>
        <v>0.18616158612563155</v>
      </c>
      <c r="G3953" s="1" t="s">
        <v>33</v>
      </c>
      <c r="H3953" s="336" t="s">
        <v>7106</v>
      </c>
    </row>
    <row r="3954" spans="1:8">
      <c r="A3954" s="336" t="s">
        <v>7110</v>
      </c>
      <c r="B3954" s="336" t="s">
        <v>26</v>
      </c>
      <c r="C3954" s="336" t="s">
        <v>17</v>
      </c>
      <c r="D3954" s="336" t="s">
        <v>20</v>
      </c>
      <c r="E3954" s="337">
        <f>F3954</f>
        <v>0.910405245827</v>
      </c>
      <c r="F3954" s="337">
        <f>Systems!L194</f>
        <v>0.910405245827</v>
      </c>
      <c r="G3954" s="336" t="s">
        <v>23</v>
      </c>
      <c r="H3954" s="336" t="s">
        <v>7106</v>
      </c>
    </row>
    <row r="3955" spans="1:8">
      <c r="A3955" s="336" t="s">
        <v>7111</v>
      </c>
      <c r="B3955" s="336" t="s">
        <v>26</v>
      </c>
      <c r="C3955" s="336" t="s">
        <v>17</v>
      </c>
      <c r="D3955" s="336" t="s">
        <v>20</v>
      </c>
      <c r="E3955" s="337">
        <f>F3955</f>
        <v>15.52465245562</v>
      </c>
      <c r="F3955" s="337">
        <f>Systems!L195</f>
        <v>15.52465245562</v>
      </c>
      <c r="G3955" s="336" t="s">
        <v>23</v>
      </c>
      <c r="H3955" s="336" t="s">
        <v>7106</v>
      </c>
    </row>
    <row r="3956" spans="1:8">
      <c r="A3956" s="336" t="s">
        <v>7112</v>
      </c>
      <c r="B3956" s="336" t="s">
        <v>26</v>
      </c>
      <c r="C3956" s="336" t="s">
        <v>17</v>
      </c>
      <c r="D3956" s="336" t="s">
        <v>20</v>
      </c>
      <c r="E3956" s="337">
        <f>F3956</f>
        <v>16.003736716814004</v>
      </c>
      <c r="F3956" s="337">
        <f>Systems!L196</f>
        <v>16.003736716814004</v>
      </c>
      <c r="G3956" s="336" t="s">
        <v>23</v>
      </c>
      <c r="H3956" s="336" t="s">
        <v>7106</v>
      </c>
    </row>
    <row r="3957" spans="1:8">
      <c r="A3957" s="248"/>
      <c r="B3957" s="248"/>
      <c r="C3957" s="248"/>
      <c r="D3957" s="248"/>
      <c r="E3957" s="250"/>
      <c r="F3957" s="250"/>
      <c r="G3957" s="248"/>
      <c r="H3957" s="248"/>
    </row>
    <row r="3958" spans="1:8">
      <c r="A3958" t="s">
        <v>7282</v>
      </c>
      <c r="B3958" s="336" t="s">
        <v>26</v>
      </c>
      <c r="C3958" s="1" t="s">
        <v>3033</v>
      </c>
      <c r="D3958" s="1" t="s">
        <v>19</v>
      </c>
      <c r="E3958" s="337">
        <f>F3958/84</f>
        <v>2.5399999999999999E-2</v>
      </c>
      <c r="F3958" s="337">
        <f>Systems!D207</f>
        <v>2.1335999999999999</v>
      </c>
      <c r="G3958" s="336" t="s">
        <v>14</v>
      </c>
      <c r="H3958" s="336" t="s">
        <v>7277</v>
      </c>
    </row>
    <row r="3959" spans="1:8">
      <c r="A3959" t="s">
        <v>7283</v>
      </c>
      <c r="B3959" s="336" t="s">
        <v>26</v>
      </c>
      <c r="C3959" s="1" t="s">
        <v>3033</v>
      </c>
      <c r="D3959" s="1" t="s">
        <v>19</v>
      </c>
      <c r="E3959" s="337">
        <f>1.75*F3959/84</f>
        <v>4.4450000000000003E-2</v>
      </c>
      <c r="F3959" s="337">
        <f>Systems!D207</f>
        <v>2.1335999999999999</v>
      </c>
      <c r="G3959" s="336" t="s">
        <v>14</v>
      </c>
      <c r="H3959" s="336" t="s">
        <v>7277</v>
      </c>
    </row>
    <row r="3960" spans="1:8">
      <c r="A3960" t="s">
        <v>1641</v>
      </c>
      <c r="B3960" s="336" t="s">
        <v>26</v>
      </c>
      <c r="C3960" s="1" t="s">
        <v>3033</v>
      </c>
      <c r="D3960" s="1" t="s">
        <v>19</v>
      </c>
      <c r="E3960" s="337">
        <f>F3960/7</f>
        <v>0.30480000000000002</v>
      </c>
      <c r="F3960" s="337">
        <f>Systems!D207</f>
        <v>2.1335999999999999</v>
      </c>
      <c r="G3960" s="336" t="s">
        <v>14</v>
      </c>
      <c r="H3960" s="336" t="s">
        <v>7277</v>
      </c>
    </row>
    <row r="3961" spans="1:8">
      <c r="A3961" t="s">
        <v>7284</v>
      </c>
      <c r="B3961" s="336" t="s">
        <v>26</v>
      </c>
      <c r="C3961" s="1" t="s">
        <v>3033</v>
      </c>
      <c r="D3961" s="1" t="s">
        <v>19</v>
      </c>
      <c r="E3961" s="337">
        <f>F3961/12</f>
        <v>0.17779999999999999</v>
      </c>
      <c r="F3961" s="337">
        <f>Systems!D207</f>
        <v>2.1335999999999999</v>
      </c>
      <c r="G3961" s="336" t="s">
        <v>14</v>
      </c>
      <c r="H3961" s="336" t="s">
        <v>7277</v>
      </c>
    </row>
    <row r="3962" spans="1:8">
      <c r="A3962" t="s">
        <v>7285</v>
      </c>
      <c r="B3962" s="336" t="s">
        <v>26</v>
      </c>
      <c r="C3962" s="1" t="s">
        <v>3033</v>
      </c>
      <c r="D3962" s="1" t="s">
        <v>19</v>
      </c>
      <c r="E3962" s="337">
        <f>F3962/12</f>
        <v>0.17779999999999999</v>
      </c>
      <c r="F3962" s="337">
        <f>Systems!D207</f>
        <v>2.1335999999999999</v>
      </c>
      <c r="G3962" s="336" t="s">
        <v>14</v>
      </c>
      <c r="H3962" s="336" t="s">
        <v>7277</v>
      </c>
    </row>
    <row r="3963" spans="1:8">
      <c r="A3963" t="s">
        <v>1232</v>
      </c>
      <c r="B3963" s="336" t="s">
        <v>26</v>
      </c>
      <c r="C3963" s="1" t="s">
        <v>3033</v>
      </c>
      <c r="D3963" s="1" t="s">
        <v>19</v>
      </c>
      <c r="E3963" s="337">
        <f>F3963/3</f>
        <v>0.71119999999999994</v>
      </c>
      <c r="F3963" s="337">
        <f>Systems!D207</f>
        <v>2.1335999999999999</v>
      </c>
      <c r="G3963" s="336" t="s">
        <v>14</v>
      </c>
      <c r="H3963" s="336" t="s">
        <v>7277</v>
      </c>
    </row>
    <row r="3964" spans="1:8">
      <c r="A3964" s="391" t="s">
        <v>7279</v>
      </c>
      <c r="B3964" s="336" t="s">
        <v>26</v>
      </c>
      <c r="C3964" s="1" t="s">
        <v>3033</v>
      </c>
      <c r="D3964" s="1" t="s">
        <v>19</v>
      </c>
      <c r="E3964" s="337">
        <f>F3964</f>
        <v>2.1335999999999999</v>
      </c>
      <c r="F3964" s="337">
        <f>Systems!D207</f>
        <v>2.1335999999999999</v>
      </c>
      <c r="G3964" s="336" t="s">
        <v>14</v>
      </c>
      <c r="H3964" s="336" t="s">
        <v>7277</v>
      </c>
    </row>
    <row r="3965" spans="1:8">
      <c r="A3965" t="s">
        <v>7278</v>
      </c>
      <c r="B3965" s="336" t="s">
        <v>26</v>
      </c>
      <c r="C3965" s="1" t="s">
        <v>3033</v>
      </c>
      <c r="D3965" s="1" t="s">
        <v>19</v>
      </c>
      <c r="E3965" s="337">
        <f>500*F3965</f>
        <v>1066.8</v>
      </c>
      <c r="F3965" s="337">
        <f>Systems!D207</f>
        <v>2.1335999999999999</v>
      </c>
      <c r="G3965" s="336" t="s">
        <v>14</v>
      </c>
      <c r="H3965" s="336" t="s">
        <v>7277</v>
      </c>
    </row>
    <row r="3966" spans="1:8">
      <c r="A3966" t="s">
        <v>7286</v>
      </c>
      <c r="B3966" s="336" t="s">
        <v>26</v>
      </c>
      <c r="C3966" s="1" t="s">
        <v>3033</v>
      </c>
      <c r="D3966" s="1" t="s">
        <v>19</v>
      </c>
      <c r="E3966" s="337">
        <f>3250*F3966</f>
        <v>6934.2</v>
      </c>
      <c r="F3966" s="337">
        <f>Systems!D207</f>
        <v>2.1335999999999999</v>
      </c>
      <c r="G3966" s="336" t="s">
        <v>14</v>
      </c>
      <c r="H3966" s="336" t="s">
        <v>7277</v>
      </c>
    </row>
    <row r="3967" spans="1:8">
      <c r="A3967" t="s">
        <v>2227</v>
      </c>
      <c r="B3967" s="336" t="s">
        <v>26</v>
      </c>
      <c r="C3967" s="1" t="s">
        <v>3033</v>
      </c>
      <c r="D3967" s="1" t="s">
        <v>19</v>
      </c>
      <c r="E3967" s="337">
        <f>3250*F3967</f>
        <v>6934.2</v>
      </c>
      <c r="F3967" s="337">
        <f>Systems!D207</f>
        <v>2.1335999999999999</v>
      </c>
      <c r="G3967" s="336" t="s">
        <v>14</v>
      </c>
      <c r="H3967" s="336" t="s">
        <v>7277</v>
      </c>
    </row>
    <row r="3968" spans="1:8">
      <c r="A3968" t="s">
        <v>293</v>
      </c>
      <c r="B3968" s="336" t="s">
        <v>26</v>
      </c>
      <c r="C3968" s="1" t="s">
        <v>3033</v>
      </c>
      <c r="D3968" s="1" t="s">
        <v>19</v>
      </c>
      <c r="E3968" s="337">
        <f>3500*F3968</f>
        <v>7467.5999999999995</v>
      </c>
      <c r="F3968" s="337">
        <f>Systems!D207</f>
        <v>2.1335999999999999</v>
      </c>
      <c r="G3968" s="336" t="s">
        <v>14</v>
      </c>
      <c r="H3968" s="336" t="s">
        <v>7277</v>
      </c>
    </row>
    <row r="3969" spans="1:8">
      <c r="A3969" t="s">
        <v>7287</v>
      </c>
      <c r="B3969" s="336" t="s">
        <v>26</v>
      </c>
      <c r="C3969" s="1" t="s">
        <v>3033</v>
      </c>
      <c r="D3969" s="1" t="s">
        <v>19</v>
      </c>
      <c r="E3969" s="337">
        <f>9000*F3969</f>
        <v>19202.399999999998</v>
      </c>
      <c r="F3969" s="337">
        <f>Systems!D207</f>
        <v>2.1335999999999999</v>
      </c>
      <c r="G3969" s="336" t="s">
        <v>14</v>
      </c>
      <c r="H3969" s="336" t="s">
        <v>7277</v>
      </c>
    </row>
    <row r="3970" spans="1:8">
      <c r="A3970" t="s">
        <v>7288</v>
      </c>
      <c r="B3970" s="336" t="s">
        <v>26</v>
      </c>
      <c r="C3970" s="1" t="s">
        <v>3033</v>
      </c>
      <c r="D3970" s="1" t="s">
        <v>19</v>
      </c>
      <c r="E3970" s="337">
        <f>17000*F3970</f>
        <v>36271.199999999997</v>
      </c>
      <c r="F3970" s="337">
        <f>Systems!D207</f>
        <v>2.1335999999999999</v>
      </c>
      <c r="G3970" s="336" t="s">
        <v>14</v>
      </c>
      <c r="H3970" s="336" t="s">
        <v>7277</v>
      </c>
    </row>
    <row r="3971" spans="1:8">
      <c r="A3971" t="s">
        <v>7289</v>
      </c>
      <c r="B3971" s="336" t="s">
        <v>26</v>
      </c>
      <c r="C3971" s="1" t="s">
        <v>3033</v>
      </c>
      <c r="D3971" s="1" t="s">
        <v>19</v>
      </c>
      <c r="E3971" s="337">
        <f>21000*F3971</f>
        <v>44805.599999999999</v>
      </c>
      <c r="F3971" s="337">
        <f>Systems!D207</f>
        <v>2.1335999999999999</v>
      </c>
      <c r="G3971" s="336" t="s">
        <v>14</v>
      </c>
      <c r="H3971" s="336" t="s">
        <v>7277</v>
      </c>
    </row>
    <row r="3972" spans="1:8">
      <c r="A3972" t="s">
        <v>7290</v>
      </c>
      <c r="B3972" s="336" t="s">
        <v>26</v>
      </c>
      <c r="C3972" s="1" t="s">
        <v>3033</v>
      </c>
      <c r="D3972" s="1" t="s">
        <v>19</v>
      </c>
      <c r="E3972" s="337">
        <f>525000*F3972</f>
        <v>1120140</v>
      </c>
      <c r="F3972" s="337">
        <f>Systems!D207</f>
        <v>2.1335999999999999</v>
      </c>
      <c r="G3972" s="336" t="s">
        <v>14</v>
      </c>
      <c r="H3972" s="336" t="s">
        <v>7277</v>
      </c>
    </row>
    <row r="3973" spans="1:8" ht="16.5">
      <c r="A3973" s="336" t="s">
        <v>7280</v>
      </c>
      <c r="B3973" s="336" t="s">
        <v>26</v>
      </c>
      <c r="C3973" s="1" t="s">
        <v>3034</v>
      </c>
      <c r="D3973" s="1" t="s">
        <v>38</v>
      </c>
      <c r="E3973" s="337">
        <f>F3973</f>
        <v>4.55224896</v>
      </c>
      <c r="F3973" s="337">
        <f>Systems!H207</f>
        <v>4.55224896</v>
      </c>
      <c r="G3973" s="1" t="s">
        <v>39</v>
      </c>
      <c r="H3973" s="336" t="s">
        <v>7277</v>
      </c>
    </row>
    <row r="3974" spans="1:8" ht="16.5">
      <c r="A3974" t="s">
        <v>7291</v>
      </c>
      <c r="B3974" s="336" t="s">
        <v>26</v>
      </c>
      <c r="C3974" s="1" t="s">
        <v>3034</v>
      </c>
      <c r="D3974" s="1" t="s">
        <v>38</v>
      </c>
      <c r="E3974" s="337">
        <f>400*F3974</f>
        <v>1820.899584</v>
      </c>
      <c r="F3974" s="337">
        <f>Systems!H207</f>
        <v>4.55224896</v>
      </c>
      <c r="G3974" s="1" t="s">
        <v>39</v>
      </c>
      <c r="H3974" s="336" t="s">
        <v>7277</v>
      </c>
    </row>
    <row r="3975" spans="1:8" ht="16.5">
      <c r="A3975" t="s">
        <v>7292</v>
      </c>
      <c r="B3975" s="336" t="s">
        <v>26</v>
      </c>
      <c r="C3975" s="1" t="s">
        <v>3034</v>
      </c>
      <c r="D3975" s="1" t="s">
        <v>38</v>
      </c>
      <c r="E3975" s="337">
        <f>2400*F3975</f>
        <v>10925.397504</v>
      </c>
      <c r="F3975" s="337">
        <f>Systems!H207</f>
        <v>4.55224896</v>
      </c>
      <c r="G3975" s="1" t="s">
        <v>39</v>
      </c>
      <c r="H3975" s="336" t="s">
        <v>7277</v>
      </c>
    </row>
    <row r="3976" spans="1:8" ht="16.5">
      <c r="A3976" t="s">
        <v>7284</v>
      </c>
      <c r="B3976" s="336" t="s">
        <v>26</v>
      </c>
      <c r="C3976" s="1" t="s">
        <v>3034</v>
      </c>
      <c r="D3976" s="1" t="s">
        <v>38</v>
      </c>
      <c r="E3976" s="337">
        <f>1200*F3976</f>
        <v>5462.6987520000002</v>
      </c>
      <c r="F3976" s="337">
        <f>Systems!H207</f>
        <v>4.55224896</v>
      </c>
      <c r="G3976" s="1" t="s">
        <v>39</v>
      </c>
      <c r="H3976" s="336" t="s">
        <v>7277</v>
      </c>
    </row>
    <row r="3977" spans="1:8" ht="16.5">
      <c r="A3977" t="s">
        <v>7293</v>
      </c>
      <c r="B3977" s="336" t="s">
        <v>26</v>
      </c>
      <c r="C3977" s="1" t="s">
        <v>3034</v>
      </c>
      <c r="D3977" s="1" t="s">
        <v>38</v>
      </c>
      <c r="E3977" s="337">
        <f>250000*F3977</f>
        <v>1138062.24</v>
      </c>
      <c r="F3977" s="337">
        <f>Systems!H207</f>
        <v>4.55224896</v>
      </c>
      <c r="G3977" s="1" t="s">
        <v>39</v>
      </c>
      <c r="H3977" s="336" t="s">
        <v>7277</v>
      </c>
    </row>
    <row r="3978" spans="1:8" ht="16.5">
      <c r="A3978" s="336" t="s">
        <v>7294</v>
      </c>
      <c r="B3978" s="336" t="s">
        <v>26</v>
      </c>
      <c r="C3978" s="1" t="s">
        <v>2936</v>
      </c>
      <c r="D3978" s="1" t="s">
        <v>32</v>
      </c>
      <c r="E3978" s="337">
        <f>F3978</f>
        <v>6.8669157374999984E-2</v>
      </c>
      <c r="F3978" s="337">
        <f>Systems!T207</f>
        <v>6.8669157374999984E-2</v>
      </c>
      <c r="G3978" s="1" t="s">
        <v>33</v>
      </c>
      <c r="H3978" s="336" t="s">
        <v>7277</v>
      </c>
    </row>
    <row r="3979" spans="1:8" ht="16.5">
      <c r="A3979" s="336" t="s">
        <v>1655</v>
      </c>
      <c r="B3979" s="336" t="s">
        <v>26</v>
      </c>
      <c r="C3979" s="1" t="s">
        <v>2935</v>
      </c>
      <c r="D3979" s="1" t="s">
        <v>32</v>
      </c>
      <c r="E3979" s="337">
        <f>F3979</f>
        <v>3.2797333333333331E-3</v>
      </c>
      <c r="F3979" s="337">
        <f>Systems!P207</f>
        <v>3.2797333333333331E-3</v>
      </c>
      <c r="G3979" s="1" t="s">
        <v>33</v>
      </c>
      <c r="H3979" s="336" t="s">
        <v>7277</v>
      </c>
    </row>
    <row r="3980" spans="1:8" ht="16.5">
      <c r="A3980" t="s">
        <v>7295</v>
      </c>
      <c r="B3980" s="336" t="s">
        <v>26</v>
      </c>
      <c r="C3980" s="1" t="s">
        <v>2935</v>
      </c>
      <c r="D3980" s="1" t="s">
        <v>32</v>
      </c>
      <c r="E3980" s="337">
        <f>8*F3980</f>
        <v>2.6237866666666665E-2</v>
      </c>
      <c r="F3980" s="337">
        <f>Systems!P207</f>
        <v>3.2797333333333331E-3</v>
      </c>
      <c r="G3980" s="1" t="s">
        <v>33</v>
      </c>
      <c r="H3980" s="336" t="s">
        <v>7277</v>
      </c>
    </row>
    <row r="3981" spans="1:8" ht="16.5">
      <c r="A3981" t="s">
        <v>7284</v>
      </c>
      <c r="B3981" s="336" t="s">
        <v>26</v>
      </c>
      <c r="C3981" s="1" t="s">
        <v>2935</v>
      </c>
      <c r="D3981" s="1" t="s">
        <v>32</v>
      </c>
      <c r="E3981" s="337">
        <f>64*F3981</f>
        <v>0.20990293333333332</v>
      </c>
      <c r="F3981" s="337">
        <f>Systems!P207</f>
        <v>3.2797333333333331E-3</v>
      </c>
      <c r="G3981" s="1" t="s">
        <v>33</v>
      </c>
      <c r="H3981" s="336" t="s">
        <v>7277</v>
      </c>
    </row>
    <row r="3982" spans="1:8" ht="16.5">
      <c r="A3982" t="s">
        <v>7296</v>
      </c>
      <c r="B3982" s="336" t="s">
        <v>26</v>
      </c>
      <c r="C3982" s="1" t="s">
        <v>2935</v>
      </c>
      <c r="D3982" s="1" t="s">
        <v>32</v>
      </c>
      <c r="E3982" s="337">
        <f>3750*F3982</f>
        <v>12.298999999999999</v>
      </c>
      <c r="F3982" s="337">
        <f>Systems!P207</f>
        <v>3.2797333333333331E-3</v>
      </c>
      <c r="G3982" s="1" t="s">
        <v>33</v>
      </c>
      <c r="H3982" s="336" t="s">
        <v>7277</v>
      </c>
    </row>
    <row r="3983" spans="1:8" ht="16.5">
      <c r="A3983" t="s">
        <v>7297</v>
      </c>
      <c r="B3983" s="336" t="s">
        <v>26</v>
      </c>
      <c r="C3983" s="1" t="s">
        <v>2935</v>
      </c>
      <c r="D3983" s="1" t="s">
        <v>32</v>
      </c>
      <c r="E3983" s="337">
        <f>0.016*F3983</f>
        <v>1.6E-2</v>
      </c>
      <c r="F3983" s="337">
        <f>POWER(SI!E3,3)</f>
        <v>1</v>
      </c>
      <c r="G3983" s="1" t="s">
        <v>33</v>
      </c>
      <c r="H3983" s="336" t="s">
        <v>7277</v>
      </c>
    </row>
    <row r="3984" spans="1:8" ht="16.5">
      <c r="A3984" t="s">
        <v>7298</v>
      </c>
      <c r="B3984" s="336" t="s">
        <v>26</v>
      </c>
      <c r="C3984" s="1" t="s">
        <v>2935</v>
      </c>
      <c r="D3984" s="1" t="s">
        <v>32</v>
      </c>
      <c r="E3984" s="337">
        <f>32*F3984</f>
        <v>32</v>
      </c>
      <c r="F3984" s="337">
        <f>POWER(SI!E3,3)</f>
        <v>1</v>
      </c>
      <c r="G3984" s="1" t="s">
        <v>33</v>
      </c>
      <c r="H3984" s="336" t="s">
        <v>7277</v>
      </c>
    </row>
    <row r="3985" spans="1:8" ht="16.5">
      <c r="A3985" t="s">
        <v>1274</v>
      </c>
      <c r="B3985" s="336" t="s">
        <v>26</v>
      </c>
      <c r="C3985" s="1" t="s">
        <v>2935</v>
      </c>
      <c r="D3985" s="1" t="s">
        <v>32</v>
      </c>
      <c r="E3985" s="337">
        <f>0.064*F3985</f>
        <v>6.4000000000000001E-2</v>
      </c>
      <c r="F3985" s="337">
        <f>POWER(SI!E3,3)</f>
        <v>1</v>
      </c>
      <c r="G3985" s="1" t="s">
        <v>33</v>
      </c>
      <c r="H3985" s="336" t="s">
        <v>7277</v>
      </c>
    </row>
    <row r="3986" spans="1:8">
      <c r="A3986" t="s">
        <v>7299</v>
      </c>
      <c r="B3986" s="336" t="s">
        <v>26</v>
      </c>
      <c r="C3986" s="336" t="s">
        <v>17</v>
      </c>
      <c r="D3986" s="336" t="s">
        <v>20</v>
      </c>
      <c r="E3986" s="337">
        <f>F3986/9216</f>
        <v>4.4433593749999999E-5</v>
      </c>
      <c r="F3986" s="337">
        <f>Systems!L207</f>
        <v>0.40949999999999998</v>
      </c>
      <c r="G3986" s="336" t="s">
        <v>23</v>
      </c>
      <c r="H3986" s="336" t="s">
        <v>7277</v>
      </c>
    </row>
    <row r="3987" spans="1:8">
      <c r="A3987" t="s">
        <v>7127</v>
      </c>
      <c r="B3987" s="336" t="s">
        <v>26</v>
      </c>
      <c r="C3987" s="336" t="s">
        <v>17</v>
      </c>
      <c r="D3987" s="336" t="s">
        <v>20</v>
      </c>
      <c r="E3987" s="337">
        <f>F3987/96</f>
        <v>4.2656249999999995E-3</v>
      </c>
      <c r="F3987" s="337">
        <f>Systems!L207</f>
        <v>0.40949999999999998</v>
      </c>
      <c r="G3987" s="336" t="s">
        <v>23</v>
      </c>
      <c r="H3987" s="336" t="s">
        <v>7277</v>
      </c>
    </row>
    <row r="3988" spans="1:8">
      <c r="A3988" t="s">
        <v>1987</v>
      </c>
      <c r="B3988" s="336" t="s">
        <v>26</v>
      </c>
      <c r="C3988" s="336" t="s">
        <v>17</v>
      </c>
      <c r="D3988" s="336" t="s">
        <v>20</v>
      </c>
      <c r="E3988" s="337">
        <f>F3988/32</f>
        <v>1.2796874999999999E-2</v>
      </c>
      <c r="F3988" s="337">
        <f>Systems!L207</f>
        <v>0.40949999999999998</v>
      </c>
      <c r="G3988" s="336" t="s">
        <v>23</v>
      </c>
      <c r="H3988" s="336" t="s">
        <v>7277</v>
      </c>
    </row>
    <row r="3989" spans="1:8">
      <c r="A3989" s="336" t="s">
        <v>7281</v>
      </c>
      <c r="B3989" s="336" t="s">
        <v>26</v>
      </c>
      <c r="C3989" s="336" t="s">
        <v>17</v>
      </c>
      <c r="D3989" s="336" t="s">
        <v>20</v>
      </c>
      <c r="E3989" s="337">
        <f>F3989</f>
        <v>0.40949999999999998</v>
      </c>
      <c r="F3989" s="337">
        <f>Systems!L207</f>
        <v>0.40949999999999998</v>
      </c>
      <c r="G3989" s="336" t="s">
        <v>23</v>
      </c>
      <c r="H3989" s="336" t="s">
        <v>7277</v>
      </c>
    </row>
    <row r="3990" spans="1:8">
      <c r="A3990" t="s">
        <v>579</v>
      </c>
      <c r="B3990" s="336" t="s">
        <v>26</v>
      </c>
      <c r="C3990" s="336" t="s">
        <v>17</v>
      </c>
      <c r="D3990" s="336" t="s">
        <v>20</v>
      </c>
      <c r="E3990" s="337">
        <f>40*F3990</f>
        <v>16.38</v>
      </c>
      <c r="F3990" s="337">
        <f>Systems!L207</f>
        <v>0.40949999999999998</v>
      </c>
      <c r="G3990" s="336" t="s">
        <v>23</v>
      </c>
      <c r="H3990" s="336" t="s">
        <v>7277</v>
      </c>
    </row>
    <row r="3991" spans="1:8">
      <c r="A3991" t="s">
        <v>2322</v>
      </c>
      <c r="B3991" s="336" t="s">
        <v>26</v>
      </c>
      <c r="C3991" s="336" t="s">
        <v>17</v>
      </c>
      <c r="D3991" s="336" t="s">
        <v>20</v>
      </c>
      <c r="E3991" s="337">
        <f>100*F3991</f>
        <v>40.949999999999996</v>
      </c>
      <c r="F3991" s="337">
        <f>Systems!L207</f>
        <v>0.40949999999999998</v>
      </c>
      <c r="G3991" s="336" t="s">
        <v>23</v>
      </c>
      <c r="H3991" s="336" t="s">
        <v>7277</v>
      </c>
    </row>
    <row r="3992" spans="1:8">
      <c r="A3992" t="s">
        <v>7300</v>
      </c>
      <c r="B3992" s="336" t="s">
        <v>26</v>
      </c>
      <c r="C3992" s="336" t="s">
        <v>17</v>
      </c>
      <c r="D3992" s="336" t="s">
        <v>20</v>
      </c>
      <c r="E3992" s="337">
        <f>400*F3992</f>
        <v>163.79999999999998</v>
      </c>
      <c r="F3992" s="337">
        <f>Systems!L207</f>
        <v>0.40949999999999998</v>
      </c>
      <c r="G3992" s="336" t="s">
        <v>23</v>
      </c>
      <c r="H3992" s="336" t="s">
        <v>7277</v>
      </c>
    </row>
    <row r="3993" spans="1:8">
      <c r="A3993" s="248"/>
      <c r="B3993" s="248"/>
      <c r="C3993" s="248"/>
      <c r="D3993" s="248"/>
      <c r="E3993" s="250"/>
      <c r="F3993" s="250"/>
      <c r="G3993" s="248"/>
      <c r="H3993" s="248"/>
    </row>
    <row r="3994" spans="1:8">
      <c r="A3994" s="1" t="s">
        <v>1217</v>
      </c>
      <c r="B3994" s="1" t="s">
        <v>26</v>
      </c>
      <c r="C3994" s="1" t="s">
        <v>3033</v>
      </c>
      <c r="D3994" s="1" t="s">
        <v>19</v>
      </c>
      <c r="E3994" s="12">
        <f>F3994/768</f>
        <v>2.6041666666666665E-3</v>
      </c>
      <c r="F3994" s="12">
        <f>Systems!D171</f>
        <v>2</v>
      </c>
      <c r="G3994" s="1" t="s">
        <v>14</v>
      </c>
      <c r="H3994" s="1" t="s">
        <v>449</v>
      </c>
    </row>
    <row r="3995" spans="1:8">
      <c r="A3995" s="1" t="s">
        <v>1789</v>
      </c>
      <c r="B3995" s="1" t="s">
        <v>26</v>
      </c>
      <c r="C3995" s="1" t="s">
        <v>3033</v>
      </c>
      <c r="D3995" s="1" t="s">
        <v>19</v>
      </c>
      <c r="E3995" s="12">
        <f>F3995/384</f>
        <v>5.208333333333333E-3</v>
      </c>
      <c r="F3995" s="12">
        <f>Systems!D171</f>
        <v>2</v>
      </c>
      <c r="G3995" s="1" t="s">
        <v>14</v>
      </c>
      <c r="H3995" s="1" t="s">
        <v>449</v>
      </c>
    </row>
    <row r="3996" spans="1:8">
      <c r="A3996" s="1" t="s">
        <v>1825</v>
      </c>
      <c r="B3996" s="1" t="s">
        <v>26</v>
      </c>
      <c r="C3996" s="1" t="s">
        <v>3033</v>
      </c>
      <c r="D3996" s="1" t="s">
        <v>19</v>
      </c>
      <c r="E3996" s="12">
        <f>F3996/2</f>
        <v>1</v>
      </c>
      <c r="F3996" s="12">
        <f>Systems!D171</f>
        <v>2</v>
      </c>
      <c r="G3996" s="1" t="s">
        <v>14</v>
      </c>
      <c r="H3996" s="1" t="s">
        <v>449</v>
      </c>
    </row>
    <row r="3997" spans="1:8">
      <c r="A3997" s="1" t="s">
        <v>1829</v>
      </c>
      <c r="B3997" s="1" t="s">
        <v>26</v>
      </c>
      <c r="C3997" s="1" t="s">
        <v>3033</v>
      </c>
      <c r="D3997" s="1" t="s">
        <v>19</v>
      </c>
      <c r="E3997" s="12">
        <f>F3997/8</f>
        <v>0.25</v>
      </c>
      <c r="F3997" s="12">
        <f>Systems!D171</f>
        <v>2</v>
      </c>
      <c r="G3997" s="1" t="s">
        <v>14</v>
      </c>
      <c r="H3997" s="1" t="s">
        <v>449</v>
      </c>
    </row>
    <row r="3998" spans="1:8">
      <c r="A3998" s="1" t="s">
        <v>1838</v>
      </c>
      <c r="B3998" s="1" t="s">
        <v>26</v>
      </c>
      <c r="C3998" s="1" t="s">
        <v>3033</v>
      </c>
      <c r="D3998" s="1" t="s">
        <v>19</v>
      </c>
      <c r="E3998" s="12">
        <f>F3998/8</f>
        <v>0.25</v>
      </c>
      <c r="F3998" s="12">
        <f>Systems!D171</f>
        <v>2</v>
      </c>
      <c r="G3998" s="1" t="s">
        <v>14</v>
      </c>
      <c r="H3998" s="1" t="s">
        <v>449</v>
      </c>
    </row>
    <row r="3999" spans="1:8">
      <c r="A3999" s="1" t="s">
        <v>1884</v>
      </c>
      <c r="B3999" s="1" t="s">
        <v>26</v>
      </c>
      <c r="C3999" s="1" t="s">
        <v>3033</v>
      </c>
      <c r="D3999" s="1" t="s">
        <v>19</v>
      </c>
      <c r="E3999" s="12">
        <f>F3999/384</f>
        <v>5.208333333333333E-3</v>
      </c>
      <c r="F3999" s="12">
        <f>Systems!D171</f>
        <v>2</v>
      </c>
      <c r="G3999" s="1" t="s">
        <v>14</v>
      </c>
      <c r="H3999" s="1" t="s">
        <v>449</v>
      </c>
    </row>
    <row r="4000" spans="1:8">
      <c r="A4000" s="1" t="s">
        <v>2134</v>
      </c>
      <c r="B4000" s="1" t="s">
        <v>26</v>
      </c>
      <c r="C4000" s="1" t="s">
        <v>3033</v>
      </c>
      <c r="D4000" s="1" t="s">
        <v>19</v>
      </c>
      <c r="E4000" s="12">
        <f>F4000/96</f>
        <v>2.0833333333333332E-2</v>
      </c>
      <c r="F4000" s="12">
        <f>Systems!D171</f>
        <v>2</v>
      </c>
      <c r="G4000" s="1" t="s">
        <v>14</v>
      </c>
      <c r="H4000" s="1" t="s">
        <v>449</v>
      </c>
    </row>
    <row r="4001" spans="1:8">
      <c r="A4001" s="1" t="s">
        <v>2135</v>
      </c>
      <c r="B4001" s="1" t="s">
        <v>26</v>
      </c>
      <c r="C4001" s="1" t="s">
        <v>3033</v>
      </c>
      <c r="D4001" s="1" t="s">
        <v>19</v>
      </c>
      <c r="E4001" s="12">
        <f>F4001/96</f>
        <v>2.0833333333333332E-2</v>
      </c>
      <c r="F4001" s="12">
        <f>Systems!D171</f>
        <v>2</v>
      </c>
      <c r="G4001" s="1" t="s">
        <v>14</v>
      </c>
      <c r="H4001" s="1" t="s">
        <v>449</v>
      </c>
    </row>
    <row r="4002" spans="1:8">
      <c r="A4002" s="1" t="s">
        <v>2390</v>
      </c>
      <c r="B4002" s="1" t="s">
        <v>26</v>
      </c>
      <c r="C4002" s="1" t="s">
        <v>3033</v>
      </c>
      <c r="D4002" s="1" t="s">
        <v>19</v>
      </c>
      <c r="E4002" s="12">
        <f>2000*F4002</f>
        <v>4000</v>
      </c>
      <c r="F4002" s="12">
        <f>Systems!D171</f>
        <v>2</v>
      </c>
      <c r="G4002" s="1" t="s">
        <v>14</v>
      </c>
      <c r="H4002" s="1" t="s">
        <v>449</v>
      </c>
    </row>
    <row r="4003" spans="1:8">
      <c r="A4003" s="1" t="s">
        <v>2441</v>
      </c>
      <c r="B4003" s="1" t="s">
        <v>26</v>
      </c>
      <c r="C4003" s="1" t="s">
        <v>3033</v>
      </c>
      <c r="D4003" s="1" t="s">
        <v>19</v>
      </c>
      <c r="E4003" s="12">
        <f>F4003/4</f>
        <v>0.5</v>
      </c>
      <c r="F4003" s="12">
        <f>Systems!D171</f>
        <v>2</v>
      </c>
      <c r="G4003" s="1" t="s">
        <v>14</v>
      </c>
      <c r="H4003" s="1" t="s">
        <v>449</v>
      </c>
    </row>
    <row r="4004" spans="1:8">
      <c r="A4004" s="1" t="s">
        <v>2476</v>
      </c>
      <c r="B4004" s="1" t="s">
        <v>26</v>
      </c>
      <c r="C4004" s="1" t="s">
        <v>3033</v>
      </c>
      <c r="D4004" s="1" t="s">
        <v>19</v>
      </c>
      <c r="E4004" s="12">
        <f>20*F4004</f>
        <v>40</v>
      </c>
      <c r="F4004" s="12">
        <f>Systems!D171</f>
        <v>2</v>
      </c>
      <c r="G4004" s="1" t="s">
        <v>14</v>
      </c>
      <c r="H4004" s="1" t="s">
        <v>449</v>
      </c>
    </row>
    <row r="4005" spans="1:8">
      <c r="A4005" s="1" t="s">
        <v>2538</v>
      </c>
      <c r="B4005" s="1" t="s">
        <v>26</v>
      </c>
      <c r="C4005" s="1" t="s">
        <v>3033</v>
      </c>
      <c r="D4005" s="1" t="s">
        <v>19</v>
      </c>
      <c r="E4005" s="12">
        <f>F4005/4</f>
        <v>0.5</v>
      </c>
      <c r="F4005" s="12">
        <f>Systems!D171</f>
        <v>2</v>
      </c>
      <c r="G4005" s="1" t="s">
        <v>14</v>
      </c>
      <c r="H4005" s="1" t="s">
        <v>449</v>
      </c>
    </row>
    <row r="4006" spans="1:8">
      <c r="A4006" s="1" t="s">
        <v>2784</v>
      </c>
      <c r="B4006" s="1" t="s">
        <v>26</v>
      </c>
      <c r="C4006" s="1" t="s">
        <v>3033</v>
      </c>
      <c r="D4006" s="1" t="s">
        <v>19</v>
      </c>
      <c r="E4006" s="12">
        <f>F4006</f>
        <v>2</v>
      </c>
      <c r="F4006" s="12">
        <f>Systems!D171</f>
        <v>2</v>
      </c>
      <c r="G4006" s="1" t="s">
        <v>14</v>
      </c>
      <c r="H4006" s="1" t="s">
        <v>449</v>
      </c>
    </row>
    <row r="4007" spans="1:8">
      <c r="A4007" s="1" t="s">
        <v>919</v>
      </c>
      <c r="B4007" s="1" t="s">
        <v>26</v>
      </c>
      <c r="C4007" s="1" t="s">
        <v>3033</v>
      </c>
      <c r="D4007" s="1" t="s">
        <v>19</v>
      </c>
      <c r="E4007" s="12">
        <f>F4007</f>
        <v>2</v>
      </c>
      <c r="F4007" s="12">
        <f>Systems!D171</f>
        <v>2</v>
      </c>
      <c r="G4007" s="1" t="s">
        <v>14</v>
      </c>
      <c r="H4007" s="1" t="s">
        <v>449</v>
      </c>
    </row>
    <row r="4008" spans="1:8">
      <c r="A4008" s="1" t="s">
        <v>2810</v>
      </c>
      <c r="B4008" s="1" t="s">
        <v>26</v>
      </c>
      <c r="C4008" s="1" t="s">
        <v>3033</v>
      </c>
      <c r="D4008" s="1" t="s">
        <v>19</v>
      </c>
      <c r="E4008" s="12">
        <f>8000*F4008</f>
        <v>16000</v>
      </c>
      <c r="F4008" s="12">
        <f>Systems!D171</f>
        <v>2</v>
      </c>
      <c r="G4008" s="1" t="s">
        <v>14</v>
      </c>
      <c r="H4008" s="1" t="s">
        <v>449</v>
      </c>
    </row>
    <row r="4009" spans="1:8">
      <c r="A4009" s="1" t="s">
        <v>2811</v>
      </c>
      <c r="B4009" s="1" t="s">
        <v>26</v>
      </c>
      <c r="C4009" s="1" t="s">
        <v>3033</v>
      </c>
      <c r="D4009" s="1" t="s">
        <v>19</v>
      </c>
      <c r="E4009" s="12">
        <f>8000*F4009</f>
        <v>16000</v>
      </c>
      <c r="F4009" s="12">
        <f>Systems!D171</f>
        <v>2</v>
      </c>
      <c r="G4009" s="1" t="s">
        <v>14</v>
      </c>
      <c r="H4009" s="1" t="s">
        <v>449</v>
      </c>
    </row>
    <row r="4010" spans="1:8" ht="16.5">
      <c r="A4010" s="1" t="s">
        <v>2130</v>
      </c>
      <c r="B4010" s="1" t="s">
        <v>26</v>
      </c>
      <c r="C4010" s="1" t="s">
        <v>3034</v>
      </c>
      <c r="D4010" s="1" t="s">
        <v>38</v>
      </c>
      <c r="E4010" s="12">
        <f>100*F4010</f>
        <v>400</v>
      </c>
      <c r="F4010" s="12">
        <f>Systems!H171</f>
        <v>4</v>
      </c>
      <c r="G4010" s="1" t="s">
        <v>39</v>
      </c>
      <c r="H4010" s="1" t="s">
        <v>449</v>
      </c>
    </row>
    <row r="4011" spans="1:8" ht="16.5">
      <c r="A4011" s="1" t="s">
        <v>2364</v>
      </c>
      <c r="B4011" s="1" t="s">
        <v>26</v>
      </c>
      <c r="C4011" s="1" t="s">
        <v>3034</v>
      </c>
      <c r="D4011" s="1" t="s">
        <v>38</v>
      </c>
      <c r="E4011" s="12">
        <f>400*F4011</f>
        <v>1600</v>
      </c>
      <c r="F4011" s="12">
        <f>Systems!H171</f>
        <v>4</v>
      </c>
      <c r="G4011" s="1" t="s">
        <v>39</v>
      </c>
      <c r="H4011" s="1" t="s">
        <v>449</v>
      </c>
    </row>
    <row r="4012" spans="1:8" ht="16.5">
      <c r="A4012" s="1" t="s">
        <v>5324</v>
      </c>
      <c r="B4012" s="1" t="s">
        <v>26</v>
      </c>
      <c r="C4012" s="1" t="s">
        <v>3034</v>
      </c>
      <c r="D4012" s="1" t="s">
        <v>38</v>
      </c>
      <c r="E4012" s="12">
        <f>F4012</f>
        <v>4</v>
      </c>
      <c r="F4012" s="12">
        <f>POWER(Systems!D171,2)</f>
        <v>4</v>
      </c>
      <c r="G4012" s="1" t="s">
        <v>39</v>
      </c>
      <c r="H4012" s="1" t="s">
        <v>449</v>
      </c>
    </row>
    <row r="4013" spans="1:8" ht="16.5">
      <c r="A4013" s="1" t="s">
        <v>5325</v>
      </c>
      <c r="B4013" s="1" t="s">
        <v>26</v>
      </c>
      <c r="C4013" s="1" t="s">
        <v>3034</v>
      </c>
      <c r="D4013" s="1" t="s">
        <v>38</v>
      </c>
      <c r="E4013" s="12">
        <f>F4013</f>
        <v>4</v>
      </c>
      <c r="F4013" s="12">
        <f>Systems!H171</f>
        <v>4</v>
      </c>
      <c r="G4013" s="1" t="s">
        <v>39</v>
      </c>
      <c r="H4013" s="1" t="s">
        <v>449</v>
      </c>
    </row>
    <row r="4014" spans="1:8" ht="16.5">
      <c r="A4014" s="1" t="s">
        <v>5326</v>
      </c>
      <c r="B4014" s="1" t="s">
        <v>26</v>
      </c>
      <c r="C4014" s="1" t="s">
        <v>2936</v>
      </c>
      <c r="D4014" s="1" t="s">
        <v>32</v>
      </c>
      <c r="E4014" s="12">
        <f>F4014</f>
        <v>8</v>
      </c>
      <c r="F4014" s="12">
        <f>Systems!T171</f>
        <v>8</v>
      </c>
      <c r="G4014" s="1" t="s">
        <v>33</v>
      </c>
      <c r="H4014" s="1" t="s">
        <v>449</v>
      </c>
    </row>
    <row r="4015" spans="1:8" ht="16.5">
      <c r="A4015" s="18" t="s">
        <v>1255</v>
      </c>
      <c r="B4015" s="1" t="s">
        <v>26</v>
      </c>
      <c r="C4015" s="1" t="s">
        <v>2935</v>
      </c>
      <c r="D4015" s="1" t="s">
        <v>32</v>
      </c>
      <c r="E4015" s="12">
        <f>1600*F4015</f>
        <v>1.6</v>
      </c>
      <c r="F4015" s="12">
        <f>Systems!P171</f>
        <v>1E-3</v>
      </c>
      <c r="G4015" s="1" t="s">
        <v>33</v>
      </c>
      <c r="H4015" s="1" t="s">
        <v>449</v>
      </c>
    </row>
    <row r="4016" spans="1:8" ht="16.5">
      <c r="A4016" s="1" t="s">
        <v>5327</v>
      </c>
      <c r="B4016" s="1" t="s">
        <v>26</v>
      </c>
      <c r="C4016" s="1" t="s">
        <v>2935</v>
      </c>
      <c r="D4016" s="1" t="s">
        <v>32</v>
      </c>
      <c r="E4016" s="12">
        <f>F4016/32</f>
        <v>3.1250000000000001E-5</v>
      </c>
      <c r="F4016" s="12">
        <f>Systems!P171</f>
        <v>1E-3</v>
      </c>
      <c r="G4016" s="1" t="s">
        <v>33</v>
      </c>
      <c r="H4016" s="1" t="s">
        <v>449</v>
      </c>
    </row>
    <row r="4017" spans="1:8" ht="16.5">
      <c r="A4017" s="1" t="s">
        <v>1386</v>
      </c>
      <c r="B4017" s="1" t="s">
        <v>26</v>
      </c>
      <c r="C4017" s="1" t="s">
        <v>2935</v>
      </c>
      <c r="D4017" s="1" t="s">
        <v>32</v>
      </c>
      <c r="E4017" s="12">
        <f>F4017/2</f>
        <v>5.0000000000000001E-4</v>
      </c>
      <c r="F4017" s="12">
        <f>Systems!P171</f>
        <v>1E-3</v>
      </c>
      <c r="G4017" s="1" t="s">
        <v>33</v>
      </c>
      <c r="H4017" s="1" t="s">
        <v>449</v>
      </c>
    </row>
    <row r="4018" spans="1:8" ht="16.5">
      <c r="A4018" s="1" t="s">
        <v>1424</v>
      </c>
      <c r="B4018" s="1" t="s">
        <v>26</v>
      </c>
      <c r="C4018" s="1" t="s">
        <v>2935</v>
      </c>
      <c r="D4018" s="1" t="s">
        <v>32</v>
      </c>
      <c r="E4018" s="12">
        <f>32000*F4018</f>
        <v>32</v>
      </c>
      <c r="F4018" s="12">
        <f>Systems!P171</f>
        <v>1E-3</v>
      </c>
      <c r="G4018" s="1" t="s">
        <v>33</v>
      </c>
      <c r="H4018" s="1" t="s">
        <v>449</v>
      </c>
    </row>
    <row r="4019" spans="1:8" ht="16.5">
      <c r="A4019" s="1" t="s">
        <v>5328</v>
      </c>
      <c r="B4019" s="1" t="s">
        <v>26</v>
      </c>
      <c r="C4019" s="1" t="s">
        <v>2935</v>
      </c>
      <c r="D4019" s="1" t="s">
        <v>32</v>
      </c>
      <c r="E4019" s="12">
        <f>F4019/8</f>
        <v>1.25E-4</v>
      </c>
      <c r="F4019" s="12">
        <f>Systems!P171</f>
        <v>1E-3</v>
      </c>
      <c r="G4019" s="1" t="s">
        <v>33</v>
      </c>
      <c r="H4019" s="1" t="s">
        <v>449</v>
      </c>
    </row>
    <row r="4020" spans="1:8" ht="16.5">
      <c r="A4020" s="1" t="s">
        <v>5329</v>
      </c>
      <c r="B4020" s="1" t="s">
        <v>26</v>
      </c>
      <c r="C4020" s="1" t="s">
        <v>2935</v>
      </c>
      <c r="D4020" s="1" t="s">
        <v>32</v>
      </c>
      <c r="E4020" s="12">
        <f>F4020/8</f>
        <v>1.25E-4</v>
      </c>
      <c r="F4020" s="12">
        <f>Systems!P171</f>
        <v>1E-3</v>
      </c>
      <c r="G4020" s="1" t="s">
        <v>33</v>
      </c>
      <c r="H4020" s="1" t="s">
        <v>449</v>
      </c>
    </row>
    <row r="4021" spans="1:8" ht="16.5">
      <c r="A4021" s="1" t="s">
        <v>5330</v>
      </c>
      <c r="B4021" s="1" t="s">
        <v>26</v>
      </c>
      <c r="C4021" s="1" t="s">
        <v>2935</v>
      </c>
      <c r="D4021" s="1" t="s">
        <v>32</v>
      </c>
      <c r="E4021" s="12">
        <f>F4021/8</f>
        <v>1.25E-4</v>
      </c>
      <c r="F4021" s="12">
        <f>Systems!P171</f>
        <v>1E-3</v>
      </c>
      <c r="G4021" s="1" t="s">
        <v>33</v>
      </c>
      <c r="H4021" s="1" t="s">
        <v>449</v>
      </c>
    </row>
    <row r="4022" spans="1:8" ht="16.5">
      <c r="A4022" s="1" t="s">
        <v>1796</v>
      </c>
      <c r="B4022" s="1" t="s">
        <v>26</v>
      </c>
      <c r="C4022" s="1" t="s">
        <v>2935</v>
      </c>
      <c r="D4022" s="1" t="s">
        <v>32</v>
      </c>
      <c r="E4022" s="12">
        <v>1E-3</v>
      </c>
      <c r="F4022" s="12">
        <f>Systems!P171</f>
        <v>1E-3</v>
      </c>
      <c r="G4022" s="1" t="s">
        <v>33</v>
      </c>
      <c r="H4022" s="1" t="s">
        <v>449</v>
      </c>
    </row>
    <row r="4023" spans="1:8" ht="16.5">
      <c r="A4023" s="1" t="s">
        <v>1883</v>
      </c>
      <c r="B4023" s="1" t="s">
        <v>26</v>
      </c>
      <c r="C4023" s="1" t="s">
        <v>2935</v>
      </c>
      <c r="D4023" s="1" t="s">
        <v>32</v>
      </c>
      <c r="E4023" s="12">
        <f>3200*F4023</f>
        <v>3.2</v>
      </c>
      <c r="F4023" s="12">
        <f>Systems!P171</f>
        <v>1E-3</v>
      </c>
      <c r="G4023" s="1" t="s">
        <v>33</v>
      </c>
      <c r="H4023" s="1" t="s">
        <v>449</v>
      </c>
    </row>
    <row r="4024" spans="1:8" ht="16.5">
      <c r="A4024" s="1" t="s">
        <v>1910</v>
      </c>
      <c r="B4024" s="1" t="s">
        <v>26</v>
      </c>
      <c r="C4024" s="1" t="s">
        <v>2935</v>
      </c>
      <c r="D4024" s="1" t="s">
        <v>32</v>
      </c>
      <c r="E4024" s="12">
        <f>3200*F4024</f>
        <v>3.2</v>
      </c>
      <c r="F4024" s="12">
        <f>Systems!P171</f>
        <v>1E-3</v>
      </c>
      <c r="G4024" s="1" t="s">
        <v>33</v>
      </c>
      <c r="H4024" s="1" t="s">
        <v>449</v>
      </c>
    </row>
    <row r="4025" spans="1:8" ht="16.5">
      <c r="A4025" s="1" t="s">
        <v>1911</v>
      </c>
      <c r="B4025" s="1" t="s">
        <v>26</v>
      </c>
      <c r="C4025" s="1" t="s">
        <v>2935</v>
      </c>
      <c r="D4025" s="1" t="s">
        <v>32</v>
      </c>
      <c r="E4025" s="12">
        <f>3200*F4025</f>
        <v>3.2</v>
      </c>
      <c r="F4025" s="12">
        <f>Systems!P171</f>
        <v>1E-3</v>
      </c>
      <c r="G4025" s="1" t="s">
        <v>33</v>
      </c>
      <c r="H4025" s="1" t="s">
        <v>449</v>
      </c>
    </row>
    <row r="4026" spans="1:8" ht="16.5">
      <c r="A4026" s="1" t="s">
        <v>1917</v>
      </c>
      <c r="B4026" s="1" t="s">
        <v>26</v>
      </c>
      <c r="C4026" s="1" t="s">
        <v>2935</v>
      </c>
      <c r="D4026" s="1" t="s">
        <v>32</v>
      </c>
      <c r="E4026" s="12">
        <f>F4026/2</f>
        <v>5.0000000000000001E-4</v>
      </c>
      <c r="F4026" s="12">
        <f>Systems!P171</f>
        <v>1E-3</v>
      </c>
      <c r="G4026" s="1" t="s">
        <v>33</v>
      </c>
      <c r="H4026" s="1" t="s">
        <v>449</v>
      </c>
    </row>
    <row r="4027" spans="1:8" ht="16.5">
      <c r="A4027" s="1" t="s">
        <v>2135</v>
      </c>
      <c r="B4027" s="1" t="s">
        <v>26</v>
      </c>
      <c r="C4027" s="1" t="s">
        <v>2935</v>
      </c>
      <c r="D4027" s="1" t="s">
        <v>32</v>
      </c>
      <c r="E4027" s="12">
        <f>F4027/100</f>
        <v>1.0000000000000001E-5</v>
      </c>
      <c r="F4027" s="12">
        <f>Systems!P171</f>
        <v>1E-3</v>
      </c>
      <c r="G4027" s="1" t="s">
        <v>33</v>
      </c>
      <c r="H4027" s="1" t="s">
        <v>449</v>
      </c>
    </row>
    <row r="4028" spans="1:8" ht="16.5">
      <c r="A4028" s="1" t="s">
        <v>2435</v>
      </c>
      <c r="B4028" s="1" t="s">
        <v>26</v>
      </c>
      <c r="C4028" s="1" t="s">
        <v>2935</v>
      </c>
      <c r="D4028" s="1" t="s">
        <v>32</v>
      </c>
      <c r="E4028" s="12">
        <f>20*F4028</f>
        <v>0.02</v>
      </c>
      <c r="F4028" s="12">
        <f>Systems!P171</f>
        <v>1E-3</v>
      </c>
      <c r="G4028" s="1" t="s">
        <v>33</v>
      </c>
      <c r="H4028" s="1" t="s">
        <v>449</v>
      </c>
    </row>
    <row r="4029" spans="1:8" ht="16.5">
      <c r="A4029" s="1" t="s">
        <v>2486</v>
      </c>
      <c r="B4029" s="1" t="s">
        <v>26</v>
      </c>
      <c r="C4029" s="1" t="s">
        <v>2935</v>
      </c>
      <c r="D4029" s="1" t="s">
        <v>32</v>
      </c>
      <c r="E4029" s="12">
        <f>800*F4029</f>
        <v>0.8</v>
      </c>
      <c r="F4029" s="12">
        <f>Systems!P171</f>
        <v>1E-3</v>
      </c>
      <c r="G4029" s="1" t="s">
        <v>33</v>
      </c>
      <c r="H4029" s="1" t="s">
        <v>449</v>
      </c>
    </row>
    <row r="4030" spans="1:8" ht="16.5">
      <c r="A4030" s="1" t="s">
        <v>2604</v>
      </c>
      <c r="B4030" s="1" t="s">
        <v>26</v>
      </c>
      <c r="C4030" s="1" t="s">
        <v>2935</v>
      </c>
      <c r="D4030" s="1" t="s">
        <v>32</v>
      </c>
      <c r="E4030" s="12">
        <f>400*F4030</f>
        <v>0.4</v>
      </c>
      <c r="F4030" s="12">
        <f>Systems!P171</f>
        <v>1E-3</v>
      </c>
      <c r="G4030" s="1" t="s">
        <v>33</v>
      </c>
      <c r="H4030" s="1" t="s">
        <v>449</v>
      </c>
    </row>
    <row r="4031" spans="1:8" ht="16.5">
      <c r="A4031" s="1" t="s">
        <v>2608</v>
      </c>
      <c r="B4031" s="1" t="s">
        <v>26</v>
      </c>
      <c r="C4031" s="1" t="s">
        <v>2935</v>
      </c>
      <c r="D4031" s="1" t="s">
        <v>32</v>
      </c>
      <c r="E4031" s="12">
        <f>F4031</f>
        <v>1E-3</v>
      </c>
      <c r="F4031" s="12">
        <f>Systems!P171</f>
        <v>1E-3</v>
      </c>
      <c r="G4031" s="1" t="s">
        <v>33</v>
      </c>
      <c r="H4031" s="1" t="s">
        <v>449</v>
      </c>
    </row>
    <row r="4032" spans="1:8" ht="16.5">
      <c r="A4032" s="1" t="s">
        <v>2609</v>
      </c>
      <c r="B4032" s="1" t="s">
        <v>26</v>
      </c>
      <c r="C4032" s="1" t="s">
        <v>2935</v>
      </c>
      <c r="D4032" s="1" t="s">
        <v>32</v>
      </c>
      <c r="E4032" s="12">
        <f>40*F4032</f>
        <v>0.04</v>
      </c>
      <c r="F4032" s="12">
        <f>Systems!P171</f>
        <v>1E-3</v>
      </c>
      <c r="G4032" s="1" t="s">
        <v>33</v>
      </c>
      <c r="H4032" s="1" t="s">
        <v>449</v>
      </c>
    </row>
    <row r="4033" spans="1:8" ht="16.5">
      <c r="A4033" s="1" t="s">
        <v>2644</v>
      </c>
      <c r="B4033" s="1" t="s">
        <v>26</v>
      </c>
      <c r="C4033" s="1" t="s">
        <v>2935</v>
      </c>
      <c r="D4033" s="1" t="s">
        <v>32</v>
      </c>
      <c r="E4033" s="12">
        <f>F4033</f>
        <v>1E-3</v>
      </c>
      <c r="F4033" s="12">
        <f>Systems!P171</f>
        <v>1E-3</v>
      </c>
      <c r="G4033" s="1" t="s">
        <v>33</v>
      </c>
      <c r="H4033" s="1" t="s">
        <v>449</v>
      </c>
    </row>
    <row r="4034" spans="1:8" ht="16.5">
      <c r="A4034" s="1" t="s">
        <v>2645</v>
      </c>
      <c r="B4034" s="1" t="s">
        <v>26</v>
      </c>
      <c r="C4034" s="1" t="s">
        <v>2935</v>
      </c>
      <c r="D4034" s="1" t="s">
        <v>32</v>
      </c>
      <c r="E4034" s="12">
        <f>20*F4034</f>
        <v>0.02</v>
      </c>
      <c r="F4034" s="12">
        <f>Systems!P171</f>
        <v>1E-3</v>
      </c>
      <c r="G4034" s="1" t="s">
        <v>33</v>
      </c>
      <c r="H4034" s="1" t="s">
        <v>449</v>
      </c>
    </row>
    <row r="4035" spans="1:8" ht="16.5">
      <c r="A4035" s="1" t="s">
        <v>5331</v>
      </c>
      <c r="B4035" s="1" t="s">
        <v>26</v>
      </c>
      <c r="C4035" s="1" t="s">
        <v>2935</v>
      </c>
      <c r="D4035" s="1" t="s">
        <v>32</v>
      </c>
      <c r="E4035" s="12">
        <f>125*F4035/16000</f>
        <v>7.8125000000000002E-6</v>
      </c>
      <c r="F4035" s="12">
        <f>Systems!P171</f>
        <v>1E-3</v>
      </c>
      <c r="G4035" s="1" t="s">
        <v>33</v>
      </c>
      <c r="H4035" s="1" t="s">
        <v>449</v>
      </c>
    </row>
    <row r="4036" spans="1:8">
      <c r="A4036" s="1" t="s">
        <v>1248</v>
      </c>
      <c r="B4036" s="1" t="s">
        <v>26</v>
      </c>
      <c r="C4036" s="1" t="s">
        <v>17</v>
      </c>
      <c r="D4036" s="1" t="s">
        <v>20</v>
      </c>
      <c r="E4036" s="12">
        <f>F4036/80</f>
        <v>1.4999999999999999E-2</v>
      </c>
      <c r="F4036" s="12">
        <f>Systems!L171</f>
        <v>1.2</v>
      </c>
      <c r="G4036" s="1" t="s">
        <v>23</v>
      </c>
      <c r="H4036" s="1" t="s">
        <v>449</v>
      </c>
    </row>
    <row r="4037" spans="1:8">
      <c r="A4037" s="1" t="s">
        <v>932</v>
      </c>
      <c r="B4037" s="1" t="s">
        <v>26</v>
      </c>
      <c r="C4037" s="1" t="s">
        <v>17</v>
      </c>
      <c r="D4037" s="1" t="s">
        <v>20</v>
      </c>
      <c r="E4037" s="12">
        <f>400*F4037</f>
        <v>480</v>
      </c>
      <c r="F4037" s="12">
        <f>Systems!L171</f>
        <v>1.2</v>
      </c>
      <c r="G4037" s="1" t="s">
        <v>23</v>
      </c>
      <c r="H4037" s="1" t="s">
        <v>449</v>
      </c>
    </row>
    <row r="4038" spans="1:8">
      <c r="A4038" s="1" t="s">
        <v>1385</v>
      </c>
      <c r="B4038" s="1" t="s">
        <v>26</v>
      </c>
      <c r="C4038" s="1" t="s">
        <v>17</v>
      </c>
      <c r="D4038" s="1" t="s">
        <v>20</v>
      </c>
      <c r="E4038" s="12">
        <f>F4038</f>
        <v>1.2</v>
      </c>
      <c r="F4038" s="12">
        <f>Systems!L171</f>
        <v>1.2</v>
      </c>
      <c r="G4038" s="1" t="s">
        <v>23</v>
      </c>
      <c r="H4038" s="1" t="s">
        <v>449</v>
      </c>
    </row>
    <row r="4039" spans="1:8">
      <c r="A4039" s="1" t="s">
        <v>1543</v>
      </c>
      <c r="B4039" s="1" t="s">
        <v>26</v>
      </c>
      <c r="C4039" s="1" t="s">
        <v>17</v>
      </c>
      <c r="D4039" s="1" t="s">
        <v>20</v>
      </c>
      <c r="E4039" s="12">
        <f>20*F4039</f>
        <v>24</v>
      </c>
      <c r="F4039" s="12">
        <f>Systems!L171</f>
        <v>1.2</v>
      </c>
      <c r="G4039" s="1" t="s">
        <v>23</v>
      </c>
      <c r="H4039" s="1" t="s">
        <v>449</v>
      </c>
    </row>
    <row r="4040" spans="1:8">
      <c r="A4040" s="1" t="s">
        <v>1636</v>
      </c>
      <c r="B4040" s="1" t="s">
        <v>26</v>
      </c>
      <c r="C4040" s="1" t="s">
        <v>17</v>
      </c>
      <c r="D4040" s="1" t="s">
        <v>20</v>
      </c>
      <c r="E4040" s="12">
        <f>F4040/640</f>
        <v>1.8749999999999999E-3</v>
      </c>
      <c r="F4040" s="12">
        <f>Systems!L171</f>
        <v>1.2</v>
      </c>
      <c r="G4040" s="1" t="s">
        <v>23</v>
      </c>
      <c r="H4040" s="1" t="s">
        <v>449</v>
      </c>
    </row>
    <row r="4041" spans="1:8">
      <c r="A4041" s="1" t="s">
        <v>1693</v>
      </c>
      <c r="B4041" s="1" t="s">
        <v>26</v>
      </c>
      <c r="C4041" s="1" t="s">
        <v>17</v>
      </c>
      <c r="D4041" s="1" t="s">
        <v>20</v>
      </c>
      <c r="E4041" s="12">
        <f>F4041/1280</f>
        <v>9.3749999999999997E-4</v>
      </c>
      <c r="F4041" s="12">
        <f>Systems!L171</f>
        <v>1.2</v>
      </c>
      <c r="G4041" s="1" t="s">
        <v>23</v>
      </c>
      <c r="H4041" s="1" t="s">
        <v>449</v>
      </c>
    </row>
    <row r="4042" spans="1:8">
      <c r="A4042" s="1" t="s">
        <v>1718</v>
      </c>
      <c r="B4042" s="1" t="s">
        <v>26</v>
      </c>
      <c r="C4042" s="1" t="s">
        <v>17</v>
      </c>
      <c r="D4042" s="1" t="s">
        <v>20</v>
      </c>
      <c r="E4042" s="12">
        <f>50*F4042</f>
        <v>60</v>
      </c>
      <c r="F4042" s="12">
        <f>Systems!L171</f>
        <v>1.2</v>
      </c>
      <c r="G4042" s="1" t="s">
        <v>23</v>
      </c>
      <c r="H4042" s="1" t="s">
        <v>449</v>
      </c>
    </row>
    <row r="4043" spans="1:8">
      <c r="A4043" s="1" t="s">
        <v>1858</v>
      </c>
      <c r="B4043" s="1" t="s">
        <v>26</v>
      </c>
      <c r="C4043" s="1" t="s">
        <v>17</v>
      </c>
      <c r="D4043" s="1" t="s">
        <v>20</v>
      </c>
      <c r="E4043" s="12">
        <f>F4043/5120</f>
        <v>2.3437499999999999E-4</v>
      </c>
      <c r="F4043" s="12">
        <f>Systems!L171</f>
        <v>1.2</v>
      </c>
      <c r="G4043" s="1" t="s">
        <v>23</v>
      </c>
      <c r="H4043" s="1" t="s">
        <v>449</v>
      </c>
    </row>
    <row r="4044" spans="1:8">
      <c r="A4044" s="1" t="s">
        <v>1859</v>
      </c>
      <c r="B4044" s="1" t="s">
        <v>26</v>
      </c>
      <c r="C4044" s="1" t="s">
        <v>17</v>
      </c>
      <c r="D4044" s="1" t="s">
        <v>20</v>
      </c>
      <c r="E4044" s="12">
        <f>F4044/10240</f>
        <v>1.171875E-4</v>
      </c>
      <c r="F4044" s="12">
        <f>Systems!L171</f>
        <v>1.2</v>
      </c>
      <c r="G4044" s="1" t="s">
        <v>23</v>
      </c>
      <c r="H4044" s="1" t="s">
        <v>449</v>
      </c>
    </row>
    <row r="4045" spans="1:8">
      <c r="A4045" s="1" t="s">
        <v>2203</v>
      </c>
      <c r="B4045" s="1" t="s">
        <v>26</v>
      </c>
      <c r="C4045" s="1" t="s">
        <v>17</v>
      </c>
      <c r="D4045" s="1" t="s">
        <v>20</v>
      </c>
      <c r="E4045" s="12">
        <f>F4045/2560</f>
        <v>4.6874999999999998E-4</v>
      </c>
      <c r="F4045" s="12">
        <f>Systems!L171</f>
        <v>1.2</v>
      </c>
      <c r="G4045" s="1" t="s">
        <v>23</v>
      </c>
      <c r="H4045" s="1" t="s">
        <v>449</v>
      </c>
    </row>
    <row r="4046" spans="1:8">
      <c r="A4046" s="1" t="s">
        <v>2427</v>
      </c>
      <c r="B4046" s="1" t="s">
        <v>26</v>
      </c>
      <c r="C4046" s="1" t="s">
        <v>17</v>
      </c>
      <c r="D4046" s="1" t="s">
        <v>20</v>
      </c>
      <c r="E4046" s="12">
        <f>F4046/320</f>
        <v>3.7499999999999999E-3</v>
      </c>
      <c r="F4046" s="12">
        <f>Systems!L171</f>
        <v>1.2</v>
      </c>
      <c r="G4046" s="1" t="s">
        <v>23</v>
      </c>
      <c r="H4046" s="1" t="s">
        <v>449</v>
      </c>
    </row>
    <row r="4047" spans="1:8">
      <c r="A4047" s="1" t="s">
        <v>2428</v>
      </c>
      <c r="B4047" s="1" t="s">
        <v>26</v>
      </c>
      <c r="C4047" s="1" t="s">
        <v>17</v>
      </c>
      <c r="D4047" s="1" t="s">
        <v>20</v>
      </c>
      <c r="E4047" s="12">
        <f>F4047/320</f>
        <v>3.7499999999999999E-3</v>
      </c>
      <c r="F4047" s="12">
        <f>Systems!L171</f>
        <v>1.2</v>
      </c>
      <c r="G4047" s="1" t="s">
        <v>23</v>
      </c>
      <c r="H4047" s="1" t="s">
        <v>449</v>
      </c>
    </row>
    <row r="4048" spans="1:8">
      <c r="A4048" s="1" t="s">
        <v>2540</v>
      </c>
      <c r="B4048" s="1" t="s">
        <v>26</v>
      </c>
      <c r="C4048" s="1" t="s">
        <v>17</v>
      </c>
      <c r="D4048" s="1" t="s">
        <v>20</v>
      </c>
      <c r="E4048" s="12">
        <f>F4048/1280</f>
        <v>9.3749999999999997E-4</v>
      </c>
      <c r="F4048" s="12">
        <f>Systems!L171</f>
        <v>1.2</v>
      </c>
      <c r="G4048" s="1" t="s">
        <v>23</v>
      </c>
      <c r="H4048" s="1" t="s">
        <v>449</v>
      </c>
    </row>
    <row r="4049" spans="1:8">
      <c r="A4049" s="1" t="s">
        <v>2605</v>
      </c>
      <c r="B4049" s="1" t="s">
        <v>26</v>
      </c>
      <c r="C4049" s="1" t="s">
        <v>17</v>
      </c>
      <c r="D4049" s="1" t="s">
        <v>20</v>
      </c>
      <c r="E4049" s="12">
        <f>F4049/20</f>
        <v>0.06</v>
      </c>
      <c r="F4049" s="12">
        <f>Systems!L171</f>
        <v>1.2</v>
      </c>
      <c r="G4049" s="1" t="s">
        <v>23</v>
      </c>
      <c r="H4049" s="1" t="s">
        <v>449</v>
      </c>
    </row>
    <row r="4050" spans="1:8">
      <c r="A4050" s="1" t="s">
        <v>2606</v>
      </c>
      <c r="B4050" s="1" t="s">
        <v>26</v>
      </c>
      <c r="C4050" s="1" t="s">
        <v>17</v>
      </c>
      <c r="D4050" s="1" t="s">
        <v>20</v>
      </c>
      <c r="E4050" s="12">
        <f>F4050/20</f>
        <v>0.06</v>
      </c>
      <c r="F4050" s="12">
        <f>Systems!L171</f>
        <v>1.2</v>
      </c>
      <c r="G4050" s="1" t="s">
        <v>23</v>
      </c>
      <c r="H4050" s="1" t="s">
        <v>449</v>
      </c>
    </row>
    <row r="4051" spans="1:8">
      <c r="A4051" s="1" t="s">
        <v>920</v>
      </c>
      <c r="B4051" s="1" t="s">
        <v>26</v>
      </c>
      <c r="C4051" s="1" t="s">
        <v>17</v>
      </c>
      <c r="D4051" s="1" t="s">
        <v>20</v>
      </c>
      <c r="E4051" s="12">
        <f>F4051</f>
        <v>1.2</v>
      </c>
      <c r="F4051" s="12">
        <f>Systems!L171</f>
        <v>1.2</v>
      </c>
      <c r="G4051" s="1" t="s">
        <v>23</v>
      </c>
      <c r="H4051" s="1" t="s">
        <v>449</v>
      </c>
    </row>
    <row r="4052" spans="1:8">
      <c r="A4052" s="248"/>
      <c r="B4052" s="248"/>
      <c r="C4052" s="248"/>
      <c r="D4052" s="248"/>
      <c r="E4052" s="250"/>
      <c r="F4052" s="250"/>
      <c r="G4052" s="248"/>
      <c r="H4052" s="248"/>
    </row>
    <row r="4053" spans="1:8">
      <c r="A4053" s="1" t="s">
        <v>5332</v>
      </c>
      <c r="B4053" s="1" t="s">
        <v>26</v>
      </c>
      <c r="C4053" s="1" t="s">
        <v>3033</v>
      </c>
      <c r="D4053" s="1" t="s">
        <v>19</v>
      </c>
      <c r="E4053" s="12">
        <f t="shared" ref="E4053:E4058" si="10">F4053</f>
        <v>0.48799999999999999</v>
      </c>
      <c r="F4053" s="12">
        <f>Systems!D176</f>
        <v>0.48799999999999999</v>
      </c>
      <c r="G4053" s="1" t="s">
        <v>14</v>
      </c>
      <c r="H4053" s="1" t="s">
        <v>495</v>
      </c>
    </row>
    <row r="4054" spans="1:8">
      <c r="A4054" s="1" t="s">
        <v>5333</v>
      </c>
      <c r="B4054" s="1" t="s">
        <v>26</v>
      </c>
      <c r="C4054" s="1" t="s">
        <v>3033</v>
      </c>
      <c r="D4054" s="1" t="s">
        <v>19</v>
      </c>
      <c r="E4054" s="12">
        <f t="shared" si="10"/>
        <v>0.67300000000000004</v>
      </c>
      <c r="F4054" s="12">
        <f>Systems!D175</f>
        <v>0.67300000000000004</v>
      </c>
      <c r="G4054" s="1" t="s">
        <v>14</v>
      </c>
      <c r="H4054" s="1" t="s">
        <v>495</v>
      </c>
    </row>
    <row r="4055" spans="1:8">
      <c r="A4055" s="1" t="s">
        <v>835</v>
      </c>
      <c r="B4055" s="1" t="s">
        <v>26</v>
      </c>
      <c r="C4055" s="1" t="s">
        <v>3033</v>
      </c>
      <c r="D4055" s="1" t="s">
        <v>19</v>
      </c>
      <c r="E4055" s="12">
        <f t="shared" si="10"/>
        <v>0.5625</v>
      </c>
      <c r="F4055" s="12">
        <f>Systems!D174</f>
        <v>0.5625</v>
      </c>
      <c r="G4055" s="1" t="s">
        <v>14</v>
      </c>
      <c r="H4055" s="1" t="s">
        <v>495</v>
      </c>
    </row>
    <row r="4056" spans="1:8" ht="16.5">
      <c r="A4056" s="1" t="s">
        <v>4345</v>
      </c>
      <c r="B4056" s="1" t="s">
        <v>26</v>
      </c>
      <c r="C4056" s="1" t="s">
        <v>3034</v>
      </c>
      <c r="D4056" s="1" t="s">
        <v>38</v>
      </c>
      <c r="E4056" s="12">
        <f t="shared" si="10"/>
        <v>0.31640625</v>
      </c>
      <c r="F4056" s="12">
        <f>Systems!H174</f>
        <v>0.31640625</v>
      </c>
      <c r="G4056" s="1" t="s">
        <v>39</v>
      </c>
      <c r="H4056" s="1" t="s">
        <v>495</v>
      </c>
    </row>
    <row r="4057" spans="1:8" ht="16.5">
      <c r="A4057" s="1" t="s">
        <v>4346</v>
      </c>
      <c r="B4057" s="1" t="s">
        <v>26</v>
      </c>
      <c r="C4057" s="1" t="s">
        <v>2936</v>
      </c>
      <c r="D4057" s="1" t="s">
        <v>32</v>
      </c>
      <c r="E4057" s="12">
        <f t="shared" si="10"/>
        <v>0.177978515625</v>
      </c>
      <c r="F4057" s="12">
        <f>Systems!T174</f>
        <v>0.177978515625</v>
      </c>
      <c r="G4057" s="1" t="s">
        <v>33</v>
      </c>
      <c r="H4057" s="1" t="s">
        <v>495</v>
      </c>
    </row>
    <row r="4058" spans="1:8" ht="16.5">
      <c r="A4058" s="1" t="s">
        <v>889</v>
      </c>
      <c r="B4058" s="1" t="s">
        <v>26</v>
      </c>
      <c r="C4058" s="1" t="s">
        <v>2935</v>
      </c>
      <c r="D4058" s="1" t="s">
        <v>32</v>
      </c>
      <c r="E4058" s="12">
        <f t="shared" si="10"/>
        <v>0.496</v>
      </c>
      <c r="F4058" s="12">
        <f>Systems!P174</f>
        <v>0.496</v>
      </c>
      <c r="G4058" s="1" t="s">
        <v>33</v>
      </c>
      <c r="H4058" s="1" t="s">
        <v>495</v>
      </c>
    </row>
    <row r="4059" spans="1:8" ht="16.5">
      <c r="A4059" s="1" t="s">
        <v>2057</v>
      </c>
      <c r="B4059" s="1" t="s">
        <v>26</v>
      </c>
      <c r="C4059" s="1" t="s">
        <v>2935</v>
      </c>
      <c r="D4059" s="1" t="s">
        <v>32</v>
      </c>
      <c r="E4059" s="12">
        <f>5*F4059/248</f>
        <v>0.01</v>
      </c>
      <c r="F4059" s="12">
        <f>Systems!P174</f>
        <v>0.496</v>
      </c>
      <c r="G4059" s="1" t="s">
        <v>33</v>
      </c>
      <c r="H4059" s="1" t="s">
        <v>495</v>
      </c>
    </row>
    <row r="4060" spans="1:8" ht="16.5">
      <c r="A4060" s="1" t="s">
        <v>2073</v>
      </c>
      <c r="B4060" s="1" t="s">
        <v>26</v>
      </c>
      <c r="C4060" s="1" t="s">
        <v>2935</v>
      </c>
      <c r="D4060" s="1" t="s">
        <v>32</v>
      </c>
      <c r="E4060" s="12">
        <f>4*F4060/31</f>
        <v>6.4000000000000001E-2</v>
      </c>
      <c r="F4060" s="12">
        <f>Systems!P174</f>
        <v>0.496</v>
      </c>
      <c r="G4060" s="1" t="s">
        <v>33</v>
      </c>
      <c r="H4060" s="1" t="s">
        <v>495</v>
      </c>
    </row>
    <row r="4061" spans="1:8" ht="16.5">
      <c r="A4061" s="1" t="s">
        <v>2091</v>
      </c>
      <c r="B4061" s="1" t="s">
        <v>26</v>
      </c>
      <c r="C4061" s="1" t="s">
        <v>2935</v>
      </c>
      <c r="D4061" s="1" t="s">
        <v>32</v>
      </c>
      <c r="E4061" s="12">
        <f>5*F4061/248</f>
        <v>0.01</v>
      </c>
      <c r="F4061" s="12">
        <f>Systems!P174</f>
        <v>0.496</v>
      </c>
      <c r="G4061" s="1" t="s">
        <v>33</v>
      </c>
      <c r="H4061" s="1" t="s">
        <v>495</v>
      </c>
    </row>
    <row r="4062" spans="1:8" ht="16.5">
      <c r="A4062" s="1" t="s">
        <v>2410</v>
      </c>
      <c r="B4062" s="1" t="s">
        <v>26</v>
      </c>
      <c r="C4062" s="1" t="s">
        <v>2935</v>
      </c>
      <c r="D4062" s="1" t="s">
        <v>32</v>
      </c>
      <c r="E4062" s="12">
        <f>F4062/129</f>
        <v>3.8449612403100774E-3</v>
      </c>
      <c r="F4062" s="12">
        <f>Systems!P174</f>
        <v>0.496</v>
      </c>
      <c r="G4062" s="1" t="s">
        <v>33</v>
      </c>
      <c r="H4062" s="1" t="s">
        <v>495</v>
      </c>
    </row>
    <row r="4063" spans="1:8" ht="16.5">
      <c r="A4063" s="1" t="s">
        <v>2793</v>
      </c>
      <c r="B4063" s="1" t="s">
        <v>26</v>
      </c>
      <c r="C4063" s="1" t="s">
        <v>2935</v>
      </c>
      <c r="D4063" s="1" t="s">
        <v>32</v>
      </c>
      <c r="E4063" s="12">
        <f>F4063/16</f>
        <v>3.1E-2</v>
      </c>
      <c r="F4063" s="12">
        <f>Systems!P174</f>
        <v>0.496</v>
      </c>
      <c r="G4063" s="1" t="s">
        <v>33</v>
      </c>
      <c r="H4063" s="1" t="s">
        <v>495</v>
      </c>
    </row>
    <row r="4064" spans="1:8">
      <c r="A4064" s="1" t="s">
        <v>1353</v>
      </c>
      <c r="B4064" s="1" t="s">
        <v>26</v>
      </c>
      <c r="C4064" s="1" t="s">
        <v>17</v>
      </c>
      <c r="D4064" s="1" t="s">
        <v>20</v>
      </c>
      <c r="E4064" s="12">
        <f>100*F4064</f>
        <v>3.1495000000000002</v>
      </c>
      <c r="F4064" s="12">
        <f>Systems!L174</f>
        <v>3.1495000000000002E-2</v>
      </c>
      <c r="G4064" s="1" t="s">
        <v>23</v>
      </c>
      <c r="H4064" s="1" t="s">
        <v>495</v>
      </c>
    </row>
    <row r="4065" spans="1:8">
      <c r="A4065" s="1" t="s">
        <v>5334</v>
      </c>
      <c r="B4065" s="1" t="s">
        <v>26</v>
      </c>
      <c r="C4065" s="1" t="s">
        <v>17</v>
      </c>
      <c r="D4065" s="1" t="s">
        <v>20</v>
      </c>
      <c r="E4065" s="12">
        <f>1600*F4065</f>
        <v>50.392000000000003</v>
      </c>
      <c r="F4065" s="12">
        <f>Systems!L174</f>
        <v>3.1495000000000002E-2</v>
      </c>
      <c r="G4065" s="1" t="s">
        <v>23</v>
      </c>
      <c r="H4065" s="1" t="s">
        <v>495</v>
      </c>
    </row>
    <row r="4066" spans="1:8">
      <c r="A4066" s="1" t="s">
        <v>5335</v>
      </c>
      <c r="B4066" s="1" t="s">
        <v>26</v>
      </c>
      <c r="C4066" s="1" t="s">
        <v>17</v>
      </c>
      <c r="D4066" s="1" t="s">
        <v>20</v>
      </c>
      <c r="E4066" s="12">
        <f>2000*F4066</f>
        <v>62.99</v>
      </c>
      <c r="F4066" s="12">
        <f>Systems!L174</f>
        <v>3.1495000000000002E-2</v>
      </c>
      <c r="G4066" s="1" t="s">
        <v>23</v>
      </c>
      <c r="H4066" s="1" t="s">
        <v>495</v>
      </c>
    </row>
    <row r="4067" spans="1:8">
      <c r="A4067" s="1" t="s">
        <v>5336</v>
      </c>
      <c r="B4067" s="1" t="s">
        <v>26</v>
      </c>
      <c r="C4067" s="1" t="s">
        <v>17</v>
      </c>
      <c r="D4067" s="1" t="s">
        <v>20</v>
      </c>
      <c r="E4067" s="12">
        <f>1800*F4067</f>
        <v>56.691000000000003</v>
      </c>
      <c r="F4067" s="12">
        <f>Systems!L174</f>
        <v>3.1495000000000002E-2</v>
      </c>
      <c r="G4067" s="1" t="s">
        <v>23</v>
      </c>
      <c r="H4067" s="1" t="s">
        <v>495</v>
      </c>
    </row>
    <row r="4068" spans="1:8">
      <c r="A4068" s="1" t="s">
        <v>5337</v>
      </c>
      <c r="B4068" s="1" t="s">
        <v>26</v>
      </c>
      <c r="C4068" s="1" t="s">
        <v>17</v>
      </c>
      <c r="D4068" s="1" t="s">
        <v>20</v>
      </c>
      <c r="E4068" s="12">
        <f>16*F4068</f>
        <v>0.50392000000000003</v>
      </c>
      <c r="F4068" s="12">
        <f>Systems!L174</f>
        <v>3.1495000000000002E-2</v>
      </c>
      <c r="G4068" s="1" t="s">
        <v>23</v>
      </c>
      <c r="H4068" s="1" t="s">
        <v>495</v>
      </c>
    </row>
    <row r="4069" spans="1:8">
      <c r="A4069" s="1" t="s">
        <v>5338</v>
      </c>
      <c r="B4069" s="1" t="s">
        <v>26</v>
      </c>
      <c r="C4069" s="1" t="s">
        <v>17</v>
      </c>
      <c r="D4069" s="1" t="s">
        <v>20</v>
      </c>
      <c r="E4069" s="12">
        <f>20*F4069</f>
        <v>0.62990000000000002</v>
      </c>
      <c r="F4069" s="12">
        <f>Systems!L174</f>
        <v>3.1495000000000002E-2</v>
      </c>
      <c r="G4069" s="1" t="s">
        <v>23</v>
      </c>
      <c r="H4069" s="1" t="s">
        <v>495</v>
      </c>
    </row>
    <row r="4070" spans="1:8">
      <c r="A4070" s="1" t="s">
        <v>5339</v>
      </c>
      <c r="B4070" s="1" t="s">
        <v>26</v>
      </c>
      <c r="C4070" s="1" t="s">
        <v>17</v>
      </c>
      <c r="D4070" s="1" t="s">
        <v>20</v>
      </c>
      <c r="E4070" s="12">
        <f>18*F4070</f>
        <v>0.56691000000000003</v>
      </c>
      <c r="F4070" s="12">
        <f>Systems!L174</f>
        <v>3.1495000000000002E-2</v>
      </c>
      <c r="G4070" s="1" t="s">
        <v>23</v>
      </c>
      <c r="H4070" s="1" t="s">
        <v>495</v>
      </c>
    </row>
    <row r="4071" spans="1:8">
      <c r="A4071" s="1" t="s">
        <v>888</v>
      </c>
      <c r="B4071" s="1" t="s">
        <v>26</v>
      </c>
      <c r="C4071" s="1" t="s">
        <v>17</v>
      </c>
      <c r="D4071" s="1" t="s">
        <v>20</v>
      </c>
      <c r="E4071" s="12">
        <f>F4071</f>
        <v>3.1495000000000002E-2</v>
      </c>
      <c r="F4071" s="12">
        <f>Systems!L174</f>
        <v>3.1495000000000002E-2</v>
      </c>
      <c r="G4071" s="1" t="s">
        <v>23</v>
      </c>
      <c r="H4071" s="1" t="s">
        <v>495</v>
      </c>
    </row>
    <row r="4072" spans="1:8">
      <c r="A4072" s="248"/>
      <c r="B4072" s="248"/>
      <c r="C4072" s="248"/>
      <c r="D4072" s="248"/>
      <c r="E4072" s="250"/>
      <c r="F4072" s="250"/>
      <c r="G4072" s="248"/>
      <c r="H4072" s="248"/>
    </row>
    <row r="4073" spans="1:8">
      <c r="A4073" s="1" t="s">
        <v>1232</v>
      </c>
      <c r="B4073" s="1" t="s">
        <v>26</v>
      </c>
      <c r="C4073" s="1" t="s">
        <v>3033</v>
      </c>
      <c r="D4073" s="1" t="s">
        <v>19</v>
      </c>
      <c r="E4073" s="12">
        <f>F4073</f>
        <v>0.75539724648700002</v>
      </c>
      <c r="F4073" s="12">
        <f>Systems!D177</f>
        <v>0.75539724648700002</v>
      </c>
      <c r="G4073" s="1" t="s">
        <v>14</v>
      </c>
      <c r="H4073" s="1" t="s">
        <v>469</v>
      </c>
    </row>
    <row r="4074" spans="1:8">
      <c r="A4074" s="1" t="s">
        <v>1244</v>
      </c>
      <c r="B4074" s="1" t="s">
        <v>26</v>
      </c>
      <c r="C4074" s="1" t="s">
        <v>3033</v>
      </c>
      <c r="D4074" s="1" t="s">
        <v>19</v>
      </c>
      <c r="E4074" s="12">
        <f>F4074/2</f>
        <v>0.37769862324350001</v>
      </c>
      <c r="F4074" s="12">
        <f>Systems!D177</f>
        <v>0.75539724648700002</v>
      </c>
      <c r="G4074" s="1" t="s">
        <v>14</v>
      </c>
      <c r="H4074" s="1" t="s">
        <v>469</v>
      </c>
    </row>
    <row r="4075" spans="1:8">
      <c r="A4075" s="1" t="s">
        <v>1286</v>
      </c>
      <c r="B4075" s="1" t="s">
        <v>26</v>
      </c>
      <c r="C4075" s="1" t="s">
        <v>3033</v>
      </c>
      <c r="D4075" s="1" t="s">
        <v>19</v>
      </c>
      <c r="E4075" s="12">
        <f>300*F4075</f>
        <v>226.61917394610001</v>
      </c>
      <c r="F4075" s="12">
        <f>Systems!D177</f>
        <v>0.75539724648700002</v>
      </c>
      <c r="G4075" s="1" t="s">
        <v>14</v>
      </c>
      <c r="H4075" s="1" t="s">
        <v>469</v>
      </c>
    </row>
    <row r="4076" spans="1:8">
      <c r="A4076" s="1" t="s">
        <v>5340</v>
      </c>
      <c r="B4076" s="1" t="s">
        <v>26</v>
      </c>
      <c r="C4076" s="1" t="s">
        <v>3033</v>
      </c>
      <c r="D4076" s="1" t="s">
        <v>19</v>
      </c>
      <c r="E4076" s="12">
        <f>4767*F4076</f>
        <v>2720.1693750006743</v>
      </c>
      <c r="F4076" s="12">
        <f>POWER(Systems!D177,2)</f>
        <v>0.57062500000014149</v>
      </c>
      <c r="G4076" s="1" t="s">
        <v>14</v>
      </c>
      <c r="H4076" s="1" t="s">
        <v>469</v>
      </c>
    </row>
    <row r="4077" spans="1:8">
      <c r="A4077" s="1" t="s">
        <v>1574</v>
      </c>
      <c r="B4077" s="1" t="s">
        <v>26</v>
      </c>
      <c r="C4077" s="1" t="s">
        <v>3033</v>
      </c>
      <c r="D4077" s="1" t="s">
        <v>19</v>
      </c>
      <c r="E4077" s="12">
        <f>5*F4077/6</f>
        <v>0.62949770540583339</v>
      </c>
      <c r="F4077" s="12">
        <f>Systems!D177</f>
        <v>0.75539724648700002</v>
      </c>
      <c r="G4077" s="1" t="s">
        <v>14</v>
      </c>
      <c r="H4077" s="1" t="s">
        <v>469</v>
      </c>
    </row>
    <row r="4078" spans="1:8">
      <c r="A4078" s="1" t="s">
        <v>5341</v>
      </c>
      <c r="B4078" s="1" t="s">
        <v>26</v>
      </c>
      <c r="C4078" s="1" t="s">
        <v>3033</v>
      </c>
      <c r="D4078" s="1" t="s">
        <v>19</v>
      </c>
      <c r="E4078" s="12">
        <f>2500*F4078</f>
        <v>1888.4931162175001</v>
      </c>
      <c r="F4078" s="12">
        <f>Systems!D177</f>
        <v>0.75539724648700002</v>
      </c>
      <c r="G4078" s="1" t="s">
        <v>14</v>
      </c>
      <c r="H4078" s="1" t="s">
        <v>469</v>
      </c>
    </row>
    <row r="4079" spans="1:8">
      <c r="A4079" s="1" t="s">
        <v>1612</v>
      </c>
      <c r="B4079" s="1" t="s">
        <v>26</v>
      </c>
      <c r="C4079" s="1" t="s">
        <v>3033</v>
      </c>
      <c r="D4079" s="1" t="s">
        <v>19</v>
      </c>
      <c r="E4079" s="12">
        <f>7500*F4079</f>
        <v>5665.4793486525004</v>
      </c>
      <c r="F4079" s="12">
        <f>Systems!D177</f>
        <v>0.75539724648700002</v>
      </c>
      <c r="G4079" s="1" t="s">
        <v>14</v>
      </c>
      <c r="H4079" s="1" t="s">
        <v>469</v>
      </c>
    </row>
    <row r="4080" spans="1:8">
      <c r="A4080" s="1" t="s">
        <v>1723</v>
      </c>
      <c r="B4080" s="1" t="s">
        <v>26</v>
      </c>
      <c r="C4080" s="1" t="s">
        <v>3033</v>
      </c>
      <c r="D4080" s="1" t="s">
        <v>19</v>
      </c>
      <c r="E4080" s="12">
        <f>F4080/288</f>
        <v>2.6229071058576389E-3</v>
      </c>
      <c r="F4080" s="12">
        <f>Systems!D177</f>
        <v>0.75539724648700002</v>
      </c>
      <c r="G4080" s="1" t="s">
        <v>14</v>
      </c>
      <c r="H4080" s="1" t="s">
        <v>469</v>
      </c>
    </row>
    <row r="4081" spans="1:8">
      <c r="A4081" s="1" t="s">
        <v>1724</v>
      </c>
      <c r="B4081" s="1" t="s">
        <v>26</v>
      </c>
      <c r="C4081" s="1" t="s">
        <v>3033</v>
      </c>
      <c r="D4081" s="1" t="s">
        <v>19</v>
      </c>
      <c r="E4081" s="12">
        <f>F4081/288</f>
        <v>2.6229071058576389E-3</v>
      </c>
      <c r="F4081" s="12">
        <f>Systems!D177</f>
        <v>0.75539724648700002</v>
      </c>
      <c r="G4081" s="1" t="s">
        <v>14</v>
      </c>
      <c r="H4081" s="1" t="s">
        <v>469</v>
      </c>
    </row>
    <row r="4082" spans="1:8">
      <c r="A4082" s="1" t="s">
        <v>1791</v>
      </c>
      <c r="B4082" s="1" t="s">
        <v>26</v>
      </c>
      <c r="C4082" s="1" t="s">
        <v>3033</v>
      </c>
      <c r="D4082" s="1" t="s">
        <v>19</v>
      </c>
      <c r="E4082" s="12">
        <f>F4082/2</f>
        <v>0.37769862324350001</v>
      </c>
      <c r="F4082" s="12">
        <f>Systems!D177</f>
        <v>0.75539724648700002</v>
      </c>
      <c r="G4082" s="1" t="s">
        <v>14</v>
      </c>
      <c r="H4082" s="1" t="s">
        <v>469</v>
      </c>
    </row>
    <row r="4083" spans="1:8">
      <c r="A4083" s="1" t="s">
        <v>1827</v>
      </c>
      <c r="B4083" s="1" t="s">
        <v>26</v>
      </c>
      <c r="C4083" s="1" t="s">
        <v>3033</v>
      </c>
      <c r="D4083" s="1" t="s">
        <v>19</v>
      </c>
      <c r="E4083" s="12">
        <f>F4083/16</f>
        <v>4.7212327905437501E-2</v>
      </c>
      <c r="F4083" s="12">
        <f>Systems!D177</f>
        <v>0.75539724648700002</v>
      </c>
      <c r="G4083" s="1" t="s">
        <v>14</v>
      </c>
      <c r="H4083" s="1" t="s">
        <v>469</v>
      </c>
    </row>
    <row r="4084" spans="1:8">
      <c r="A4084" s="1" t="s">
        <v>1852</v>
      </c>
      <c r="B4084" s="1" t="s">
        <v>26</v>
      </c>
      <c r="C4084" s="1" t="s">
        <v>3033</v>
      </c>
      <c r="D4084" s="1" t="s">
        <v>19</v>
      </c>
      <c r="E4084" s="12">
        <f>F4084/16</f>
        <v>4.7212327905437501E-2</v>
      </c>
      <c r="F4084" s="12">
        <f>Systems!D177</f>
        <v>0.75539724648700002</v>
      </c>
      <c r="G4084" s="1" t="s">
        <v>14</v>
      </c>
      <c r="H4084" s="1" t="s">
        <v>469</v>
      </c>
    </row>
    <row r="4085" spans="1:8">
      <c r="A4085" s="1" t="s">
        <v>1892</v>
      </c>
      <c r="B4085" s="1" t="s">
        <v>26</v>
      </c>
      <c r="C4085" s="1" t="s">
        <v>3033</v>
      </c>
      <c r="D4085" s="1" t="s">
        <v>19</v>
      </c>
      <c r="E4085" s="12">
        <f>6*F4085</f>
        <v>1.8288000000000002</v>
      </c>
      <c r="F4085" s="12">
        <f>Systems!D6</f>
        <v>0.30480000000000002</v>
      </c>
      <c r="G4085" s="1" t="s">
        <v>14</v>
      </c>
      <c r="H4085" s="1" t="s">
        <v>469</v>
      </c>
    </row>
    <row r="4086" spans="1:8">
      <c r="A4086" s="1" t="s">
        <v>2046</v>
      </c>
      <c r="B4086" s="1" t="s">
        <v>26</v>
      </c>
      <c r="C4086" s="1" t="s">
        <v>3033</v>
      </c>
      <c r="D4086" s="1" t="s">
        <v>19</v>
      </c>
      <c r="E4086" s="12">
        <f>300*F4086</f>
        <v>226.61917394610001</v>
      </c>
      <c r="F4086" s="12">
        <f>Systems!D177</f>
        <v>0.75539724648700002</v>
      </c>
      <c r="G4086" s="1" t="s">
        <v>14</v>
      </c>
      <c r="H4086" s="1" t="s">
        <v>469</v>
      </c>
    </row>
    <row r="4087" spans="1:8">
      <c r="A4087" s="1" t="s">
        <v>2047</v>
      </c>
      <c r="B4087" s="1" t="s">
        <v>26</v>
      </c>
      <c r="C4087" s="1" t="s">
        <v>3033</v>
      </c>
      <c r="D4087" s="1" t="s">
        <v>19</v>
      </c>
      <c r="E4087" s="12">
        <f>60000*F4087</f>
        <v>45323.834789220004</v>
      </c>
      <c r="F4087" s="12">
        <f>Systems!D177</f>
        <v>0.75539724648700002</v>
      </c>
      <c r="G4087" s="1" t="s">
        <v>14</v>
      </c>
      <c r="H4087" s="1" t="s">
        <v>469</v>
      </c>
    </row>
    <row r="4088" spans="1:8">
      <c r="A4088" s="1" t="s">
        <v>2137</v>
      </c>
      <c r="B4088" s="1" t="s">
        <v>26</v>
      </c>
      <c r="C4088" s="1" t="s">
        <v>3033</v>
      </c>
      <c r="D4088" s="1" t="s">
        <v>19</v>
      </c>
      <c r="E4088" s="12">
        <f>F4088/3456</f>
        <v>2.1857559215480323E-4</v>
      </c>
      <c r="F4088" s="12">
        <f>Systems!D177</f>
        <v>0.75539724648700002</v>
      </c>
      <c r="G4088" s="1" t="s">
        <v>14</v>
      </c>
      <c r="H4088" s="1" t="s">
        <v>469</v>
      </c>
    </row>
    <row r="4089" spans="1:8">
      <c r="A4089" s="1" t="s">
        <v>2144</v>
      </c>
      <c r="B4089" s="1" t="s">
        <v>26</v>
      </c>
      <c r="C4089" s="1" t="s">
        <v>3033</v>
      </c>
      <c r="D4089" s="1" t="s">
        <v>19</v>
      </c>
      <c r="E4089" s="12">
        <f>F4089/3456</f>
        <v>2.1857559215480323E-4</v>
      </c>
      <c r="F4089" s="12">
        <f>Systems!D177</f>
        <v>0.75539724648700002</v>
      </c>
      <c r="G4089" s="1" t="s">
        <v>14</v>
      </c>
      <c r="H4089" s="1" t="s">
        <v>469</v>
      </c>
    </row>
    <row r="4090" spans="1:8">
      <c r="A4090" s="1" t="s">
        <v>2146</v>
      </c>
      <c r="B4090" s="1" t="s">
        <v>26</v>
      </c>
      <c r="C4090" s="1" t="s">
        <v>3033</v>
      </c>
      <c r="D4090" s="1" t="s">
        <v>19</v>
      </c>
      <c r="E4090" s="12">
        <f>4000*F4090/3</f>
        <v>1007.1963286493334</v>
      </c>
      <c r="F4090" s="12">
        <f>Systems!D177</f>
        <v>0.75539724648700002</v>
      </c>
      <c r="G4090" s="1" t="s">
        <v>14</v>
      </c>
      <c r="H4090" s="1" t="s">
        <v>469</v>
      </c>
    </row>
    <row r="4091" spans="1:8">
      <c r="A4091" s="1" t="s">
        <v>2229</v>
      </c>
      <c r="B4091" s="1" t="s">
        <v>26</v>
      </c>
      <c r="C4091" s="1" t="s">
        <v>3033</v>
      </c>
      <c r="D4091" s="1" t="s">
        <v>19</v>
      </c>
      <c r="E4091" s="12">
        <f>F4091/24</f>
        <v>3.1474885270291665E-2</v>
      </c>
      <c r="F4091" s="12">
        <f>Systems!D177</f>
        <v>0.75539724648700002</v>
      </c>
      <c r="G4091" s="1" t="s">
        <v>14</v>
      </c>
      <c r="H4091" s="1" t="s">
        <v>469</v>
      </c>
    </row>
    <row r="4092" spans="1:8">
      <c r="A4092" s="1" t="s">
        <v>835</v>
      </c>
      <c r="B4092" s="1" t="s">
        <v>26</v>
      </c>
      <c r="C4092" s="1" t="s">
        <v>3033</v>
      </c>
      <c r="D4092" s="1" t="s">
        <v>19</v>
      </c>
      <c r="E4092" s="12">
        <f>F4092</f>
        <v>0.75539724648700002</v>
      </c>
      <c r="F4092" s="12">
        <f>Systems!D177</f>
        <v>0.75539724648700002</v>
      </c>
      <c r="G4092" s="1" t="s">
        <v>14</v>
      </c>
      <c r="H4092" s="1" t="s">
        <v>469</v>
      </c>
    </row>
    <row r="4093" spans="1:8">
      <c r="A4093" s="1" t="s">
        <v>2399</v>
      </c>
      <c r="B4093" s="1" t="s">
        <v>26</v>
      </c>
      <c r="C4093" s="1" t="s">
        <v>3033</v>
      </c>
      <c r="D4093" s="1" t="s">
        <v>19</v>
      </c>
      <c r="E4093" s="12">
        <f>F4093/8</f>
        <v>9.4424655810875002E-2</v>
      </c>
      <c r="F4093" s="12">
        <f>Systems!D177</f>
        <v>0.75539724648700002</v>
      </c>
      <c r="G4093" s="1" t="s">
        <v>14</v>
      </c>
      <c r="H4093" s="1" t="s">
        <v>469</v>
      </c>
    </row>
    <row r="4094" spans="1:8">
      <c r="A4094" s="1" t="s">
        <v>2750</v>
      </c>
      <c r="B4094" s="1" t="s">
        <v>26</v>
      </c>
      <c r="C4094" s="1" t="s">
        <v>3033</v>
      </c>
      <c r="D4094" s="1" t="s">
        <v>19</v>
      </c>
      <c r="E4094" s="12">
        <f>F4094/8</f>
        <v>9.4424655810875002E-2</v>
      </c>
      <c r="F4094" s="12">
        <f>Systems!D177</f>
        <v>0.75539724648700002</v>
      </c>
      <c r="G4094" s="1" t="s">
        <v>14</v>
      </c>
      <c r="H4094" s="1" t="s">
        <v>469</v>
      </c>
    </row>
    <row r="4095" spans="1:8">
      <c r="A4095" s="1" t="s">
        <v>2751</v>
      </c>
      <c r="B4095" s="1" t="s">
        <v>26</v>
      </c>
      <c r="C4095" s="1" t="s">
        <v>3033</v>
      </c>
      <c r="D4095" s="1" t="s">
        <v>19</v>
      </c>
      <c r="E4095" s="12">
        <f>F4095/8</f>
        <v>9.4424655810875002E-2</v>
      </c>
      <c r="F4095" s="12">
        <f>Systems!D177</f>
        <v>0.75539724648700002</v>
      </c>
      <c r="G4095" s="1" t="s">
        <v>14</v>
      </c>
      <c r="H4095" s="1" t="s">
        <v>469</v>
      </c>
    </row>
    <row r="4096" spans="1:8">
      <c r="A4096" s="1" t="s">
        <v>2822</v>
      </c>
      <c r="B4096" s="1" t="s">
        <v>26</v>
      </c>
      <c r="C4096" s="1" t="s">
        <v>3033</v>
      </c>
      <c r="D4096" s="1" t="s">
        <v>19</v>
      </c>
      <c r="E4096" s="12">
        <f>F4096</f>
        <v>0.75539724648700002</v>
      </c>
      <c r="F4096" s="12">
        <f>Systems!D177</f>
        <v>0.75539724648700002</v>
      </c>
      <c r="G4096" s="1" t="s">
        <v>14</v>
      </c>
      <c r="H4096" s="1" t="s">
        <v>469</v>
      </c>
    </row>
    <row r="4097" spans="1:8" ht="16.5">
      <c r="A4097" s="1" t="s">
        <v>1535</v>
      </c>
      <c r="B4097" s="1" t="s">
        <v>26</v>
      </c>
      <c r="C4097" s="1" t="s">
        <v>3034</v>
      </c>
      <c r="D4097" s="1" t="s">
        <v>38</v>
      </c>
      <c r="E4097" s="12">
        <f>F4097</f>
        <v>10000</v>
      </c>
      <c r="F4097" s="12">
        <f>100*10*10</f>
        <v>10000</v>
      </c>
      <c r="G4097" s="1" t="s">
        <v>39</v>
      </c>
      <c r="H4097" s="1" t="s">
        <v>469</v>
      </c>
    </row>
    <row r="4098" spans="1:8" ht="16.5">
      <c r="A4098" s="1" t="s">
        <v>1542</v>
      </c>
      <c r="B4098" s="1" t="s">
        <v>26</v>
      </c>
      <c r="C4098" s="1" t="s">
        <v>3034</v>
      </c>
      <c r="D4098" s="1" t="s">
        <v>38</v>
      </c>
      <c r="E4098" s="12">
        <f>1600*F4098</f>
        <v>913.00000000022635</v>
      </c>
      <c r="F4098" s="12">
        <f>POWER(Systems!D177,2)</f>
        <v>0.57062500000014149</v>
      </c>
      <c r="G4098" s="1" t="s">
        <v>39</v>
      </c>
      <c r="H4098" s="1" t="s">
        <v>469</v>
      </c>
    </row>
    <row r="4099" spans="1:8" ht="16.5">
      <c r="A4099" s="1" t="s">
        <v>5342</v>
      </c>
      <c r="B4099" s="1" t="s">
        <v>26</v>
      </c>
      <c r="C4099" s="1" t="s">
        <v>3034</v>
      </c>
      <c r="D4099" s="1" t="s">
        <v>38</v>
      </c>
      <c r="E4099" s="12">
        <f>1000*F4099</f>
        <v>1000</v>
      </c>
      <c r="F4099" s="12">
        <v>1</v>
      </c>
      <c r="G4099" s="1" t="s">
        <v>39</v>
      </c>
      <c r="H4099" s="1" t="s">
        <v>469</v>
      </c>
    </row>
    <row r="4100" spans="1:8" ht="16.5">
      <c r="A4100" s="1" t="s">
        <v>1565</v>
      </c>
      <c r="B4100" s="1" t="s">
        <v>26</v>
      </c>
      <c r="C4100" s="1" t="s">
        <v>3034</v>
      </c>
      <c r="D4100" s="1" t="s">
        <v>38</v>
      </c>
      <c r="E4100" s="12">
        <f>1600*F4100</f>
        <v>913.00000000022635</v>
      </c>
      <c r="F4100" s="12">
        <f>POWER(Systems!D177,2)</f>
        <v>0.57062500000014149</v>
      </c>
      <c r="G4100" s="1" t="s">
        <v>39</v>
      </c>
      <c r="H4100" s="1" t="s">
        <v>469</v>
      </c>
    </row>
    <row r="4101" spans="1:8" ht="16.5">
      <c r="A4101" s="1" t="s">
        <v>5343</v>
      </c>
      <c r="B4101" s="1" t="s">
        <v>26</v>
      </c>
      <c r="C4101" s="1" t="s">
        <v>3034</v>
      </c>
      <c r="D4101" s="1" t="s">
        <v>38</v>
      </c>
      <c r="E4101" s="12">
        <f>10*F4101</f>
        <v>1000</v>
      </c>
      <c r="F4101" s="12">
        <v>100</v>
      </c>
      <c r="G4101" s="1" t="s">
        <v>39</v>
      </c>
      <c r="H4101" s="1" t="s">
        <v>469</v>
      </c>
    </row>
    <row r="4102" spans="1:8" ht="16.5">
      <c r="A4102" s="1" t="s">
        <v>5344</v>
      </c>
      <c r="B4102" s="1" t="s">
        <v>26</v>
      </c>
      <c r="C4102" s="1" t="s">
        <v>3034</v>
      </c>
      <c r="D4102" s="1" t="s">
        <v>38</v>
      </c>
      <c r="E4102" s="12">
        <f>1600*F4102</f>
        <v>913.00000000022635</v>
      </c>
      <c r="F4102" s="12">
        <f>POWER(Systems!D177,2)</f>
        <v>0.57062500000014149</v>
      </c>
      <c r="G4102" s="1" t="s">
        <v>39</v>
      </c>
      <c r="H4102" s="1" t="s">
        <v>469</v>
      </c>
    </row>
    <row r="4103" spans="1:8" ht="16.5">
      <c r="A4103" s="1" t="s">
        <v>4345</v>
      </c>
      <c r="B4103" s="1" t="s">
        <v>26</v>
      </c>
      <c r="C4103" s="1" t="s">
        <v>3034</v>
      </c>
      <c r="D4103" s="1" t="s">
        <v>38</v>
      </c>
      <c r="E4103" s="12">
        <f>F4103</f>
        <v>0.57062500000014149</v>
      </c>
      <c r="F4103" s="12">
        <f>Systems!H177</f>
        <v>0.57062500000014149</v>
      </c>
      <c r="G4103" s="1" t="s">
        <v>39</v>
      </c>
      <c r="H4103" s="1" t="s">
        <v>469</v>
      </c>
    </row>
    <row r="4104" spans="1:8" ht="16.5">
      <c r="A4104" s="1" t="s">
        <v>4346</v>
      </c>
      <c r="B4104" s="1" t="s">
        <v>26</v>
      </c>
      <c r="C4104" s="1" t="s">
        <v>2936</v>
      </c>
      <c r="D4104" s="1" t="s">
        <v>32</v>
      </c>
      <c r="E4104" s="12">
        <f>F4104</f>
        <v>0.43104855377675128</v>
      </c>
      <c r="F4104" s="12">
        <f>Systems!T177</f>
        <v>0.43104855377675128</v>
      </c>
      <c r="G4104" s="1" t="s">
        <v>33</v>
      </c>
      <c r="H4104" s="1" t="s">
        <v>469</v>
      </c>
    </row>
    <row r="4105" spans="1:8" ht="16.5">
      <c r="A4105" s="1" t="s">
        <v>1404</v>
      </c>
      <c r="B4105" s="1" t="s">
        <v>26</v>
      </c>
      <c r="C4105" s="1" t="s">
        <v>2935</v>
      </c>
      <c r="D4105" s="1" t="s">
        <v>32</v>
      </c>
      <c r="E4105" s="12">
        <f>F4105/40</f>
        <v>2.5000000000000001E-2</v>
      </c>
      <c r="F4105" s="12">
        <f>Systems!P177</f>
        <v>1</v>
      </c>
      <c r="G4105" s="1" t="s">
        <v>33</v>
      </c>
      <c r="H4105" s="1" t="s">
        <v>469</v>
      </c>
    </row>
    <row r="4106" spans="1:8" ht="16.5">
      <c r="A4106" s="1" t="s">
        <v>5345</v>
      </c>
      <c r="B4106" s="1" t="s">
        <v>26</v>
      </c>
      <c r="C4106" s="1" t="s">
        <v>2935</v>
      </c>
      <c r="D4106" s="1" t="s">
        <v>32</v>
      </c>
      <c r="E4106" s="12">
        <f>F4106</f>
        <v>1</v>
      </c>
      <c r="F4106" s="12">
        <f>Systems!P177</f>
        <v>1</v>
      </c>
      <c r="G4106" s="1" t="s">
        <v>33</v>
      </c>
      <c r="H4106" s="1" t="s">
        <v>469</v>
      </c>
    </row>
    <row r="4107" spans="1:8" ht="16.5">
      <c r="A4107" s="1" t="s">
        <v>965</v>
      </c>
      <c r="B4107" s="1" t="s">
        <v>26</v>
      </c>
      <c r="C4107" s="1" t="s">
        <v>2935</v>
      </c>
      <c r="D4107" s="1" t="s">
        <v>32</v>
      </c>
      <c r="E4107" s="12">
        <f>F4107</f>
        <v>0.4</v>
      </c>
      <c r="F4107" s="12">
        <f>Systems!P178</f>
        <v>0.4</v>
      </c>
      <c r="G4107" s="1" t="s">
        <v>33</v>
      </c>
      <c r="H4107" s="1" t="s">
        <v>469</v>
      </c>
    </row>
    <row r="4108" spans="1:8" ht="16.5">
      <c r="A4108" s="1" t="s">
        <v>1842</v>
      </c>
      <c r="B4108" s="1" t="s">
        <v>26</v>
      </c>
      <c r="C4108" s="1" t="s">
        <v>2935</v>
      </c>
      <c r="D4108" s="1" t="s">
        <v>32</v>
      </c>
      <c r="E4108" s="12">
        <f>F4108/10</f>
        <v>0.1</v>
      </c>
      <c r="F4108" s="12">
        <f>Systems!P177</f>
        <v>1</v>
      </c>
      <c r="G4108" s="1" t="s">
        <v>33</v>
      </c>
      <c r="H4108" s="1" t="s">
        <v>469</v>
      </c>
    </row>
    <row r="4109" spans="1:8" ht="16.5">
      <c r="A4109" s="1" t="s">
        <v>2519</v>
      </c>
      <c r="B4109" s="1" t="s">
        <v>26</v>
      </c>
      <c r="C4109" s="1" t="s">
        <v>2935</v>
      </c>
      <c r="D4109" s="1" t="s">
        <v>32</v>
      </c>
      <c r="E4109" s="12">
        <f>37*F4109/40000</f>
        <v>9.2500000000000004E-4</v>
      </c>
      <c r="F4109" s="12">
        <f>Systems!P177</f>
        <v>1</v>
      </c>
      <c r="G4109" s="1" t="s">
        <v>33</v>
      </c>
      <c r="H4109" s="1" t="s">
        <v>469</v>
      </c>
    </row>
    <row r="4110" spans="1:8">
      <c r="A4110" s="1" t="s">
        <v>1274</v>
      </c>
      <c r="B4110" s="1" t="s">
        <v>26</v>
      </c>
      <c r="C4110" s="1" t="s">
        <v>17</v>
      </c>
      <c r="D4110" s="1" t="s">
        <v>20</v>
      </c>
      <c r="E4110" s="12">
        <f>6*F4110</f>
        <v>7.6979999999999995</v>
      </c>
      <c r="F4110" s="12">
        <f>Systems!L177</f>
        <v>1.2829999999999999</v>
      </c>
      <c r="G4110" s="1" t="s">
        <v>23</v>
      </c>
      <c r="H4110" s="1" t="s">
        <v>469</v>
      </c>
    </row>
    <row r="4111" spans="1:8">
      <c r="A4111" s="1" t="s">
        <v>1371</v>
      </c>
      <c r="B4111" s="1" t="s">
        <v>26</v>
      </c>
      <c r="C4111" s="1" t="s">
        <v>17</v>
      </c>
      <c r="D4111" s="1" t="s">
        <v>20</v>
      </c>
      <c r="E4111" s="12">
        <f>176*F4111</f>
        <v>225.80799999999999</v>
      </c>
      <c r="F4111" s="12">
        <f>Systems!L177</f>
        <v>1.2829999999999999</v>
      </c>
      <c r="G4111" s="1" t="s">
        <v>23</v>
      </c>
      <c r="H4111" s="1" t="s">
        <v>469</v>
      </c>
    </row>
    <row r="4112" spans="1:8">
      <c r="A4112" s="1" t="s">
        <v>1379</v>
      </c>
      <c r="B4112" s="1" t="s">
        <v>26</v>
      </c>
      <c r="C4112" s="1" t="s">
        <v>17</v>
      </c>
      <c r="D4112" s="1" t="s">
        <v>20</v>
      </c>
      <c r="E4112" s="12">
        <f>F4112/4</f>
        <v>0.32074999999999998</v>
      </c>
      <c r="F4112" s="12">
        <f>Systems!L177</f>
        <v>1.2829999999999999</v>
      </c>
      <c r="G4112" s="1" t="s">
        <v>23</v>
      </c>
      <c r="H4112" s="1" t="s">
        <v>469</v>
      </c>
    </row>
    <row r="4113" spans="1:8">
      <c r="A4113" s="1" t="s">
        <v>1506</v>
      </c>
      <c r="B4113" s="1" t="s">
        <v>26</v>
      </c>
      <c r="C4113" s="1" t="s">
        <v>17</v>
      </c>
      <c r="D4113" s="1" t="s">
        <v>20</v>
      </c>
      <c r="E4113" s="12">
        <f>F4113/1600</f>
        <v>8.0187499999999996E-4</v>
      </c>
      <c r="F4113" s="12">
        <f>Systems!L177</f>
        <v>1.2829999999999999</v>
      </c>
      <c r="G4113" s="1" t="s">
        <v>23</v>
      </c>
      <c r="H4113" s="1" t="s">
        <v>469</v>
      </c>
    </row>
    <row r="4114" spans="1:8">
      <c r="A4114" s="1" t="s">
        <v>1532</v>
      </c>
      <c r="B4114" s="1" t="s">
        <v>26</v>
      </c>
      <c r="C4114" s="1" t="s">
        <v>17</v>
      </c>
      <c r="D4114" s="1" t="s">
        <v>20</v>
      </c>
      <c r="E4114" s="12">
        <f>F4114/400</f>
        <v>3.2074999999999998E-3</v>
      </c>
      <c r="F4114" s="12">
        <f>Systems!L177</f>
        <v>1.2829999999999999</v>
      </c>
      <c r="G4114" s="1" t="s">
        <v>23</v>
      </c>
      <c r="H4114" s="1" t="s">
        <v>469</v>
      </c>
    </row>
    <row r="4115" spans="1:8">
      <c r="A4115" s="1" t="s">
        <v>1533</v>
      </c>
      <c r="B4115" s="1" t="s">
        <v>26</v>
      </c>
      <c r="C4115" s="1" t="s">
        <v>17</v>
      </c>
      <c r="D4115" s="1" t="s">
        <v>20</v>
      </c>
      <c r="E4115" s="12">
        <f>F4115/400</f>
        <v>3.2074999999999998E-3</v>
      </c>
      <c r="F4115" s="12">
        <f>Systems!L177</f>
        <v>1.2829999999999999</v>
      </c>
      <c r="G4115" s="1" t="s">
        <v>23</v>
      </c>
      <c r="H4115" s="1" t="s">
        <v>469</v>
      </c>
    </row>
    <row r="4116" spans="1:8">
      <c r="A4116" s="1" t="s">
        <v>1548</v>
      </c>
      <c r="B4116" s="1" t="s">
        <v>26</v>
      </c>
      <c r="C4116" s="1" t="s">
        <v>17</v>
      </c>
      <c r="D4116" s="1" t="s">
        <v>20</v>
      </c>
      <c r="E4116" s="12">
        <f>F4116/400</f>
        <v>3.2074999999999998E-3</v>
      </c>
      <c r="F4116" s="12">
        <f>Systems!L177</f>
        <v>1.2829999999999999</v>
      </c>
      <c r="G4116" s="1" t="s">
        <v>23</v>
      </c>
      <c r="H4116" s="1" t="s">
        <v>469</v>
      </c>
    </row>
    <row r="4117" spans="1:8">
      <c r="A4117" s="1" t="s">
        <v>1805</v>
      </c>
      <c r="B4117" s="1" t="s">
        <v>26</v>
      </c>
      <c r="C4117" s="1" t="s">
        <v>17</v>
      </c>
      <c r="D4117" s="1" t="s">
        <v>20</v>
      </c>
      <c r="E4117" s="12">
        <f>44*F4117</f>
        <v>56.451999999999998</v>
      </c>
      <c r="F4117" s="12">
        <f>Systems!L177</f>
        <v>1.2829999999999999</v>
      </c>
      <c r="G4117" s="1" t="s">
        <v>23</v>
      </c>
      <c r="H4117" s="1" t="s">
        <v>469</v>
      </c>
    </row>
    <row r="4118" spans="1:8">
      <c r="A4118" s="1" t="s">
        <v>1810</v>
      </c>
      <c r="B4118" s="1" t="s">
        <v>26</v>
      </c>
      <c r="C4118" s="1" t="s">
        <v>17</v>
      </c>
      <c r="D4118" s="1" t="s">
        <v>20</v>
      </c>
      <c r="E4118" s="12">
        <f>F4118/6400</f>
        <v>2.0046874999999999E-4</v>
      </c>
      <c r="F4118" s="12">
        <f>Systems!L177</f>
        <v>1.2829999999999999</v>
      </c>
      <c r="G4118" s="1" t="s">
        <v>23</v>
      </c>
      <c r="H4118" s="1" t="s">
        <v>469</v>
      </c>
    </row>
    <row r="4119" spans="1:8">
      <c r="A4119" s="1" t="s">
        <v>1853</v>
      </c>
      <c r="B4119" s="1" t="s">
        <v>26</v>
      </c>
      <c r="C4119" s="1" t="s">
        <v>17</v>
      </c>
      <c r="D4119" s="1" t="s">
        <v>20</v>
      </c>
      <c r="E4119" s="12">
        <f>F4119/6400</f>
        <v>2.0046874999999999E-4</v>
      </c>
      <c r="F4119" s="12">
        <f>Systems!L177</f>
        <v>1.2829999999999999</v>
      </c>
      <c r="G4119" s="1" t="s">
        <v>23</v>
      </c>
      <c r="H4119" s="1" t="s">
        <v>469</v>
      </c>
    </row>
    <row r="4120" spans="1:8">
      <c r="A4120" s="1" t="s">
        <v>2087</v>
      </c>
      <c r="C4120" s="1" t="s">
        <v>17</v>
      </c>
      <c r="D4120" s="1" t="s">
        <v>20</v>
      </c>
      <c r="E4120" s="12">
        <f>3*F4120/800</f>
        <v>4.8112499999999996E-3</v>
      </c>
      <c r="F4120" s="12">
        <f>Systems!L177</f>
        <v>1.2829999999999999</v>
      </c>
      <c r="G4120" s="1" t="s">
        <v>23</v>
      </c>
      <c r="H4120" s="1" t="s">
        <v>469</v>
      </c>
    </row>
    <row r="4121" spans="1:8">
      <c r="A4121" s="1" t="s">
        <v>834</v>
      </c>
      <c r="B4121" s="8" t="s">
        <v>26</v>
      </c>
      <c r="C4121" s="1" t="s">
        <v>17</v>
      </c>
      <c r="D4121" s="1" t="s">
        <v>20</v>
      </c>
      <c r="E4121" s="12">
        <f>F4121</f>
        <v>1.2829999999999999</v>
      </c>
      <c r="F4121" s="12">
        <f>Systems!L177</f>
        <v>1.2829999999999999</v>
      </c>
      <c r="G4121" s="1" t="s">
        <v>23</v>
      </c>
      <c r="H4121" s="1" t="s">
        <v>469</v>
      </c>
    </row>
    <row r="4122" spans="1:8">
      <c r="A4122" s="1" t="s">
        <v>2162</v>
      </c>
      <c r="B4122" s="8" t="s">
        <v>26</v>
      </c>
      <c r="C4122" s="1" t="s">
        <v>17</v>
      </c>
      <c r="D4122" s="1" t="s">
        <v>20</v>
      </c>
      <c r="E4122" s="12">
        <f>F4122</f>
        <v>1.2829999999999999</v>
      </c>
      <c r="F4122" s="12">
        <f>Systems!L177</f>
        <v>1.2829999999999999</v>
      </c>
      <c r="G4122" s="1" t="s">
        <v>23</v>
      </c>
      <c r="H4122" s="1" t="s">
        <v>469</v>
      </c>
    </row>
    <row r="4123" spans="1:8">
      <c r="A4123" s="1" t="s">
        <v>907</v>
      </c>
      <c r="B4123" s="1" t="s">
        <v>26</v>
      </c>
      <c r="C4123" s="1" t="s">
        <v>17</v>
      </c>
      <c r="D4123" s="1" t="s">
        <v>20</v>
      </c>
      <c r="E4123" s="12">
        <f>11*F4123/25</f>
        <v>0.56452000000000002</v>
      </c>
      <c r="F4123" s="12">
        <f>Systems!L177</f>
        <v>1.2829999999999999</v>
      </c>
      <c r="G4123" s="1" t="s">
        <v>23</v>
      </c>
      <c r="H4123" s="1" t="s">
        <v>469</v>
      </c>
    </row>
    <row r="4124" spans="1:8">
      <c r="A4124" s="1" t="s">
        <v>2622</v>
      </c>
      <c r="B4124" s="1" t="s">
        <v>26</v>
      </c>
      <c r="C4124" s="1" t="s">
        <v>17</v>
      </c>
      <c r="D4124" s="1" t="s">
        <v>20</v>
      </c>
      <c r="E4124" s="12">
        <f>176*F4124</f>
        <v>225.80799999999999</v>
      </c>
      <c r="F4124" s="12">
        <f>Systems!L177</f>
        <v>1.2829999999999999</v>
      </c>
      <c r="G4124" s="1" t="s">
        <v>23</v>
      </c>
      <c r="H4124" s="1" t="s">
        <v>469</v>
      </c>
    </row>
    <row r="4125" spans="1:8">
      <c r="A4125" s="1" t="s">
        <v>2813</v>
      </c>
      <c r="B4125" s="1" t="s">
        <v>26</v>
      </c>
      <c r="C4125" s="1" t="s">
        <v>17</v>
      </c>
      <c r="D4125" s="1" t="s">
        <v>20</v>
      </c>
      <c r="E4125" s="12">
        <f>F4125/4</f>
        <v>0.32074999999999998</v>
      </c>
      <c r="F4125" s="12">
        <f>Systems!L177</f>
        <v>1.2829999999999999</v>
      </c>
      <c r="G4125" s="1" t="s">
        <v>23</v>
      </c>
      <c r="H4125" s="1" t="s">
        <v>469</v>
      </c>
    </row>
    <row r="4126" spans="1:8">
      <c r="A4126" s="248"/>
      <c r="B4126" s="248"/>
      <c r="C4126" s="248"/>
      <c r="D4126" s="248"/>
      <c r="E4126" s="250"/>
      <c r="F4126" s="250"/>
      <c r="G4126" s="248"/>
      <c r="H4126" s="248"/>
    </row>
    <row r="4127" spans="1:8">
      <c r="A4127" s="1" t="s">
        <v>1205</v>
      </c>
      <c r="B4127" s="1" t="s">
        <v>26</v>
      </c>
      <c r="C4127" s="1" t="s">
        <v>3033</v>
      </c>
      <c r="D4127" s="1" t="s">
        <v>19</v>
      </c>
      <c r="E4127" s="12">
        <f t="shared" ref="E4127:E4132" si="11">F4127</f>
        <v>0.71120000000000005</v>
      </c>
      <c r="F4127" s="12">
        <f>Systems!D179</f>
        <v>0.71120000000000005</v>
      </c>
      <c r="G4127" s="1" t="s">
        <v>14</v>
      </c>
      <c r="H4127" s="1" t="s">
        <v>447</v>
      </c>
    </row>
    <row r="4128" spans="1:8">
      <c r="A4128" s="1" t="s">
        <v>1721</v>
      </c>
      <c r="B4128" s="1" t="s">
        <v>26</v>
      </c>
      <c r="C4128" s="1" t="s">
        <v>3033</v>
      </c>
      <c r="D4128" s="1" t="s">
        <v>19</v>
      </c>
      <c r="E4128" s="12">
        <f t="shared" si="11"/>
        <v>0.71120000000000005</v>
      </c>
      <c r="F4128" s="12">
        <f>Systems!D179</f>
        <v>0.71120000000000005</v>
      </c>
      <c r="G4128" s="1" t="s">
        <v>14</v>
      </c>
      <c r="H4128" s="1" t="s">
        <v>447</v>
      </c>
    </row>
    <row r="4129" spans="1:8" ht="16.5">
      <c r="A4129" s="1" t="s">
        <v>5346</v>
      </c>
      <c r="B4129" s="1" t="s">
        <v>26</v>
      </c>
      <c r="C4129" s="1" t="s">
        <v>3034</v>
      </c>
      <c r="D4129" s="1" t="s">
        <v>38</v>
      </c>
      <c r="E4129" s="12">
        <f t="shared" si="11"/>
        <v>0.50580544000000005</v>
      </c>
      <c r="F4129" s="12">
        <f>Systems!H179</f>
        <v>0.50580544000000005</v>
      </c>
      <c r="G4129" s="1" t="s">
        <v>39</v>
      </c>
      <c r="H4129" s="1" t="s">
        <v>447</v>
      </c>
    </row>
    <row r="4130" spans="1:8" ht="16.5">
      <c r="A4130" s="1" t="s">
        <v>5347</v>
      </c>
      <c r="B4130" s="1" t="s">
        <v>26</v>
      </c>
      <c r="C4130" s="1" t="s">
        <v>2936</v>
      </c>
      <c r="D4130" s="1" t="s">
        <v>32</v>
      </c>
      <c r="E4130" s="12">
        <f t="shared" si="11"/>
        <v>0.35972882892800007</v>
      </c>
      <c r="F4130" s="12">
        <f>Systems!T179</f>
        <v>0.35972882892800007</v>
      </c>
      <c r="G4130" s="1" t="s">
        <v>33</v>
      </c>
      <c r="H4130" s="1" t="s">
        <v>447</v>
      </c>
    </row>
    <row r="4131" spans="1:8" ht="16.5">
      <c r="A4131" s="1" t="s">
        <v>5347</v>
      </c>
      <c r="B4131" s="1" t="s">
        <v>26</v>
      </c>
      <c r="C4131" s="1" t="s">
        <v>2935</v>
      </c>
      <c r="D4131" s="1" t="s">
        <v>32</v>
      </c>
      <c r="E4131" s="12">
        <f t="shared" si="11"/>
        <v>0.35972882892800007</v>
      </c>
      <c r="F4131" s="12">
        <f>Systems!P179</f>
        <v>0.35972882892800007</v>
      </c>
      <c r="G4131" s="1" t="s">
        <v>33</v>
      </c>
      <c r="H4131" s="1" t="s">
        <v>447</v>
      </c>
    </row>
    <row r="4132" spans="1:8">
      <c r="A4132" s="1" t="s">
        <v>1274</v>
      </c>
      <c r="B4132" s="1" t="s">
        <v>26</v>
      </c>
      <c r="C4132" s="1" t="s">
        <v>17</v>
      </c>
      <c r="D4132" s="1" t="s">
        <v>20</v>
      </c>
      <c r="E4132" s="12">
        <f t="shared" si="11"/>
        <v>128</v>
      </c>
      <c r="F4132" s="12">
        <f>Systems!L181</f>
        <v>128</v>
      </c>
      <c r="G4132" s="1" t="s">
        <v>23</v>
      </c>
      <c r="H4132" s="1" t="s">
        <v>447</v>
      </c>
    </row>
    <row r="4133" spans="1:8">
      <c r="A4133" s="1" t="s">
        <v>2081</v>
      </c>
      <c r="B4133" s="1" t="s">
        <v>26</v>
      </c>
      <c r="C4133" s="1" t="s">
        <v>17</v>
      </c>
      <c r="D4133" s="1" t="s">
        <v>20</v>
      </c>
      <c r="E4133" s="12">
        <f>F4133/256</f>
        <v>0.5</v>
      </c>
      <c r="F4133" s="12">
        <f>Systems!L181</f>
        <v>128</v>
      </c>
      <c r="G4133" s="1" t="s">
        <v>23</v>
      </c>
      <c r="H4133" s="1" t="s">
        <v>447</v>
      </c>
    </row>
    <row r="4134" spans="1:8">
      <c r="A4134" s="1" t="s">
        <v>2520</v>
      </c>
      <c r="B4134" s="1" t="s">
        <v>26</v>
      </c>
      <c r="C4134" s="1" t="s">
        <v>17</v>
      </c>
      <c r="D4134" s="1" t="s">
        <v>20</v>
      </c>
      <c r="E4134" s="12">
        <f>F4134/8</f>
        <v>16</v>
      </c>
      <c r="F4134" s="12">
        <f>Systems!L181</f>
        <v>128</v>
      </c>
      <c r="G4134" s="1" t="s">
        <v>23</v>
      </c>
      <c r="H4134" s="1" t="s">
        <v>447</v>
      </c>
    </row>
    <row r="4135" spans="1:8">
      <c r="A4135" s="1" t="s">
        <v>2711</v>
      </c>
      <c r="B4135" s="1" t="s">
        <v>26</v>
      </c>
      <c r="C4135" s="1" t="s">
        <v>17</v>
      </c>
      <c r="D4135" s="1" t="s">
        <v>20</v>
      </c>
      <c r="E4135" s="12">
        <f>F4135/64</f>
        <v>2</v>
      </c>
      <c r="F4135" s="12">
        <f>Systems!L181</f>
        <v>128</v>
      </c>
      <c r="G4135" s="1" t="s">
        <v>23</v>
      </c>
      <c r="H4135" s="1" t="s">
        <v>447</v>
      </c>
    </row>
    <row r="4136" spans="1:8">
      <c r="A4136" s="248"/>
      <c r="B4136" s="248"/>
      <c r="C4136" s="248"/>
      <c r="D4136" s="248"/>
      <c r="E4136" s="250"/>
      <c r="F4136" s="250"/>
      <c r="G4136" s="248"/>
      <c r="H4136" s="248"/>
    </row>
    <row r="4137" spans="1:8">
      <c r="A4137" s="1" t="s">
        <v>1260</v>
      </c>
      <c r="B4137" s="1" t="s">
        <v>26</v>
      </c>
      <c r="C4137" s="1" t="s">
        <v>3033</v>
      </c>
      <c r="D4137" s="1" t="s">
        <v>19</v>
      </c>
      <c r="E4137" s="12">
        <f>F4137/36</f>
        <v>8.4666666666666675E-3</v>
      </c>
      <c r="F4137" s="12">
        <f>Systems!D6</f>
        <v>0.30480000000000002</v>
      </c>
      <c r="G4137" s="1" t="s">
        <v>14</v>
      </c>
      <c r="H4137" s="1" t="s">
        <v>46</v>
      </c>
    </row>
    <row r="4138" spans="1:8">
      <c r="A4138" s="1" t="s">
        <v>1320</v>
      </c>
      <c r="B4138" s="1" t="s">
        <v>485</v>
      </c>
      <c r="C4138" s="1" t="s">
        <v>3033</v>
      </c>
      <c r="D4138" s="1" t="s">
        <v>19</v>
      </c>
      <c r="E4138" s="12">
        <f>16800*3*F4138</f>
        <v>15361.92</v>
      </c>
      <c r="F4138" s="12">
        <f>Systems!D6</f>
        <v>0.30480000000000002</v>
      </c>
      <c r="G4138" s="1" t="s">
        <v>14</v>
      </c>
      <c r="H4138" s="1" t="s">
        <v>46</v>
      </c>
    </row>
    <row r="4139" spans="1:8">
      <c r="A4139" s="1" t="s">
        <v>5348</v>
      </c>
      <c r="B4139" s="1" t="s">
        <v>6300</v>
      </c>
      <c r="C4139" s="1" t="s">
        <v>3033</v>
      </c>
      <c r="D4139" s="1" t="s">
        <v>19</v>
      </c>
      <c r="E4139" s="12">
        <f>11200*3*F4139</f>
        <v>10241.280000000001</v>
      </c>
      <c r="F4139" s="12">
        <f>Systems!D6</f>
        <v>0.30480000000000002</v>
      </c>
      <c r="G4139" s="1" t="s">
        <v>14</v>
      </c>
      <c r="H4139" s="1" t="s">
        <v>46</v>
      </c>
    </row>
    <row r="4140" spans="1:8">
      <c r="A4140" s="1" t="s">
        <v>1326</v>
      </c>
      <c r="B4140" s="1" t="s">
        <v>26</v>
      </c>
      <c r="C4140" s="1" t="s">
        <v>3033</v>
      </c>
      <c r="D4140" s="1" t="s">
        <v>19</v>
      </c>
      <c r="E4140" s="12">
        <f>F4140/144</f>
        <v>2.1166666666666669E-3</v>
      </c>
      <c r="F4140" s="12">
        <f>Systems!D6</f>
        <v>0.30480000000000002</v>
      </c>
      <c r="G4140" s="1" t="s">
        <v>14</v>
      </c>
      <c r="H4140" s="1" t="s">
        <v>46</v>
      </c>
    </row>
    <row r="4141" spans="1:8">
      <c r="A4141" s="1" t="s">
        <v>5349</v>
      </c>
      <c r="B4141" s="1" t="s">
        <v>26</v>
      </c>
      <c r="C4141" s="1" t="s">
        <v>3033</v>
      </c>
      <c r="D4141" s="1" t="s">
        <v>19</v>
      </c>
      <c r="E4141" s="12">
        <f>608*F4141</f>
        <v>185.3184</v>
      </c>
      <c r="F4141" s="12">
        <f>Systems!D6</f>
        <v>0.30480000000000002</v>
      </c>
      <c r="G4141" s="1" t="s">
        <v>14</v>
      </c>
      <c r="H4141" s="1" t="s">
        <v>46</v>
      </c>
    </row>
    <row r="4142" spans="1:8">
      <c r="A4142" s="1" t="s">
        <v>5350</v>
      </c>
      <c r="B4142" s="1" t="s">
        <v>5351</v>
      </c>
      <c r="C4142" s="1" t="s">
        <v>3033</v>
      </c>
      <c r="D4142" s="1" t="s">
        <v>19</v>
      </c>
      <c r="E4142" s="12">
        <f>66*F4142</f>
        <v>20.116800000000001</v>
      </c>
      <c r="F4142" s="12">
        <f>Systems!D6</f>
        <v>0.30480000000000002</v>
      </c>
      <c r="G4142" s="1" t="s">
        <v>14</v>
      </c>
      <c r="H4142" s="1" t="s">
        <v>46</v>
      </c>
    </row>
    <row r="4143" spans="1:8">
      <c r="A4143" s="1" t="s">
        <v>5354</v>
      </c>
      <c r="B4143" s="1" t="s">
        <v>5352</v>
      </c>
      <c r="C4143" s="1" t="s">
        <v>3033</v>
      </c>
      <c r="D4143" s="1" t="s">
        <v>19</v>
      </c>
      <c r="E4143" s="12">
        <f>15*F4143</f>
        <v>4.5720000000000001</v>
      </c>
      <c r="F4143" s="12">
        <f>Systems!D6</f>
        <v>0.30480000000000002</v>
      </c>
      <c r="G4143" s="1" t="s">
        <v>14</v>
      </c>
      <c r="H4143" s="1" t="s">
        <v>46</v>
      </c>
    </row>
    <row r="4144" spans="1:8">
      <c r="A4144" s="1" t="s">
        <v>5355</v>
      </c>
      <c r="B4144" s="1" t="s">
        <v>5353</v>
      </c>
      <c r="C4144" s="1" t="s">
        <v>3033</v>
      </c>
      <c r="D4144" s="1" t="s">
        <v>19</v>
      </c>
      <c r="E4144" s="12">
        <f>66*F4144</f>
        <v>20.116800000000001</v>
      </c>
      <c r="F4144" s="12">
        <f>Systems!D6</f>
        <v>0.30480000000000002</v>
      </c>
      <c r="G4144" s="1" t="s">
        <v>14</v>
      </c>
      <c r="H4144" s="1" t="s">
        <v>46</v>
      </c>
    </row>
    <row r="4145" spans="1:8">
      <c r="A4145" s="1" t="s">
        <v>1421</v>
      </c>
      <c r="B4145" s="1" t="s">
        <v>149</v>
      </c>
      <c r="C4145" s="1" t="s">
        <v>3033</v>
      </c>
      <c r="D4145" s="1" t="s">
        <v>19</v>
      </c>
      <c r="E4145" s="12">
        <f>3*F4145/2</f>
        <v>0.45720000000000005</v>
      </c>
      <c r="F4145" s="12">
        <f>Systems!D6</f>
        <v>0.30480000000000002</v>
      </c>
      <c r="G4145" s="1" t="s">
        <v>14</v>
      </c>
      <c r="H4145" s="1" t="s">
        <v>46</v>
      </c>
    </row>
    <row r="4146" spans="1:8">
      <c r="A4146" s="1" t="s">
        <v>5356</v>
      </c>
      <c r="B4146" s="1" t="s">
        <v>26</v>
      </c>
      <c r="C4146" s="1" t="s">
        <v>3033</v>
      </c>
      <c r="D4146" s="1" t="s">
        <v>19</v>
      </c>
      <c r="E4146" s="12">
        <f>72*F4146</f>
        <v>65.836800000000011</v>
      </c>
      <c r="F4146" s="12">
        <f>3*Systems!D6</f>
        <v>0.9144000000000001</v>
      </c>
      <c r="G4146" s="1" t="s">
        <v>14</v>
      </c>
      <c r="H4146" s="1" t="s">
        <v>46</v>
      </c>
    </row>
    <row r="4147" spans="1:8">
      <c r="A4147" s="1" t="s">
        <v>5357</v>
      </c>
      <c r="B4147" s="1" t="s">
        <v>26</v>
      </c>
      <c r="C4147" s="1" t="s">
        <v>3033</v>
      </c>
      <c r="D4147" s="1" t="s">
        <v>19</v>
      </c>
      <c r="E4147" s="12">
        <f>300*F4147</f>
        <v>274.32000000000005</v>
      </c>
      <c r="F4147" s="12">
        <f>3*Systems!D6</f>
        <v>0.9144000000000001</v>
      </c>
      <c r="G4147" s="1" t="s">
        <v>14</v>
      </c>
      <c r="H4147" s="1" t="s">
        <v>46</v>
      </c>
    </row>
    <row r="4148" spans="1:8">
      <c r="A4148" s="1" t="s">
        <v>5358</v>
      </c>
      <c r="B4148" s="1" t="s">
        <v>26</v>
      </c>
      <c r="C4148" s="1" t="s">
        <v>3033</v>
      </c>
      <c r="D4148" s="1" t="s">
        <v>19</v>
      </c>
      <c r="E4148" s="12">
        <f>140*F4148/3</f>
        <v>42.672000000000004</v>
      </c>
      <c r="F4148" s="12">
        <f>3*Systems!D6</f>
        <v>0.9144000000000001</v>
      </c>
      <c r="G4148" s="1" t="s">
        <v>14</v>
      </c>
      <c r="H4148" s="1" t="s">
        <v>46</v>
      </c>
    </row>
    <row r="4149" spans="1:8">
      <c r="A4149" s="1" t="s">
        <v>1526</v>
      </c>
      <c r="B4149" s="1" t="s">
        <v>26</v>
      </c>
      <c r="C4149" s="1" t="s">
        <v>3033</v>
      </c>
      <c r="D4149" s="1" t="s">
        <v>19</v>
      </c>
      <c r="E4149" s="12">
        <f>3*F4149/4</f>
        <v>1.9050000000000001E-2</v>
      </c>
      <c r="F4149" s="12">
        <f>Systems!D6/12</f>
        <v>2.5400000000000002E-2</v>
      </c>
      <c r="G4149" s="1" t="s">
        <v>14</v>
      </c>
      <c r="H4149" s="1" t="s">
        <v>46</v>
      </c>
    </row>
    <row r="4150" spans="1:8">
      <c r="A4150" s="1" t="s">
        <v>838</v>
      </c>
      <c r="B4150" s="1" t="s">
        <v>26</v>
      </c>
      <c r="C4150" s="1" t="s">
        <v>3033</v>
      </c>
      <c r="D4150" s="1" t="s">
        <v>19</v>
      </c>
      <c r="E4150" s="12">
        <f>37*F4150</f>
        <v>0.93980000000000008</v>
      </c>
      <c r="F4150" s="12">
        <f>Systems!D6/12</f>
        <v>2.5400000000000002E-2</v>
      </c>
      <c r="G4150" s="1" t="s">
        <v>14</v>
      </c>
      <c r="H4150" s="1" t="s">
        <v>46</v>
      </c>
    </row>
    <row r="4151" spans="1:8">
      <c r="A4151" s="1" t="s">
        <v>517</v>
      </c>
      <c r="B4151" s="1" t="s">
        <v>26</v>
      </c>
      <c r="C4151" s="1" t="s">
        <v>3033</v>
      </c>
      <c r="D4151" s="1" t="s">
        <v>19</v>
      </c>
      <c r="E4151" s="12">
        <f>6.5*F4151</f>
        <v>2.293055555555556E-3</v>
      </c>
      <c r="F4151" s="12">
        <f>(Systems!D6/12)/72</f>
        <v>3.5277777777777781E-4</v>
      </c>
      <c r="G4151" s="1" t="s">
        <v>14</v>
      </c>
      <c r="H4151" s="1" t="s">
        <v>46</v>
      </c>
    </row>
    <row r="4152" spans="1:8">
      <c r="A4152" s="1" t="s">
        <v>1590</v>
      </c>
      <c r="B4152" s="1" t="s">
        <v>26</v>
      </c>
      <c r="C4152" s="1" t="s">
        <v>3033</v>
      </c>
      <c r="D4152" s="1" t="s">
        <v>19</v>
      </c>
      <c r="E4152" s="12">
        <f>22.5*F4152</f>
        <v>6.8580000000000005</v>
      </c>
      <c r="F4152" s="12">
        <f>Systems!D6</f>
        <v>0.30480000000000002</v>
      </c>
      <c r="G4152" s="1" t="s">
        <v>14</v>
      </c>
      <c r="H4152" s="1" t="s">
        <v>46</v>
      </c>
    </row>
    <row r="4153" spans="1:8">
      <c r="A4153" s="1" t="s">
        <v>200</v>
      </c>
      <c r="B4153" s="1" t="s">
        <v>6951</v>
      </c>
      <c r="C4153" s="1" t="s">
        <v>3033</v>
      </c>
      <c r="D4153" s="1" t="s">
        <v>19</v>
      </c>
      <c r="E4153" s="12">
        <f>Systems!D6*F4153</f>
        <v>0.30480000000000002</v>
      </c>
      <c r="F4153" s="12">
        <f>SI!E3</f>
        <v>1</v>
      </c>
      <c r="G4153" s="1" t="s">
        <v>14</v>
      </c>
      <c r="H4153" s="1" t="s">
        <v>46</v>
      </c>
    </row>
    <row r="4154" spans="1:8">
      <c r="A4154" s="1" t="s">
        <v>5359</v>
      </c>
      <c r="B4154" s="1" t="s">
        <v>5360</v>
      </c>
      <c r="C4154" s="1" t="s">
        <v>3033</v>
      </c>
      <c r="D4154" s="1" t="s">
        <v>19</v>
      </c>
      <c r="E4154" s="12">
        <f>F4154</f>
        <v>0.30479973476327077</v>
      </c>
      <c r="F4154" s="12">
        <f>Systems!D7</f>
        <v>0.30479973476327077</v>
      </c>
      <c r="G4154" s="1" t="s">
        <v>14</v>
      </c>
      <c r="H4154" s="1" t="s">
        <v>46</v>
      </c>
    </row>
    <row r="4155" spans="1:8">
      <c r="A4155" s="1" t="s">
        <v>1640</v>
      </c>
      <c r="B4155" s="1" t="s">
        <v>6983</v>
      </c>
      <c r="C4155" s="1" t="s">
        <v>3033</v>
      </c>
      <c r="D4155" s="1" t="s">
        <v>19</v>
      </c>
      <c r="E4155" s="12">
        <f>660*F4155</f>
        <v>201.16800000000001</v>
      </c>
      <c r="F4155" s="12">
        <f>Systems!D6</f>
        <v>0.30480000000000002</v>
      </c>
      <c r="G4155" s="1" t="s">
        <v>14</v>
      </c>
      <c r="H4155" s="1" t="s">
        <v>46</v>
      </c>
    </row>
    <row r="4156" spans="1:8">
      <c r="A4156" s="1" t="s">
        <v>1685</v>
      </c>
      <c r="B4156" s="1" t="s">
        <v>26</v>
      </c>
      <c r="C4156" s="1" t="s">
        <v>3033</v>
      </c>
      <c r="D4156" s="1" t="s">
        <v>19</v>
      </c>
      <c r="E4156" s="12">
        <f>54*F4156</f>
        <v>1.3716000000000002</v>
      </c>
      <c r="F4156" s="12">
        <f>Systems!D6/12</f>
        <v>2.5400000000000002E-2</v>
      </c>
      <c r="G4156" s="1" t="s">
        <v>14</v>
      </c>
      <c r="H4156" s="1" t="s">
        <v>46</v>
      </c>
    </row>
    <row r="4157" spans="1:8">
      <c r="A4157" s="1" t="s">
        <v>5361</v>
      </c>
      <c r="B4157" s="1" t="s">
        <v>26</v>
      </c>
      <c r="C4157" s="1" t="s">
        <v>3033</v>
      </c>
      <c r="D4157" s="1" t="s">
        <v>19</v>
      </c>
      <c r="E4157" s="12">
        <f>840*3*F4157</f>
        <v>768.096</v>
      </c>
      <c r="F4157" s="12">
        <f>Systems!D6</f>
        <v>0.30480000000000002</v>
      </c>
      <c r="G4157" s="1" t="s">
        <v>14</v>
      </c>
      <c r="H4157" s="1" t="s">
        <v>46</v>
      </c>
    </row>
    <row r="4158" spans="1:8">
      <c r="A4158" s="1" t="s">
        <v>5362</v>
      </c>
      <c r="B4158" s="1" t="s">
        <v>26</v>
      </c>
      <c r="C4158" s="1" t="s">
        <v>3033</v>
      </c>
      <c r="D4158" s="1" t="s">
        <v>19</v>
      </c>
      <c r="E4158" s="12">
        <f>560*3*F4158</f>
        <v>512.06400000000008</v>
      </c>
      <c r="F4158" s="12">
        <f>Systems!D6</f>
        <v>0.30480000000000002</v>
      </c>
      <c r="G4158" s="1" t="s">
        <v>14</v>
      </c>
      <c r="H4158" s="1" t="s">
        <v>46</v>
      </c>
    </row>
    <row r="4159" spans="1:8">
      <c r="A4159" s="1" t="s">
        <v>1726</v>
      </c>
      <c r="B4159" s="1" t="s">
        <v>231</v>
      </c>
      <c r="C4159" s="1" t="s">
        <v>3033</v>
      </c>
      <c r="D4159" s="1" t="s">
        <v>19</v>
      </c>
      <c r="E4159" s="12"/>
      <c r="G4159" s="1" t="s">
        <v>14</v>
      </c>
      <c r="H4159" s="1" t="s">
        <v>46</v>
      </c>
    </row>
    <row r="4160" spans="1:8">
      <c r="A4160" s="1" t="s">
        <v>5363</v>
      </c>
      <c r="B4160" s="1" t="s">
        <v>26</v>
      </c>
      <c r="C4160" s="1" t="s">
        <v>3033</v>
      </c>
      <c r="D4160" s="1" t="s">
        <v>19</v>
      </c>
      <c r="E4160" s="12">
        <f>600*3*F4160</f>
        <v>548.64</v>
      </c>
      <c r="F4160" s="12">
        <f>Systems!D6</f>
        <v>0.30480000000000002</v>
      </c>
      <c r="G4160" s="1" t="s">
        <v>14</v>
      </c>
      <c r="H4160" s="1" t="s">
        <v>46</v>
      </c>
    </row>
    <row r="4161" spans="1:8">
      <c r="A4161" s="1" t="s">
        <v>245</v>
      </c>
      <c r="B4161" s="1" t="s">
        <v>6952</v>
      </c>
      <c r="C4161" s="1" t="s">
        <v>3033</v>
      </c>
      <c r="D4161" s="1" t="s">
        <v>19</v>
      </c>
      <c r="E4161" s="12">
        <f>Systems!D6*F4161/12</f>
        <v>2.5400000000000002E-2</v>
      </c>
      <c r="F4161" s="12">
        <f>SI!E3</f>
        <v>1</v>
      </c>
      <c r="H4161" s="1" t="s">
        <v>46</v>
      </c>
    </row>
    <row r="4162" spans="1:8">
      <c r="A4162" s="1" t="s">
        <v>5364</v>
      </c>
      <c r="B4162" s="1" t="s">
        <v>5365</v>
      </c>
      <c r="C4162" s="1" t="s">
        <v>3033</v>
      </c>
      <c r="D4162" s="1" t="s">
        <v>19</v>
      </c>
      <c r="E4162" s="12">
        <f>0.02539998*F4162</f>
        <v>2.5399979999999999E-2</v>
      </c>
      <c r="F4162" s="12">
        <f>SI!E3</f>
        <v>1</v>
      </c>
      <c r="G4162" s="1" t="s">
        <v>14</v>
      </c>
      <c r="H4162" s="1" t="s">
        <v>46</v>
      </c>
    </row>
    <row r="4163" spans="1:8">
      <c r="A4163" s="1" t="s">
        <v>1769</v>
      </c>
      <c r="B4163" s="1" t="s">
        <v>26</v>
      </c>
      <c r="C4163" s="1" t="s">
        <v>3033</v>
      </c>
      <c r="D4163" s="1" t="s">
        <v>19</v>
      </c>
      <c r="E4163" s="12">
        <f>F4163/48</f>
        <v>5.2916666666666672E-4</v>
      </c>
      <c r="F4163" s="12">
        <f>Systems!D6/12</f>
        <v>2.5400000000000002E-2</v>
      </c>
      <c r="G4163" s="1" t="s">
        <v>14</v>
      </c>
      <c r="H4163" s="1" t="s">
        <v>46</v>
      </c>
    </row>
    <row r="4164" spans="1:8">
      <c r="A4164" s="1" t="s">
        <v>1930</v>
      </c>
      <c r="B4164" s="1" t="s">
        <v>26</v>
      </c>
      <c r="C4164" s="1" t="s">
        <v>3033</v>
      </c>
      <c r="D4164" s="1" t="s">
        <v>19</v>
      </c>
      <c r="E4164" s="12">
        <f>1320*F4164</f>
        <v>402.33600000000001</v>
      </c>
      <c r="F4164" s="12">
        <f>Systems!D6</f>
        <v>0.30480000000000002</v>
      </c>
      <c r="G4164" s="1" t="s">
        <v>14</v>
      </c>
      <c r="H4164" s="1" t="s">
        <v>46</v>
      </c>
    </row>
    <row r="4165" spans="1:8">
      <c r="A4165" s="1" t="s">
        <v>1817</v>
      </c>
      <c r="B4165" s="1" t="s">
        <v>26</v>
      </c>
      <c r="C4165" s="1" t="s">
        <v>3033</v>
      </c>
      <c r="D4165" s="1" t="s">
        <v>19</v>
      </c>
      <c r="E4165" s="12">
        <f>360*F4165</f>
        <v>109.72800000000001</v>
      </c>
      <c r="F4165" s="12">
        <f>Systems!D6</f>
        <v>0.30480000000000002</v>
      </c>
      <c r="G4165" s="1" t="s">
        <v>14</v>
      </c>
      <c r="H4165" s="1" t="s">
        <v>46</v>
      </c>
    </row>
    <row r="4166" spans="1:8">
      <c r="A4166" s="1" t="s">
        <v>5366</v>
      </c>
      <c r="B4166" s="1" t="s">
        <v>26</v>
      </c>
      <c r="C4166" s="1" t="s">
        <v>3033</v>
      </c>
      <c r="D4166" s="1" t="s">
        <v>19</v>
      </c>
      <c r="E4166" s="12">
        <f>120*F4166</f>
        <v>109.72800000000001</v>
      </c>
      <c r="F4166" s="12">
        <f>3*Systems!D6</f>
        <v>0.9144000000000001</v>
      </c>
      <c r="G4166" s="1" t="s">
        <v>14</v>
      </c>
      <c r="H4166" s="1" t="s">
        <v>46</v>
      </c>
    </row>
    <row r="4167" spans="1:8">
      <c r="A4167" s="1" t="s">
        <v>5367</v>
      </c>
      <c r="B4167" s="1" t="s">
        <v>26</v>
      </c>
      <c r="C4167" s="1" t="s">
        <v>3033</v>
      </c>
      <c r="D4167" s="1" t="s">
        <v>19</v>
      </c>
      <c r="E4167" s="12">
        <f>300*F4167</f>
        <v>274.32000000000005</v>
      </c>
      <c r="F4167" s="12">
        <f>3*Systems!D6</f>
        <v>0.9144000000000001</v>
      </c>
      <c r="G4167" s="1" t="s">
        <v>14</v>
      </c>
      <c r="H4167" s="1" t="s">
        <v>46</v>
      </c>
    </row>
    <row r="4168" spans="1:8">
      <c r="A4168" s="1" t="s">
        <v>5368</v>
      </c>
      <c r="B4168" s="1" t="s">
        <v>26</v>
      </c>
      <c r="C4168" s="1" t="s">
        <v>3033</v>
      </c>
      <c r="D4168" s="1" t="s">
        <v>19</v>
      </c>
      <c r="E4168" s="12">
        <f>80*F4168</f>
        <v>73.152000000000015</v>
      </c>
      <c r="F4168" s="12">
        <f>3*Systems!D6</f>
        <v>0.9144000000000001</v>
      </c>
      <c r="G4168" s="1" t="s">
        <v>14</v>
      </c>
      <c r="H4168" s="1" t="s">
        <v>46</v>
      </c>
    </row>
    <row r="4169" spans="1:8">
      <c r="A4169" s="1" t="s">
        <v>1938</v>
      </c>
      <c r="B4169" s="1" t="s">
        <v>1939</v>
      </c>
      <c r="C4169" s="1" t="s">
        <v>3033</v>
      </c>
      <c r="D4169" s="1" t="s">
        <v>19</v>
      </c>
      <c r="E4169" s="12">
        <f>6080*F4169</f>
        <v>5559.5520000000006</v>
      </c>
      <c r="F4169" s="12">
        <f>3*Systems!D6</f>
        <v>0.9144000000000001</v>
      </c>
      <c r="G4169" s="1" t="s">
        <v>14</v>
      </c>
      <c r="H4169" s="1" t="s">
        <v>46</v>
      </c>
    </row>
    <row r="4170" spans="1:8">
      <c r="A4170" s="1" t="s">
        <v>255</v>
      </c>
      <c r="B4170" s="1" t="s">
        <v>26</v>
      </c>
      <c r="C4170" s="1" t="s">
        <v>3033</v>
      </c>
      <c r="D4170" s="1" t="s">
        <v>19</v>
      </c>
      <c r="E4170" s="12">
        <f>F4170/144</f>
        <v>2.1166666666666669E-3</v>
      </c>
      <c r="F4170" s="12">
        <f>Systems!D6</f>
        <v>0.30480000000000002</v>
      </c>
      <c r="G4170" s="1" t="s">
        <v>14</v>
      </c>
      <c r="H4170" s="1" t="s">
        <v>46</v>
      </c>
    </row>
    <row r="4171" spans="1:8">
      <c r="A4171" s="1" t="s">
        <v>5369</v>
      </c>
      <c r="B4171" s="1" t="s">
        <v>26</v>
      </c>
      <c r="C4171" s="1" t="s">
        <v>3033</v>
      </c>
      <c r="D4171" s="1" t="s">
        <v>19</v>
      </c>
      <c r="E4171" s="12">
        <f>F4171/100</f>
        <v>0.20116800000000001</v>
      </c>
      <c r="F4171" s="12">
        <f>66*Systems!D6</f>
        <v>20.116800000000001</v>
      </c>
      <c r="G4171" s="1" t="s">
        <v>14</v>
      </c>
      <c r="H4171" s="1" t="s">
        <v>46</v>
      </c>
    </row>
    <row r="4172" spans="1:8">
      <c r="A4172" s="1" t="s">
        <v>5370</v>
      </c>
      <c r="B4172" s="1" t="s">
        <v>26</v>
      </c>
      <c r="C4172" s="1" t="s">
        <v>3033</v>
      </c>
      <c r="D4172" s="1" t="s">
        <v>19</v>
      </c>
      <c r="E4172" s="12">
        <f>F4172/100</f>
        <v>0.20116800000000001</v>
      </c>
      <c r="F4172" s="12">
        <f>66*Systems!D6</f>
        <v>20.116800000000001</v>
      </c>
      <c r="G4172" s="1" t="s">
        <v>14</v>
      </c>
      <c r="H4172" s="1" t="s">
        <v>46</v>
      </c>
    </row>
    <row r="4173" spans="1:8">
      <c r="A4173" s="1" t="s">
        <v>1484</v>
      </c>
      <c r="B4173" s="1" t="s">
        <v>6997</v>
      </c>
      <c r="C4173" s="1" t="s">
        <v>3033</v>
      </c>
      <c r="D4173" s="1" t="s">
        <v>19</v>
      </c>
      <c r="E4173" s="12">
        <f>5280*F4173</f>
        <v>1609.3440000000001</v>
      </c>
      <c r="F4173" s="12">
        <f>Systems!D6</f>
        <v>0.30480000000000002</v>
      </c>
      <c r="G4173" s="1" t="s">
        <v>14</v>
      </c>
      <c r="H4173" s="1" t="s">
        <v>46</v>
      </c>
    </row>
    <row r="4174" spans="1:8">
      <c r="A4174" s="1" t="s">
        <v>5371</v>
      </c>
      <c r="B4174" s="1" t="s">
        <v>26</v>
      </c>
      <c r="C4174" s="1" t="s">
        <v>3033</v>
      </c>
      <c r="D4174" s="1" t="s">
        <v>19</v>
      </c>
      <c r="E4174" s="12">
        <f>5000*F4174</f>
        <v>1524</v>
      </c>
      <c r="F4174" s="12">
        <f>Systems!D6</f>
        <v>0.30480000000000002</v>
      </c>
      <c r="G4174" s="1" t="s">
        <v>14</v>
      </c>
      <c r="H4174" s="1" t="s">
        <v>46</v>
      </c>
    </row>
    <row r="4175" spans="1:8">
      <c r="A4175" s="1" t="s">
        <v>5372</v>
      </c>
      <c r="B4175" s="1" t="s">
        <v>5373</v>
      </c>
      <c r="C4175" s="1" t="s">
        <v>3033</v>
      </c>
      <c r="D4175" s="1" t="s">
        <v>19</v>
      </c>
      <c r="E4175" s="12">
        <f>6080*F4175</f>
        <v>1853.1840000000002</v>
      </c>
      <c r="F4175" s="12">
        <f>Systems!D6</f>
        <v>0.30480000000000002</v>
      </c>
      <c r="G4175" s="1" t="s">
        <v>14</v>
      </c>
      <c r="H4175" s="1" t="s">
        <v>46</v>
      </c>
    </row>
    <row r="4176" spans="1:8">
      <c r="A4176" s="1" t="s">
        <v>5374</v>
      </c>
      <c r="B4176" s="1" t="s">
        <v>26</v>
      </c>
      <c r="C4176" s="1" t="s">
        <v>3033</v>
      </c>
      <c r="D4176" s="1" t="s">
        <v>19</v>
      </c>
      <c r="E4176" s="12">
        <f>6085.898*F4176</f>
        <v>1854.9817104000001</v>
      </c>
      <c r="F4176" s="12">
        <f>Systems!D6</f>
        <v>0.30480000000000002</v>
      </c>
      <c r="G4176" s="1" t="s">
        <v>14</v>
      </c>
      <c r="H4176" s="1" t="s">
        <v>46</v>
      </c>
    </row>
    <row r="4177" spans="1:8">
      <c r="A4177" s="1" t="s">
        <v>303</v>
      </c>
      <c r="B4177" s="1" t="s">
        <v>26</v>
      </c>
      <c r="C4177" s="1" t="s">
        <v>3033</v>
      </c>
      <c r="D4177" s="1" t="s">
        <v>19</v>
      </c>
      <c r="E4177" s="12">
        <f>F4177/1000</f>
        <v>2.5400000000000001E-5</v>
      </c>
      <c r="F4177" s="12">
        <f>Systems!D6/12</f>
        <v>2.5400000000000002E-2</v>
      </c>
      <c r="G4177" s="1" t="s">
        <v>14</v>
      </c>
      <c r="H4177" s="1" t="s">
        <v>46</v>
      </c>
    </row>
    <row r="4178" spans="1:8">
      <c r="A4178" s="1" t="s">
        <v>2119</v>
      </c>
      <c r="B4178" s="1" t="s">
        <v>26</v>
      </c>
      <c r="C4178" s="1" t="s">
        <v>3033</v>
      </c>
      <c r="D4178" s="1" t="s">
        <v>19</v>
      </c>
      <c r="E4178" s="12">
        <f>9*F4178/4</f>
        <v>5.7150000000000006E-2</v>
      </c>
      <c r="F4178" s="12">
        <f>Systems!D6/12</f>
        <v>2.5400000000000002E-2</v>
      </c>
      <c r="G4178" s="1" t="s">
        <v>14</v>
      </c>
      <c r="H4178" s="1" t="s">
        <v>46</v>
      </c>
    </row>
    <row r="4179" spans="1:8">
      <c r="A4179" s="1" t="s">
        <v>4813</v>
      </c>
      <c r="B4179" s="1" t="s">
        <v>6989</v>
      </c>
      <c r="C4179" s="1" t="s">
        <v>3033</v>
      </c>
      <c r="D4179" s="1" t="s">
        <v>19</v>
      </c>
      <c r="E4179" s="12">
        <f>6080*F4179</f>
        <v>1853.1840000000002</v>
      </c>
      <c r="F4179" s="12">
        <f>Systems!D6</f>
        <v>0.30480000000000002</v>
      </c>
      <c r="G4179" s="1" t="s">
        <v>14</v>
      </c>
      <c r="H4179" s="1" t="s">
        <v>46</v>
      </c>
    </row>
    <row r="4180" spans="1:8">
      <c r="A4180" s="1" t="s">
        <v>5375</v>
      </c>
      <c r="B4180" s="1" t="s">
        <v>26</v>
      </c>
      <c r="C4180" s="1" t="s">
        <v>3033</v>
      </c>
      <c r="D4180" s="1" t="s">
        <v>19</v>
      </c>
      <c r="E4180" s="12">
        <f>F4180/64</f>
        <v>3.9687500000000004E-4</v>
      </c>
      <c r="F4180" s="12">
        <f>Systems!D6/12</f>
        <v>2.5400000000000002E-2</v>
      </c>
      <c r="G4180" s="1" t="s">
        <v>14</v>
      </c>
      <c r="H4180" s="1" t="s">
        <v>46</v>
      </c>
    </row>
    <row r="4181" spans="1:8">
      <c r="A4181" s="1" t="s">
        <v>1284</v>
      </c>
      <c r="B4181" s="1" t="s">
        <v>26</v>
      </c>
      <c r="C4181" s="1" t="s">
        <v>3033</v>
      </c>
      <c r="D4181" s="1" t="s">
        <v>19</v>
      </c>
      <c r="E4181" s="12">
        <f>2.5*F4181</f>
        <v>0.76200000000000001</v>
      </c>
      <c r="F4181" s="12">
        <f>Systems!D6</f>
        <v>0.30480000000000002</v>
      </c>
      <c r="G4181" s="1" t="s">
        <v>14</v>
      </c>
      <c r="H4181" s="1" t="s">
        <v>46</v>
      </c>
    </row>
    <row r="4182" spans="1:8">
      <c r="A4182" s="1" t="s">
        <v>1334</v>
      </c>
      <c r="B4182" s="1" t="s">
        <v>316</v>
      </c>
      <c r="C4182" s="1" t="s">
        <v>3033</v>
      </c>
      <c r="D4182" s="1" t="s">
        <v>19</v>
      </c>
      <c r="E4182" s="12">
        <f>3*F4182</f>
        <v>7.6200000000000004E-2</v>
      </c>
      <c r="F4182" s="12">
        <f>Systems!D6/12</f>
        <v>2.5400000000000002E-2</v>
      </c>
      <c r="G4182" s="1" t="s">
        <v>14</v>
      </c>
      <c r="H4182" s="1" t="s">
        <v>46</v>
      </c>
    </row>
    <row r="4183" spans="1:8">
      <c r="A4183" s="1" t="s">
        <v>5376</v>
      </c>
      <c r="B4183" s="1" t="s">
        <v>26</v>
      </c>
      <c r="C4183" s="1" t="s">
        <v>3033</v>
      </c>
      <c r="D4183" s="1" t="s">
        <v>19</v>
      </c>
      <c r="E4183" s="12">
        <f>F4183/100</f>
        <v>2.5400000000000005E-4</v>
      </c>
      <c r="F4183" s="12">
        <f>Systems!D6/12</f>
        <v>2.5400000000000002E-2</v>
      </c>
      <c r="G4183" s="1" t="s">
        <v>14</v>
      </c>
      <c r="H4183" s="1" t="s">
        <v>46</v>
      </c>
    </row>
    <row r="4184" spans="1:8">
      <c r="A4184" s="1" t="s">
        <v>990</v>
      </c>
      <c r="B4184" s="1" t="s">
        <v>545</v>
      </c>
      <c r="C4184" s="1" t="s">
        <v>3033</v>
      </c>
      <c r="D4184" s="1" t="s">
        <v>19</v>
      </c>
      <c r="E4184" s="12">
        <f>F4184/144</f>
        <v>1.7638888888888891E-4</v>
      </c>
      <c r="F4184" s="12">
        <f>Systems!D6/12</f>
        <v>2.5400000000000002E-2</v>
      </c>
      <c r="G4184" s="1" t="s">
        <v>14</v>
      </c>
      <c r="H4184" s="1" t="s">
        <v>46</v>
      </c>
    </row>
    <row r="4185" spans="1:8">
      <c r="A4185" s="1" t="s">
        <v>5377</v>
      </c>
      <c r="B4185" s="1" t="s">
        <v>26</v>
      </c>
      <c r="C4185" s="1" t="s">
        <v>3033</v>
      </c>
      <c r="D4185" s="1" t="s">
        <v>19</v>
      </c>
      <c r="E4185" s="12">
        <f>F4185</f>
        <v>2.5399999999999999E-2</v>
      </c>
      <c r="F4185" s="12">
        <f>144*POWER(Systems!D6/12,3)/POWER(Systems!D6,2)</f>
        <v>2.5399999999999999E-2</v>
      </c>
      <c r="G4185" s="1" t="s">
        <v>14</v>
      </c>
      <c r="H4185" s="1" t="s">
        <v>46</v>
      </c>
    </row>
    <row r="4186" spans="1:8">
      <c r="A4186" s="1" t="s">
        <v>5378</v>
      </c>
      <c r="B4186" s="1" t="s">
        <v>26</v>
      </c>
      <c r="C4186" s="1" t="s">
        <v>3033</v>
      </c>
      <c r="D4186" s="1" t="s">
        <v>19</v>
      </c>
      <c r="E4186" s="12">
        <f>F4186</f>
        <v>0.22860000000000003</v>
      </c>
      <c r="F4186" s="12">
        <f>3*Systems!D6/4</f>
        <v>0.22860000000000003</v>
      </c>
      <c r="G4186" s="1" t="s">
        <v>14</v>
      </c>
      <c r="H4186" s="1" t="s">
        <v>46</v>
      </c>
    </row>
    <row r="4187" spans="1:8">
      <c r="A4187" s="1" t="s">
        <v>2394</v>
      </c>
      <c r="B4187" s="1" t="s">
        <v>26</v>
      </c>
      <c r="C4187" s="1" t="s">
        <v>3033</v>
      </c>
      <c r="D4187" s="1" t="s">
        <v>19</v>
      </c>
      <c r="E4187" s="12">
        <f>20*F4187</f>
        <v>6.0960000000000001</v>
      </c>
      <c r="F4187" s="12">
        <f>Systems!D6</f>
        <v>0.30480000000000002</v>
      </c>
      <c r="G4187" s="1" t="s">
        <v>14</v>
      </c>
      <c r="H4187" s="1" t="s">
        <v>46</v>
      </c>
    </row>
    <row r="4188" spans="1:8">
      <c r="A4188" s="1" t="s">
        <v>5379</v>
      </c>
      <c r="B4188" s="1" t="s">
        <v>26</v>
      </c>
      <c r="C4188" s="1" t="s">
        <v>3033</v>
      </c>
      <c r="D4188" s="1" t="s">
        <v>19</v>
      </c>
      <c r="E4188" s="12">
        <f>5.5*F4188</f>
        <v>1.940277777777778E-3</v>
      </c>
      <c r="F4188" s="12">
        <f>Systems!D6/(12*72)</f>
        <v>3.5277777777777781E-4</v>
      </c>
      <c r="G4188" s="1" t="s">
        <v>14</v>
      </c>
      <c r="H4188" s="1" t="s">
        <v>46</v>
      </c>
    </row>
    <row r="4189" spans="1:8">
      <c r="A4189" s="1" t="s">
        <v>2494</v>
      </c>
      <c r="B4189" s="1" t="s">
        <v>26</v>
      </c>
      <c r="C4189" s="1" t="s">
        <v>3033</v>
      </c>
      <c r="D4189" s="1" t="s">
        <v>19</v>
      </c>
      <c r="E4189" s="12">
        <f>90*F4189</f>
        <v>27.432000000000002</v>
      </c>
      <c r="F4189" s="12">
        <f>Systems!D6</f>
        <v>0.30480000000000002</v>
      </c>
      <c r="G4189" s="1" t="s">
        <v>14</v>
      </c>
      <c r="H4189" s="1" t="s">
        <v>46</v>
      </c>
    </row>
    <row r="4190" spans="1:8">
      <c r="A4190" s="1" t="s">
        <v>5380</v>
      </c>
      <c r="B4190" s="1" t="s">
        <v>26</v>
      </c>
      <c r="C4190" s="1" t="s">
        <v>3033</v>
      </c>
      <c r="D4190" s="1" t="s">
        <v>19</v>
      </c>
      <c r="E4190" s="12">
        <f>F4190/2</f>
        <v>0.15240000000000001</v>
      </c>
      <c r="F4190" s="12">
        <f>Systems!D6</f>
        <v>0.30480000000000002</v>
      </c>
      <c r="G4190" s="1" t="s">
        <v>14</v>
      </c>
      <c r="H4190" s="1" t="s">
        <v>46</v>
      </c>
    </row>
    <row r="4191" spans="1:8">
      <c r="A4191" s="1" t="s">
        <v>595</v>
      </c>
      <c r="B4191" s="1" t="s">
        <v>26</v>
      </c>
      <c r="C4191" s="1" t="s">
        <v>3033</v>
      </c>
      <c r="D4191" s="1" t="s">
        <v>19</v>
      </c>
      <c r="E4191" s="12">
        <f>0.15*F4191</f>
        <v>0.15</v>
      </c>
      <c r="F4191" s="12">
        <f>SI!E3</f>
        <v>1</v>
      </c>
      <c r="G4191" s="1" t="s">
        <v>14</v>
      </c>
      <c r="H4191" s="1" t="s">
        <v>46</v>
      </c>
    </row>
    <row r="4192" spans="1:8">
      <c r="A4192" s="1" t="s">
        <v>386</v>
      </c>
      <c r="B4192" s="1" t="s">
        <v>26</v>
      </c>
      <c r="C4192" s="1" t="s">
        <v>3033</v>
      </c>
      <c r="D4192" s="1" t="s">
        <v>19</v>
      </c>
      <c r="E4192" s="12">
        <f>360*F4192</f>
        <v>109.72800000000001</v>
      </c>
      <c r="F4192" s="12">
        <f>Systems!D6</f>
        <v>0.30480000000000002</v>
      </c>
      <c r="G4192" s="1" t="s">
        <v>14</v>
      </c>
      <c r="H4192" s="1" t="s">
        <v>46</v>
      </c>
    </row>
    <row r="4193" spans="1:8">
      <c r="A4193" s="1" t="s">
        <v>5381</v>
      </c>
      <c r="B4193" s="1" t="s">
        <v>26</v>
      </c>
      <c r="C4193" s="1" t="s">
        <v>3033</v>
      </c>
      <c r="D4193" s="1" t="s">
        <v>19</v>
      </c>
      <c r="E4193" s="12">
        <f>15120*F4193</f>
        <v>13825.728000000001</v>
      </c>
      <c r="F4193" s="12">
        <f>3*Systems!D6</f>
        <v>0.9144000000000001</v>
      </c>
      <c r="G4193" s="1" t="s">
        <v>14</v>
      </c>
      <c r="H4193" s="1" t="s">
        <v>46</v>
      </c>
    </row>
    <row r="4194" spans="1:8">
      <c r="A4194" s="1" t="s">
        <v>5382</v>
      </c>
      <c r="B4194" s="1" t="s">
        <v>26</v>
      </c>
      <c r="C4194" s="1" t="s">
        <v>3033</v>
      </c>
      <c r="D4194" s="1" t="s">
        <v>19</v>
      </c>
      <c r="E4194" s="12">
        <f>14400*F4194</f>
        <v>13167.36</v>
      </c>
      <c r="F4194" s="12">
        <f>3*Systems!D6</f>
        <v>0.9144000000000001</v>
      </c>
      <c r="G4194" s="1" t="s">
        <v>14</v>
      </c>
      <c r="H4194" s="1" t="s">
        <v>46</v>
      </c>
    </row>
    <row r="4195" spans="1:8">
      <c r="A4195" s="1" t="s">
        <v>2575</v>
      </c>
      <c r="B4195" s="1" t="s">
        <v>26</v>
      </c>
      <c r="C4195" s="1" t="s">
        <v>3033</v>
      </c>
      <c r="D4195" s="1" t="s">
        <v>19</v>
      </c>
      <c r="E4195" s="12">
        <f>30*F4195</f>
        <v>0.76200000000000012</v>
      </c>
      <c r="F4195" s="12">
        <f>Systems!D6/12</f>
        <v>2.5400000000000002E-2</v>
      </c>
      <c r="G4195" s="1" t="s">
        <v>14</v>
      </c>
      <c r="H4195" s="1" t="s">
        <v>46</v>
      </c>
    </row>
    <row r="4196" spans="1:8">
      <c r="A4196" s="1" t="s">
        <v>5383</v>
      </c>
      <c r="B4196" s="1" t="s">
        <v>26</v>
      </c>
      <c r="C4196" s="1" t="s">
        <v>3033</v>
      </c>
      <c r="D4196" s="1" t="s">
        <v>19</v>
      </c>
      <c r="E4196" s="12">
        <f>6500*F4196</f>
        <v>6500</v>
      </c>
      <c r="F4196" s="12">
        <f>SI!E3</f>
        <v>1</v>
      </c>
      <c r="G4196" s="1" t="s">
        <v>14</v>
      </c>
      <c r="H4196" s="1" t="s">
        <v>46</v>
      </c>
    </row>
    <row r="4197" spans="1:8">
      <c r="A4197" s="1" t="s">
        <v>5384</v>
      </c>
      <c r="B4197" s="1" t="s">
        <v>26</v>
      </c>
      <c r="C4197" s="1" t="s">
        <v>3033</v>
      </c>
      <c r="D4197" s="1" t="s">
        <v>19</v>
      </c>
      <c r="E4197" s="12">
        <f>5000*F4197</f>
        <v>5000</v>
      </c>
      <c r="F4197" s="12">
        <f>SI!E3</f>
        <v>1</v>
      </c>
      <c r="G4197" s="1" t="s">
        <v>14</v>
      </c>
      <c r="H4197" s="1" t="s">
        <v>46</v>
      </c>
    </row>
    <row r="4198" spans="1:8">
      <c r="A4198" s="1" t="s">
        <v>5385</v>
      </c>
      <c r="B4198" s="1" t="s">
        <v>26</v>
      </c>
      <c r="C4198" s="1" t="s">
        <v>3033</v>
      </c>
      <c r="D4198" s="1" t="s">
        <v>19</v>
      </c>
      <c r="E4198" s="12">
        <f>4828*F4198</f>
        <v>4828</v>
      </c>
      <c r="F4198" s="12">
        <f>SI!E3</f>
        <v>1</v>
      </c>
      <c r="G4198" s="1" t="s">
        <v>14</v>
      </c>
      <c r="H4198" s="1" t="s">
        <v>46</v>
      </c>
    </row>
    <row r="4199" spans="1:8">
      <c r="A4199" s="1" t="s">
        <v>2796</v>
      </c>
      <c r="B4199" s="1" t="s">
        <v>26</v>
      </c>
      <c r="C4199" s="1" t="s">
        <v>3033</v>
      </c>
      <c r="D4199" s="1" t="s">
        <v>19</v>
      </c>
      <c r="E4199" s="12">
        <f>240*F4199</f>
        <v>73.152000000000001</v>
      </c>
      <c r="F4199" s="12">
        <f>Systems!D6</f>
        <v>0.30480000000000002</v>
      </c>
      <c r="G4199" s="1" t="s">
        <v>14</v>
      </c>
      <c r="H4199" s="1" t="s">
        <v>46</v>
      </c>
    </row>
    <row r="4200" spans="1:8">
      <c r="A4200" s="1" t="s">
        <v>5386</v>
      </c>
      <c r="B4200" s="1" t="s">
        <v>6301</v>
      </c>
      <c r="C4200" s="1" t="s">
        <v>3033</v>
      </c>
      <c r="D4200" s="1" t="s">
        <v>19</v>
      </c>
      <c r="E4200" s="12">
        <f>3*F4200</f>
        <v>0.91439920428981236</v>
      </c>
      <c r="F4200" s="12">
        <f>Systems!D7</f>
        <v>0.30479973476327077</v>
      </c>
      <c r="G4200" s="1" t="s">
        <v>14</v>
      </c>
      <c r="H4200" s="1" t="s">
        <v>46</v>
      </c>
    </row>
    <row r="4201" spans="1:8">
      <c r="A4201" s="1" t="s">
        <v>431</v>
      </c>
      <c r="B4201" s="1" t="s">
        <v>6953</v>
      </c>
      <c r="C4201" s="1" t="s">
        <v>3033</v>
      </c>
      <c r="D4201" s="1" t="s">
        <v>19</v>
      </c>
      <c r="E4201" s="12">
        <f>F4201</f>
        <v>0.9144000000000001</v>
      </c>
      <c r="F4201" s="12">
        <f>3*Systems!D12</f>
        <v>0.9144000000000001</v>
      </c>
      <c r="G4201" s="1" t="s">
        <v>14</v>
      </c>
      <c r="H4201" s="1" t="s">
        <v>46</v>
      </c>
    </row>
    <row r="4202" spans="1:8" ht="16.5">
      <c r="A4202" s="1" t="s">
        <v>45</v>
      </c>
      <c r="B4202" s="1" t="s">
        <v>6976</v>
      </c>
      <c r="C4202" s="1" t="s">
        <v>3034</v>
      </c>
      <c r="D4202" s="1" t="s">
        <v>38</v>
      </c>
      <c r="E4202" s="12">
        <f>4840*F4202</f>
        <v>4046.8564224000011</v>
      </c>
      <c r="F4202" s="12">
        <f>POWER(3*Systems!D6,2)</f>
        <v>0.83612736000000021</v>
      </c>
      <c r="G4202" s="1" t="s">
        <v>39</v>
      </c>
      <c r="H4202" s="1" t="s">
        <v>46</v>
      </c>
    </row>
    <row r="4203" spans="1:8" ht="16.5">
      <c r="A4203" s="1" t="s">
        <v>5387</v>
      </c>
      <c r="B4203" s="1" t="s">
        <v>5388</v>
      </c>
      <c r="C4203" s="1" t="s">
        <v>3034</v>
      </c>
      <c r="D4203" s="1" t="s">
        <v>38</v>
      </c>
      <c r="E4203" s="12">
        <f>4840*F4203/0.78</f>
        <v>5188.2774646153857</v>
      </c>
      <c r="F4203" s="12">
        <f>POWER(3*Systems!D6,2)</f>
        <v>0.83612736000000021</v>
      </c>
      <c r="G4203" s="1" t="s">
        <v>39</v>
      </c>
      <c r="H4203" s="1" t="s">
        <v>46</v>
      </c>
    </row>
    <row r="4204" spans="1:8" ht="16.5">
      <c r="A4204" s="1" t="s">
        <v>5390</v>
      </c>
      <c r="B4204" s="1" t="s">
        <v>5389</v>
      </c>
      <c r="C4204" s="1" t="s">
        <v>3034</v>
      </c>
      <c r="D4204" s="1" t="s">
        <v>38</v>
      </c>
      <c r="E4204" s="12">
        <f>4840*F4204/0.78</f>
        <v>5188.2774646153857</v>
      </c>
      <c r="F4204" s="12">
        <f>POWER(3*Systems!D6,2)</f>
        <v>0.83612736000000021</v>
      </c>
      <c r="G4204" s="1" t="s">
        <v>39</v>
      </c>
      <c r="H4204" s="1" t="s">
        <v>46</v>
      </c>
    </row>
    <row r="4205" spans="1:8" ht="16.5">
      <c r="A4205" s="1" t="s">
        <v>5391</v>
      </c>
      <c r="B4205" s="1" t="s">
        <v>26</v>
      </c>
      <c r="C4205" s="1" t="s">
        <v>3034</v>
      </c>
      <c r="D4205" s="1" t="s">
        <v>38</v>
      </c>
      <c r="E4205" s="12">
        <f>1050*F4205</f>
        <v>97.548192</v>
      </c>
      <c r="F4205" s="12">
        <f>POWER(Systems!D6,2)</f>
        <v>9.2903040000000006E-2</v>
      </c>
      <c r="G4205" s="1" t="s">
        <v>39</v>
      </c>
      <c r="H4205" s="1" t="s">
        <v>46</v>
      </c>
    </row>
    <row r="4206" spans="1:8" ht="16.5">
      <c r="A4206" s="1" t="s">
        <v>5392</v>
      </c>
      <c r="B4206" s="1" t="s">
        <v>26</v>
      </c>
      <c r="C4206" s="1" t="s">
        <v>3034</v>
      </c>
      <c r="D4206" s="1" t="s">
        <v>38</v>
      </c>
      <c r="E4206" s="12">
        <f>1500*F4206</f>
        <v>139.35456000000002</v>
      </c>
      <c r="F4206" s="12">
        <f>POWER(Systems!D6,2)</f>
        <v>9.2903040000000006E-2</v>
      </c>
      <c r="G4206" s="1" t="s">
        <v>39</v>
      </c>
      <c r="H4206" s="1" t="s">
        <v>46</v>
      </c>
    </row>
    <row r="4207" spans="1:8" ht="16.5">
      <c r="A4207" s="1" t="s">
        <v>1308</v>
      </c>
      <c r="B4207" s="1" t="s">
        <v>26</v>
      </c>
      <c r="C4207" s="1" t="s">
        <v>3034</v>
      </c>
      <c r="D4207" s="1" t="s">
        <v>38</v>
      </c>
      <c r="E4207" s="12">
        <f>72600*F4207</f>
        <v>60702.846336000017</v>
      </c>
      <c r="F4207" s="12">
        <f>POWER(3*Systems!D6,2)</f>
        <v>0.83612736000000021</v>
      </c>
      <c r="G4207" s="1" t="s">
        <v>39</v>
      </c>
      <c r="H4207" s="1" t="s">
        <v>46</v>
      </c>
    </row>
    <row r="4208" spans="1:8" ht="16.5">
      <c r="A4208" s="1" t="s">
        <v>1590</v>
      </c>
      <c r="B4208" s="1" t="s">
        <v>26</v>
      </c>
      <c r="C4208" s="1" t="s">
        <v>3034</v>
      </c>
      <c r="D4208" s="1" t="s">
        <v>38</v>
      </c>
      <c r="E4208" s="12">
        <f>506.25*F4208</f>
        <v>47.032164000000002</v>
      </c>
      <c r="F4208" s="12">
        <f>POWER(Systems!D6,2)</f>
        <v>9.2903040000000006E-2</v>
      </c>
      <c r="G4208" s="1" t="s">
        <v>39</v>
      </c>
      <c r="H4208" s="1" t="s">
        <v>46</v>
      </c>
    </row>
    <row r="4209" spans="1:8" ht="16.5">
      <c r="A4209" s="1" t="s">
        <v>5393</v>
      </c>
      <c r="B4209" s="1" t="s">
        <v>1643</v>
      </c>
      <c r="C4209" s="1" t="s">
        <v>3034</v>
      </c>
      <c r="D4209" s="1" t="s">
        <v>38</v>
      </c>
      <c r="E4209" s="12">
        <f>F4209</f>
        <v>1.4914999999999999E-2</v>
      </c>
      <c r="F4209" s="12">
        <f>Systems!P6/Systems!D6</f>
        <v>1.4914999999999999E-2</v>
      </c>
      <c r="G4209" s="1" t="s">
        <v>39</v>
      </c>
      <c r="H4209" s="1" t="s">
        <v>46</v>
      </c>
    </row>
    <row r="4210" spans="1:8" ht="16.5">
      <c r="A4210" s="1" t="s">
        <v>5394</v>
      </c>
      <c r="B4210" s="1" t="s">
        <v>1645</v>
      </c>
      <c r="C4210" s="1" t="s">
        <v>3034</v>
      </c>
      <c r="D4210" s="1" t="s">
        <v>38</v>
      </c>
      <c r="E4210" s="12">
        <f>F4210</f>
        <v>2.8248106060606058E-6</v>
      </c>
      <c r="F4210" s="12">
        <f>Systems!P6/(5280*Systems!D6)</f>
        <v>2.8248106060606058E-6</v>
      </c>
      <c r="G4210" s="1" t="s">
        <v>39</v>
      </c>
      <c r="H4210" s="1" t="s">
        <v>46</v>
      </c>
    </row>
    <row r="4211" spans="1:8" ht="16.5">
      <c r="A4211" s="1" t="s">
        <v>1742</v>
      </c>
      <c r="B4211" s="1" t="s">
        <v>26</v>
      </c>
      <c r="C4211" s="1" t="s">
        <v>3034</v>
      </c>
      <c r="D4211" s="1" t="s">
        <v>38</v>
      </c>
      <c r="E4211" s="12">
        <f>F4211/100</f>
        <v>4856.2277068800013</v>
      </c>
      <c r="F4211" s="12">
        <f>(180+60)*4840*POWER(3*Systems!D6,2)/2</f>
        <v>485622.77068800014</v>
      </c>
      <c r="G4211" s="1" t="s">
        <v>39</v>
      </c>
      <c r="H4211" s="1" t="s">
        <v>46</v>
      </c>
    </row>
    <row r="4212" spans="1:8" ht="16.5">
      <c r="A4212" s="1" t="s">
        <v>988</v>
      </c>
      <c r="B4212" s="1" t="s">
        <v>26</v>
      </c>
      <c r="C4212" s="1" t="s">
        <v>3034</v>
      </c>
      <c r="D4212" s="1" t="s">
        <v>38</v>
      </c>
      <c r="E4212" s="12">
        <f>(60+180)*F4212/2</f>
        <v>485622.77068800014</v>
      </c>
      <c r="F4212" s="12">
        <f>4840*POWER(3*Systems!D6,2)</f>
        <v>4046.8564224000011</v>
      </c>
      <c r="G4212" s="1" t="s">
        <v>39</v>
      </c>
      <c r="H4212" s="1" t="s">
        <v>46</v>
      </c>
    </row>
    <row r="4213" spans="1:8" ht="16.5">
      <c r="A4213" s="1" t="s">
        <v>5395</v>
      </c>
      <c r="B4213" s="1" t="s">
        <v>569</v>
      </c>
      <c r="C4213" s="1" t="s">
        <v>3034</v>
      </c>
      <c r="D4213" s="1" t="s">
        <v>38</v>
      </c>
      <c r="E4213" s="12">
        <f>F4213</f>
        <v>9.2903040000000006E-2</v>
      </c>
      <c r="F4213" s="12">
        <f>POWER(Systems!D6,2)</f>
        <v>9.2903040000000006E-2</v>
      </c>
      <c r="G4213" s="1" t="s">
        <v>39</v>
      </c>
      <c r="H4213" s="1" t="s">
        <v>46</v>
      </c>
    </row>
    <row r="4214" spans="1:8" ht="16.5">
      <c r="A4214" s="1" t="s">
        <v>2393</v>
      </c>
      <c r="B4214" s="1" t="s">
        <v>26</v>
      </c>
      <c r="C4214" s="1" t="s">
        <v>3034</v>
      </c>
      <c r="D4214" s="1" t="s">
        <v>38</v>
      </c>
      <c r="E4214" s="12">
        <f>10890*F4214</f>
        <v>1011.7141056</v>
      </c>
      <c r="F4214" s="12">
        <f>POWER(Systems!D6,2)</f>
        <v>9.2903040000000006E-2</v>
      </c>
      <c r="G4214" s="1" t="s">
        <v>39</v>
      </c>
      <c r="H4214" s="1" t="s">
        <v>46</v>
      </c>
    </row>
    <row r="4215" spans="1:8" ht="16.5">
      <c r="A4215" s="1" t="s">
        <v>376</v>
      </c>
      <c r="B4215" s="1" t="s">
        <v>26</v>
      </c>
      <c r="C4215" s="1" t="s">
        <v>3034</v>
      </c>
      <c r="D4215" s="1" t="s">
        <v>38</v>
      </c>
      <c r="E4215" s="12">
        <f>1E-52*F4215</f>
        <v>1E-52</v>
      </c>
      <c r="F4215" s="12">
        <f>SI!E3</f>
        <v>1</v>
      </c>
      <c r="G4215" s="1" t="s">
        <v>39</v>
      </c>
      <c r="H4215" s="1" t="s">
        <v>46</v>
      </c>
    </row>
    <row r="4216" spans="1:8" ht="16.5">
      <c r="A4216" s="1" t="s">
        <v>386</v>
      </c>
      <c r="B4216" s="1" t="s">
        <v>26</v>
      </c>
      <c r="C4216" s="1" t="s">
        <v>3034</v>
      </c>
      <c r="D4216" s="1" t="s">
        <v>38</v>
      </c>
      <c r="E4216" s="12">
        <f>F4216</f>
        <v>12040.233984000002</v>
      </c>
      <c r="F4216" s="12">
        <f>POWER(360*Systems!D6,2)</f>
        <v>12040.233984000002</v>
      </c>
      <c r="G4216" s="1" t="s">
        <v>39</v>
      </c>
      <c r="H4216" s="1" t="s">
        <v>46</v>
      </c>
    </row>
    <row r="4217" spans="1:8" ht="16.5">
      <c r="A4217" s="1" t="s">
        <v>6934</v>
      </c>
      <c r="B4217" s="1" t="s">
        <v>26</v>
      </c>
      <c r="C4217" s="1" t="s">
        <v>3034</v>
      </c>
      <c r="D4217" s="1" t="s">
        <v>38</v>
      </c>
      <c r="E4217" s="12">
        <f>30*F4217</f>
        <v>2.7870912000000003</v>
      </c>
      <c r="F4217" s="12">
        <f>POWER(Systems!D6,2)</f>
        <v>9.2903040000000006E-2</v>
      </c>
      <c r="G4217" s="1" t="s">
        <v>39</v>
      </c>
      <c r="H4217" s="1" t="s">
        <v>46</v>
      </c>
    </row>
    <row r="4218" spans="1:8" ht="16.5">
      <c r="A4218" s="1" t="s">
        <v>5396</v>
      </c>
      <c r="B4218" s="1" t="s">
        <v>5397</v>
      </c>
      <c r="C4218" s="1" t="s">
        <v>3034</v>
      </c>
      <c r="D4218" s="1" t="s">
        <v>38</v>
      </c>
      <c r="E4218" s="12">
        <f>4356*F4218</f>
        <v>404.68564224000005</v>
      </c>
      <c r="F4218" s="12">
        <f>POWER(Systems!D6,2)</f>
        <v>9.2903040000000006E-2</v>
      </c>
      <c r="G4218" s="1" t="s">
        <v>39</v>
      </c>
      <c r="H4218" s="1" t="s">
        <v>46</v>
      </c>
    </row>
    <row r="4219" spans="1:8" ht="16.5">
      <c r="A4219" s="1" t="s">
        <v>5398</v>
      </c>
      <c r="B4219" s="1" t="s">
        <v>5399</v>
      </c>
      <c r="C4219" s="1" t="s">
        <v>3034</v>
      </c>
      <c r="D4219" s="1" t="s">
        <v>38</v>
      </c>
      <c r="E4219" s="12">
        <f>4356*F4219</f>
        <v>404.68564224000005</v>
      </c>
      <c r="F4219" s="12">
        <f>POWER(Systems!D6,2)</f>
        <v>9.2903040000000006E-2</v>
      </c>
      <c r="G4219" s="1" t="s">
        <v>39</v>
      </c>
      <c r="H4219" s="1" t="s">
        <v>46</v>
      </c>
    </row>
    <row r="4220" spans="1:8" ht="16.5">
      <c r="A4220" s="1" t="s">
        <v>4453</v>
      </c>
      <c r="B4220" s="1" t="s">
        <v>6955</v>
      </c>
      <c r="C4220" s="1" t="s">
        <v>3034</v>
      </c>
      <c r="D4220" s="1" t="s">
        <v>38</v>
      </c>
      <c r="E4220" s="12">
        <f>F4220</f>
        <v>9.2903040000000006E-2</v>
      </c>
      <c r="F4220" s="12">
        <f>POWER(Systems!D6,2)</f>
        <v>9.2903040000000006E-2</v>
      </c>
      <c r="G4220" s="1" t="s">
        <v>39</v>
      </c>
      <c r="H4220" s="1" t="s">
        <v>46</v>
      </c>
    </row>
    <row r="4221" spans="1:8" ht="16.5">
      <c r="A4221" s="1" t="s">
        <v>4588</v>
      </c>
      <c r="B4221" s="1" t="s">
        <v>6956</v>
      </c>
      <c r="C4221" s="1" t="s">
        <v>3034</v>
      </c>
      <c r="D4221" s="1" t="s">
        <v>38</v>
      </c>
      <c r="E4221" s="12">
        <f>F4221</f>
        <v>6.4516000000000009E-4</v>
      </c>
      <c r="F4221" s="12">
        <f>POWER(Systems!D6/12,2)</f>
        <v>6.4516000000000009E-4</v>
      </c>
      <c r="G4221" s="1" t="s">
        <v>39</v>
      </c>
      <c r="H4221" s="1" t="s">
        <v>46</v>
      </c>
    </row>
    <row r="4222" spans="1:8" ht="16.5">
      <c r="A4222" s="1" t="s">
        <v>4824</v>
      </c>
      <c r="B4222" s="1" t="s">
        <v>4964</v>
      </c>
      <c r="C4222" s="1" t="s">
        <v>3034</v>
      </c>
      <c r="D4222" s="1" t="s">
        <v>38</v>
      </c>
      <c r="E4222" s="12">
        <f>9*F4222</f>
        <v>30908618.440704007</v>
      </c>
      <c r="F4222" s="12">
        <f>POWER(6080*Systems!D6,2)</f>
        <v>3434290.9378560008</v>
      </c>
      <c r="G4222" s="1" t="s">
        <v>39</v>
      </c>
      <c r="H4222" s="1" t="s">
        <v>46</v>
      </c>
    </row>
    <row r="4223" spans="1:8" ht="16.5">
      <c r="A4223" s="1" t="s">
        <v>4966</v>
      </c>
      <c r="B4223" s="1" t="s">
        <v>4965</v>
      </c>
      <c r="C4223" s="1" t="s">
        <v>3034</v>
      </c>
      <c r="D4223" s="1" t="s">
        <v>38</v>
      </c>
      <c r="E4223" s="12">
        <f>F4223</f>
        <v>3434290.9378560008</v>
      </c>
      <c r="F4223" s="12">
        <f>POWER(6080*Systems!D6,2)</f>
        <v>3434290.9378560008</v>
      </c>
      <c r="G4223" s="1" t="s">
        <v>39</v>
      </c>
      <c r="H4223" s="1" t="s">
        <v>46</v>
      </c>
    </row>
    <row r="4224" spans="1:8" ht="16.5">
      <c r="A4224" s="1" t="s">
        <v>4596</v>
      </c>
      <c r="B4224" s="1" t="s">
        <v>6969</v>
      </c>
      <c r="C4224" s="1" t="s">
        <v>3034</v>
      </c>
      <c r="D4224" s="1" t="s">
        <v>38</v>
      </c>
      <c r="E4224" s="12">
        <f>F4224</f>
        <v>2589988.1103360001</v>
      </c>
      <c r="F4224" s="12">
        <f>POWER(5280*Systems!D6,2)</f>
        <v>2589988.1103360001</v>
      </c>
      <c r="G4224" s="1" t="s">
        <v>39</v>
      </c>
      <c r="H4224" s="1" t="s">
        <v>46</v>
      </c>
    </row>
    <row r="4225" spans="1:8" ht="16.5">
      <c r="A4225" s="1" t="s">
        <v>5401</v>
      </c>
      <c r="B4225" s="1" t="s">
        <v>5400</v>
      </c>
      <c r="C4225" s="1" t="s">
        <v>3034</v>
      </c>
      <c r="D4225" s="1" t="s">
        <v>38</v>
      </c>
      <c r="E4225" s="12">
        <f>F4225</f>
        <v>0.83612590480584204</v>
      </c>
      <c r="F4225" s="12">
        <f>POWER(3*Systems!D7,2)</f>
        <v>0.83612590480584204</v>
      </c>
      <c r="G4225" s="1" t="s">
        <v>39</v>
      </c>
      <c r="H4225" s="1" t="s">
        <v>46</v>
      </c>
    </row>
    <row r="4226" spans="1:8" ht="16.5">
      <c r="A4226" s="1" t="s">
        <v>4595</v>
      </c>
      <c r="B4226" s="1" t="s">
        <v>6957</v>
      </c>
      <c r="C4226" s="1" t="s">
        <v>3034</v>
      </c>
      <c r="D4226" s="1" t="s">
        <v>38</v>
      </c>
      <c r="E4226" s="12">
        <f>F4226</f>
        <v>0.83612736000000021</v>
      </c>
      <c r="F4226" s="12">
        <f>POWER(3*Systems!D6,2)</f>
        <v>0.83612736000000021</v>
      </c>
      <c r="G4226" s="1" t="s">
        <v>39</v>
      </c>
      <c r="H4226" s="1" t="s">
        <v>46</v>
      </c>
    </row>
    <row r="4227" spans="1:8" ht="16.5">
      <c r="A4227" s="1" t="s">
        <v>5402</v>
      </c>
      <c r="B4227" s="1" t="s">
        <v>26</v>
      </c>
      <c r="C4227" s="1" t="s">
        <v>3034</v>
      </c>
      <c r="D4227" s="1" t="s">
        <v>38</v>
      </c>
      <c r="E4227" s="12">
        <f>8*F4227/21</f>
        <v>1541.6595894857146</v>
      </c>
      <c r="F4227" s="12">
        <f>4840*POWER(3*Systems!D6,2)</f>
        <v>4046.8564224000011</v>
      </c>
      <c r="G4227" s="1" t="s">
        <v>39</v>
      </c>
      <c r="H4227" s="1" t="s">
        <v>46</v>
      </c>
    </row>
    <row r="4228" spans="1:8" ht="16.5">
      <c r="A4228" s="1" t="s">
        <v>5403</v>
      </c>
      <c r="B4228" s="1" t="s">
        <v>26</v>
      </c>
      <c r="C4228" s="1" t="s">
        <v>3034</v>
      </c>
      <c r="D4228" s="1" t="s">
        <v>38</v>
      </c>
      <c r="E4228" s="12">
        <f>4*F4228/9</f>
        <v>1798.6028544000005</v>
      </c>
      <c r="F4228" s="12">
        <f>4840*POWER(3*Systems!D6,2)</f>
        <v>4046.8564224000011</v>
      </c>
      <c r="G4228" s="1" t="s">
        <v>39</v>
      </c>
      <c r="H4228" s="1" t="s">
        <v>46</v>
      </c>
    </row>
    <row r="4229" spans="1:8" ht="16.5">
      <c r="A4229" s="1" t="s">
        <v>2776</v>
      </c>
      <c r="B4229" s="1" t="s">
        <v>26</v>
      </c>
      <c r="C4229" s="1" t="s">
        <v>3034</v>
      </c>
      <c r="D4229" s="1" t="s">
        <v>38</v>
      </c>
      <c r="E4229" s="12">
        <f>30*F4229</f>
        <v>121405.69267200003</v>
      </c>
      <c r="F4229" s="12">
        <f>4840*POWER(3*Systems!D6,2)</f>
        <v>4046.8564224000011</v>
      </c>
      <c r="G4229" s="1" t="s">
        <v>39</v>
      </c>
      <c r="H4229" s="1" t="s">
        <v>46</v>
      </c>
    </row>
    <row r="4230" spans="1:8" ht="16.5">
      <c r="A4230" s="1" t="s">
        <v>1208</v>
      </c>
      <c r="B4230" s="1" t="s">
        <v>26</v>
      </c>
      <c r="C4230" s="1" t="s">
        <v>2936</v>
      </c>
      <c r="D4230" s="1" t="s">
        <v>32</v>
      </c>
      <c r="E4230" s="12">
        <f>32*F4230</f>
        <v>0.14547494399999999</v>
      </c>
      <c r="F4230" s="12">
        <f>Systems!T6</f>
        <v>4.5460919999999998E-3</v>
      </c>
      <c r="G4230" s="1" t="s">
        <v>33</v>
      </c>
      <c r="H4230" s="1" t="s">
        <v>46</v>
      </c>
    </row>
    <row r="4231" spans="1:8" ht="16.5">
      <c r="A4231" s="1" t="s">
        <v>2241</v>
      </c>
      <c r="B4231" s="1" t="s">
        <v>573</v>
      </c>
      <c r="C4231" s="1" t="s">
        <v>2936</v>
      </c>
      <c r="D4231" s="1" t="s">
        <v>32</v>
      </c>
      <c r="E4231" s="12">
        <f>2*F4231</f>
        <v>9.0921839999999997E-3</v>
      </c>
      <c r="F4231" s="12">
        <f>Systems!T6</f>
        <v>4.5460919999999998E-3</v>
      </c>
      <c r="G4231" s="1" t="s">
        <v>33</v>
      </c>
      <c r="H4231" s="1" t="s">
        <v>46</v>
      </c>
    </row>
    <row r="4232" spans="1:8" ht="16.5">
      <c r="A4232" s="1" t="s">
        <v>1246</v>
      </c>
      <c r="B4232" s="1" t="s">
        <v>26</v>
      </c>
      <c r="C4232" s="1" t="s">
        <v>2936</v>
      </c>
      <c r="D4232" s="1" t="s">
        <v>32</v>
      </c>
      <c r="E4232" s="12">
        <f>24*F4232</f>
        <v>0.109106208</v>
      </c>
      <c r="F4232" s="12">
        <f>Systems!T6</f>
        <v>4.5460919999999998E-3</v>
      </c>
      <c r="G4232" s="1" t="s">
        <v>33</v>
      </c>
      <c r="H4232" s="1" t="s">
        <v>46</v>
      </c>
    </row>
    <row r="4233" spans="1:8" ht="16.5">
      <c r="A4233" s="18" t="s">
        <v>5404</v>
      </c>
      <c r="B4233" s="1" t="s">
        <v>26</v>
      </c>
      <c r="C4233" s="1" t="s">
        <v>2936</v>
      </c>
      <c r="D4233" s="1" t="s">
        <v>32</v>
      </c>
      <c r="E4233" s="16">
        <f>5*F4233</f>
        <v>0.14158423296000003</v>
      </c>
      <c r="F4233" s="16">
        <f>POWER(Systems!D6,3)</f>
        <v>2.8316846592000004E-2</v>
      </c>
      <c r="G4233" s="1" t="s">
        <v>33</v>
      </c>
      <c r="H4233" s="1" t="s">
        <v>46</v>
      </c>
    </row>
    <row r="4234" spans="1:8" ht="16.5">
      <c r="A4234" s="1" t="s">
        <v>5405</v>
      </c>
      <c r="B4234" s="1" t="s">
        <v>26</v>
      </c>
      <c r="C4234" s="1" t="s">
        <v>2936</v>
      </c>
      <c r="D4234" s="1" t="s">
        <v>32</v>
      </c>
      <c r="E4234" s="12">
        <f>32*F4234</f>
        <v>0.14547494399999999</v>
      </c>
      <c r="F4234" s="12">
        <f>Systems!T6</f>
        <v>4.5460919999999998E-3</v>
      </c>
      <c r="G4234" s="1" t="s">
        <v>33</v>
      </c>
      <c r="H4234" s="1" t="s">
        <v>46</v>
      </c>
    </row>
    <row r="4235" spans="1:8" ht="16.5">
      <c r="A4235" s="1" t="s">
        <v>5406</v>
      </c>
      <c r="B4235" s="1" t="s">
        <v>26</v>
      </c>
      <c r="C4235" s="1" t="s">
        <v>2936</v>
      </c>
      <c r="D4235" s="1" t="s">
        <v>32</v>
      </c>
      <c r="E4235" s="12">
        <f>32*F4235</f>
        <v>0.14547494399999999</v>
      </c>
      <c r="F4235" s="12">
        <f>Systems!T6</f>
        <v>4.5460919999999998E-3</v>
      </c>
      <c r="G4235" s="1" t="s">
        <v>33</v>
      </c>
      <c r="H4235" s="1" t="s">
        <v>46</v>
      </c>
    </row>
    <row r="4236" spans="1:8" ht="16.5">
      <c r="A4236" s="1" t="s">
        <v>5407</v>
      </c>
      <c r="B4236" s="1" t="s">
        <v>26</v>
      </c>
      <c r="C4236" s="1" t="s">
        <v>2936</v>
      </c>
      <c r="D4236" s="1" t="s">
        <v>32</v>
      </c>
      <c r="E4236" s="12">
        <f>32*F4236</f>
        <v>0.14547494399999999</v>
      </c>
      <c r="F4236" s="12">
        <f>Systems!T6</f>
        <v>4.5460919999999998E-3</v>
      </c>
      <c r="G4236" s="1" t="s">
        <v>33</v>
      </c>
      <c r="H4236" s="1" t="s">
        <v>46</v>
      </c>
    </row>
    <row r="4237" spans="1:8" ht="16.5">
      <c r="A4237" s="1" t="s">
        <v>1382</v>
      </c>
      <c r="B4237" s="1" t="s">
        <v>1383</v>
      </c>
      <c r="C4237" s="1" t="s">
        <v>2936</v>
      </c>
      <c r="D4237" s="1" t="s">
        <v>32</v>
      </c>
      <c r="E4237" s="12">
        <f>288*F4237</f>
        <v>1.309274496</v>
      </c>
      <c r="F4237" s="12">
        <f>Systems!T6</f>
        <v>4.5460919999999998E-3</v>
      </c>
      <c r="G4237" s="1" t="s">
        <v>33</v>
      </c>
      <c r="H4237" s="1" t="s">
        <v>46</v>
      </c>
    </row>
    <row r="4238" spans="1:8" ht="16.5">
      <c r="A4238" s="1" t="s">
        <v>5408</v>
      </c>
      <c r="B4238" s="1" t="s">
        <v>5409</v>
      </c>
      <c r="C4238" s="1" t="s">
        <v>2936</v>
      </c>
      <c r="D4238" s="1" t="s">
        <v>32</v>
      </c>
      <c r="E4238" s="12">
        <f>128*F4238</f>
        <v>3.6245563637760005</v>
      </c>
      <c r="F4238" s="12">
        <f>POWER(Systems!D6,3)</f>
        <v>2.8316846592000004E-2</v>
      </c>
      <c r="G4238" s="1" t="s">
        <v>33</v>
      </c>
      <c r="H4238" s="1" t="s">
        <v>46</v>
      </c>
    </row>
    <row r="4239" spans="1:8" ht="16.5">
      <c r="A4239" s="1" t="s">
        <v>5410</v>
      </c>
      <c r="B4239" s="1" t="s">
        <v>5411</v>
      </c>
      <c r="C4239" s="1" t="s">
        <v>2936</v>
      </c>
      <c r="D4239" s="1" t="s">
        <v>32</v>
      </c>
      <c r="E4239" s="12">
        <f>16*F4239</f>
        <v>0.45306954547200007</v>
      </c>
      <c r="F4239" s="12">
        <f>POWER(Systems!D6,3)</f>
        <v>2.8316846592000004E-2</v>
      </c>
      <c r="G4239" s="1" t="s">
        <v>33</v>
      </c>
      <c r="H4239" s="1" t="s">
        <v>46</v>
      </c>
    </row>
    <row r="4240" spans="1:8" ht="16.5">
      <c r="A4240" s="1" t="s">
        <v>4598</v>
      </c>
      <c r="B4240" s="8" t="s">
        <v>6998</v>
      </c>
      <c r="C4240" s="1" t="s">
        <v>2936</v>
      </c>
      <c r="D4240" s="1" t="s">
        <v>32</v>
      </c>
      <c r="E4240" s="12">
        <f>F4240</f>
        <v>4168181825.4405799</v>
      </c>
      <c r="F4240" s="12">
        <f>POWER(5280*Systems!D6,3)</f>
        <v>4168181825.4405799</v>
      </c>
      <c r="G4240" s="1" t="s">
        <v>33</v>
      </c>
      <c r="H4240" s="1" t="s">
        <v>46</v>
      </c>
    </row>
    <row r="4241" spans="1:8" ht="16.5">
      <c r="A4241" s="1" t="s">
        <v>4594</v>
      </c>
      <c r="B4241" s="8" t="s">
        <v>6999</v>
      </c>
      <c r="C4241" s="1" t="s">
        <v>2936</v>
      </c>
      <c r="D4241" s="1" t="s">
        <v>32</v>
      </c>
      <c r="E4241" s="12">
        <f>F4241</f>
        <v>1.6387064000000003E-5</v>
      </c>
      <c r="F4241" s="12">
        <f>POWER(Systems!D12/12,3)</f>
        <v>1.6387064000000003E-5</v>
      </c>
      <c r="G4241" s="1" t="s">
        <v>33</v>
      </c>
      <c r="H4241" s="1" t="s">
        <v>46</v>
      </c>
    </row>
    <row r="4242" spans="1:8" ht="16.5">
      <c r="A4242" s="1" t="s">
        <v>4589</v>
      </c>
      <c r="B4242" s="8" t="s">
        <v>7000</v>
      </c>
      <c r="C4242" s="1" t="s">
        <v>2936</v>
      </c>
      <c r="D4242" s="1" t="s">
        <v>32</v>
      </c>
      <c r="E4242" s="12">
        <f>F4242</f>
        <v>2.8316846592000004E-2</v>
      </c>
      <c r="F4242" s="12">
        <f>POWER(Systems!D6,3)</f>
        <v>2.8316846592000004E-2</v>
      </c>
      <c r="G4242" s="1" t="s">
        <v>33</v>
      </c>
      <c r="H4242" s="1" t="s">
        <v>46</v>
      </c>
    </row>
    <row r="4243" spans="1:8" ht="16.5">
      <c r="A4243" s="1" t="s">
        <v>4597</v>
      </c>
      <c r="B4243" s="8" t="s">
        <v>7001</v>
      </c>
      <c r="C4243" s="1" t="s">
        <v>2936</v>
      </c>
      <c r="D4243" s="1" t="s">
        <v>32</v>
      </c>
      <c r="E4243" s="12">
        <f>F4243</f>
        <v>0.76455485798400025</v>
      </c>
      <c r="F4243" s="12">
        <f>POWER(3*Systems!D12,3)</f>
        <v>0.76455485798400025</v>
      </c>
      <c r="G4243" s="1" t="s">
        <v>33</v>
      </c>
      <c r="H4243" s="1" t="s">
        <v>46</v>
      </c>
    </row>
    <row r="4244" spans="1:8" ht="16.5">
      <c r="A4244" s="1" t="s">
        <v>1491</v>
      </c>
      <c r="B4244" s="1" t="s">
        <v>26</v>
      </c>
      <c r="C4244" s="1" t="s">
        <v>2936</v>
      </c>
      <c r="D4244" s="1" t="s">
        <v>32</v>
      </c>
      <c r="E4244" s="12">
        <f>7*6*5*F4244/(12*2)</f>
        <v>0.24777240768000006</v>
      </c>
      <c r="F4244" s="12">
        <f>POWER(Systems!D6,3)</f>
        <v>2.8316846592000004E-2</v>
      </c>
      <c r="G4244" s="1" t="s">
        <v>33</v>
      </c>
      <c r="H4244" s="1" t="s">
        <v>46</v>
      </c>
    </row>
    <row r="4245" spans="1:8" ht="16.5">
      <c r="A4245" s="1" t="s">
        <v>5412</v>
      </c>
      <c r="B4245" s="1" t="s">
        <v>26</v>
      </c>
      <c r="C4245" s="1" t="s">
        <v>2936</v>
      </c>
      <c r="D4245" s="1" t="s">
        <v>32</v>
      </c>
      <c r="E4245" s="12">
        <f>8*F4245</f>
        <v>3.6368735999999999E-2</v>
      </c>
      <c r="F4245" s="12">
        <f>Systems!T6</f>
        <v>4.5460919999999998E-3</v>
      </c>
      <c r="G4245" s="1" t="s">
        <v>33</v>
      </c>
      <c r="H4245" s="1" t="s">
        <v>46</v>
      </c>
    </row>
    <row r="4246" spans="1:8" ht="16.5">
      <c r="A4246" s="1" t="s">
        <v>2036</v>
      </c>
      <c r="B4246" s="1" t="s">
        <v>147</v>
      </c>
      <c r="C4246" s="1" t="s">
        <v>2936</v>
      </c>
      <c r="D4246" s="1" t="s">
        <v>32</v>
      </c>
      <c r="E4246" s="12">
        <f>37.5*F4246</f>
        <v>0.17047845</v>
      </c>
      <c r="F4246" s="12">
        <f>Systems!T6</f>
        <v>4.5460919999999998E-3</v>
      </c>
      <c r="G4246" s="1" t="s">
        <v>33</v>
      </c>
      <c r="H4246" s="1" t="s">
        <v>46</v>
      </c>
    </row>
    <row r="4247" spans="1:8" ht="16.5">
      <c r="A4247" s="1" t="s">
        <v>5413</v>
      </c>
      <c r="B4247" s="1" t="s">
        <v>26</v>
      </c>
      <c r="C4247" s="1" t="s">
        <v>2936</v>
      </c>
      <c r="D4247" s="1" t="s">
        <v>32</v>
      </c>
      <c r="E4247" s="12">
        <f>40*F4247</f>
        <v>1.1326738636800002</v>
      </c>
      <c r="F4247" s="12">
        <f>POWER(Systems!D6,3)</f>
        <v>2.8316846592000004E-2</v>
      </c>
      <c r="G4247" s="1" t="s">
        <v>33</v>
      </c>
      <c r="H4247" s="1" t="s">
        <v>46</v>
      </c>
    </row>
    <row r="4248" spans="1:8" ht="16.5">
      <c r="A4248" s="1" t="s">
        <v>2342</v>
      </c>
      <c r="B4248" s="1" t="s">
        <v>26</v>
      </c>
      <c r="C4248" s="1" t="s">
        <v>2936</v>
      </c>
      <c r="D4248" s="1" t="s">
        <v>32</v>
      </c>
      <c r="E4248" s="12">
        <f>F4248/32</f>
        <v>1.42065375E-4</v>
      </c>
      <c r="F4248" s="12">
        <f>Systems!T6</f>
        <v>4.5460919999999998E-3</v>
      </c>
      <c r="G4248" s="1" t="s">
        <v>33</v>
      </c>
      <c r="H4248" s="1" t="s">
        <v>46</v>
      </c>
    </row>
    <row r="4249" spans="1:8" ht="16.5">
      <c r="A4249" s="1" t="s">
        <v>5414</v>
      </c>
      <c r="B4249" s="1" t="s">
        <v>26</v>
      </c>
      <c r="C4249" s="1" t="s">
        <v>2936</v>
      </c>
      <c r="D4249" s="1" t="s">
        <v>32</v>
      </c>
      <c r="E4249" s="12">
        <f>100*F4249</f>
        <v>2.8316846592000005</v>
      </c>
      <c r="F4249" s="12">
        <f>POWER(Systems!D6,3)</f>
        <v>2.8316846592000004E-2</v>
      </c>
      <c r="G4249" s="1" t="s">
        <v>33</v>
      </c>
      <c r="H4249" s="1" t="s">
        <v>46</v>
      </c>
    </row>
    <row r="4250" spans="1:8" ht="16.5">
      <c r="A4250" s="1" t="s">
        <v>5415</v>
      </c>
      <c r="B4250" s="1" t="s">
        <v>26</v>
      </c>
      <c r="C4250" s="1" t="s">
        <v>2936</v>
      </c>
      <c r="D4250" s="1" t="s">
        <v>32</v>
      </c>
      <c r="E4250" s="12">
        <f>80*F4250</f>
        <v>2.2653477273600005</v>
      </c>
      <c r="F4250" s="12">
        <f>POWER(Systems!D6,3)</f>
        <v>2.8316846592000004E-2</v>
      </c>
      <c r="G4250" s="1" t="s">
        <v>33</v>
      </c>
      <c r="H4250" s="1" t="s">
        <v>46</v>
      </c>
    </row>
    <row r="4251" spans="1:8" ht="16.5">
      <c r="A4251" s="1" t="s">
        <v>2387</v>
      </c>
      <c r="B4251" s="1" t="s">
        <v>26</v>
      </c>
      <c r="C4251" s="1" t="s">
        <v>2936</v>
      </c>
      <c r="D4251" s="1" t="s">
        <v>32</v>
      </c>
      <c r="E4251" s="12">
        <f>1000*F4251</f>
        <v>28.316846592000005</v>
      </c>
      <c r="F4251" s="12">
        <f>POWER(Systems!D6,3)</f>
        <v>2.8316846592000004E-2</v>
      </c>
      <c r="G4251" s="1" t="s">
        <v>33</v>
      </c>
      <c r="H4251" s="1" t="s">
        <v>46</v>
      </c>
    </row>
    <row r="4252" spans="1:8" ht="16.5">
      <c r="A4252" s="1" t="s">
        <v>2552</v>
      </c>
      <c r="B4252" s="1" t="s">
        <v>602</v>
      </c>
      <c r="C4252" s="1" t="s">
        <v>2936</v>
      </c>
      <c r="D4252" s="1" t="s">
        <v>32</v>
      </c>
      <c r="E4252" s="12">
        <f>108*F4252</f>
        <v>3.0582194319360005</v>
      </c>
      <c r="F4252" s="12">
        <f>POWER(Systems!D6,3)</f>
        <v>2.8316846592000004E-2</v>
      </c>
      <c r="G4252" s="1" t="s">
        <v>33</v>
      </c>
      <c r="H4252" s="1" t="s">
        <v>46</v>
      </c>
    </row>
    <row r="4253" spans="1:8" ht="16.5">
      <c r="A4253" s="1" t="s">
        <v>2557</v>
      </c>
      <c r="B4253" s="1" t="s">
        <v>603</v>
      </c>
      <c r="C4253" s="1" t="s">
        <v>2936</v>
      </c>
      <c r="D4253" s="1" t="s">
        <v>32</v>
      </c>
      <c r="E4253" s="12">
        <f>165*F4253</f>
        <v>4.6722796876800006</v>
      </c>
      <c r="F4253" s="12">
        <f>POWER(Systems!D6,3)</f>
        <v>2.8316846592000004E-2</v>
      </c>
      <c r="G4253" s="1" t="s">
        <v>33</v>
      </c>
      <c r="H4253" s="1" t="s">
        <v>46</v>
      </c>
    </row>
    <row r="4254" spans="1:8" ht="16.5">
      <c r="A4254" s="1" t="s">
        <v>5416</v>
      </c>
      <c r="B4254" s="1" t="s">
        <v>26</v>
      </c>
      <c r="C4254" s="1" t="s">
        <v>2936</v>
      </c>
      <c r="D4254" s="1" t="s">
        <v>32</v>
      </c>
      <c r="E4254" s="12">
        <f>2.5*F4254</f>
        <v>7.0792116480000014E-2</v>
      </c>
      <c r="F4254" s="12">
        <f>POWER(Systems!D6,3)</f>
        <v>2.8316846592000004E-2</v>
      </c>
      <c r="G4254" s="1" t="s">
        <v>33</v>
      </c>
      <c r="H4254" s="1" t="s">
        <v>46</v>
      </c>
    </row>
    <row r="4255" spans="1:8" ht="16.5">
      <c r="A4255" s="1" t="s">
        <v>2677</v>
      </c>
      <c r="B4255" s="1" t="s">
        <v>26</v>
      </c>
      <c r="C4255" s="1" t="s">
        <v>2936</v>
      </c>
      <c r="D4255" s="1" t="s">
        <v>32</v>
      </c>
      <c r="E4255" s="12">
        <f>100*F4255</f>
        <v>2.8316846592000005</v>
      </c>
      <c r="F4255" s="12">
        <f>POWER(Systems!D6,3)</f>
        <v>2.8316846592000004E-2</v>
      </c>
      <c r="G4255" s="1" t="s">
        <v>33</v>
      </c>
      <c r="H4255" s="1" t="s">
        <v>46</v>
      </c>
    </row>
    <row r="4256" spans="1:8" ht="16.5">
      <c r="A4256" s="1" t="s">
        <v>5417</v>
      </c>
      <c r="B4256" s="1" t="s">
        <v>26</v>
      </c>
      <c r="C4256" s="1" t="s">
        <v>2936</v>
      </c>
      <c r="D4256" s="1" t="s">
        <v>32</v>
      </c>
      <c r="E4256" s="12">
        <f>40*F4256</f>
        <v>1.1326738636800002</v>
      </c>
      <c r="F4256" s="12">
        <f>POWER(Systems!D6,3)</f>
        <v>2.8316846592000004E-2</v>
      </c>
      <c r="G4256" s="1" t="s">
        <v>33</v>
      </c>
      <c r="H4256" s="1" t="s">
        <v>46</v>
      </c>
    </row>
    <row r="4257" spans="1:8" ht="16.5">
      <c r="A4257" s="1" t="s">
        <v>5418</v>
      </c>
      <c r="B4257" s="1" t="s">
        <v>26</v>
      </c>
      <c r="C4257" s="1" t="s">
        <v>2936</v>
      </c>
      <c r="D4257" s="1" t="s">
        <v>32</v>
      </c>
      <c r="E4257" s="12">
        <f>40*F4257</f>
        <v>1.1326738636800002</v>
      </c>
      <c r="F4257" s="12">
        <f>POWER(Systems!D6,3)</f>
        <v>2.8316846592000004E-2</v>
      </c>
      <c r="G4257" s="1" t="s">
        <v>33</v>
      </c>
      <c r="H4257" s="1" t="s">
        <v>46</v>
      </c>
    </row>
    <row r="4258" spans="1:8" ht="16.5">
      <c r="A4258" s="1" t="s">
        <v>5419</v>
      </c>
      <c r="B4258" s="1" t="s">
        <v>26</v>
      </c>
      <c r="C4258" s="1" t="s">
        <v>2936</v>
      </c>
      <c r="D4258" s="1" t="s">
        <v>32</v>
      </c>
      <c r="E4258" s="12">
        <f>40*F4258</f>
        <v>1.1326738636800002</v>
      </c>
      <c r="F4258" s="12">
        <f>POWER(Systems!D6,3)</f>
        <v>2.8316846592000004E-2</v>
      </c>
      <c r="G4258" s="1" t="s">
        <v>33</v>
      </c>
      <c r="H4258" s="1" t="s">
        <v>46</v>
      </c>
    </row>
    <row r="4259" spans="1:8" ht="16.5">
      <c r="A4259" s="1" t="s">
        <v>5420</v>
      </c>
      <c r="B4259" s="1" t="s">
        <v>5421</v>
      </c>
      <c r="C4259" s="1" t="s">
        <v>2935</v>
      </c>
      <c r="D4259" s="1" t="s">
        <v>32</v>
      </c>
      <c r="E4259" s="12">
        <f>43560*F4259</f>
        <v>1233.4818375475202</v>
      </c>
      <c r="F4259" s="12">
        <f>POWER(Systems!D6,3)</f>
        <v>2.8316846592000004E-2</v>
      </c>
      <c r="G4259" s="1" t="s">
        <v>33</v>
      </c>
      <c r="H4259" s="1" t="s">
        <v>46</v>
      </c>
    </row>
    <row r="4260" spans="1:8" ht="16.5">
      <c r="A4260" s="1" t="s">
        <v>5423</v>
      </c>
      <c r="B4260" s="1" t="s">
        <v>5422</v>
      </c>
      <c r="C4260" s="1" t="s">
        <v>2935</v>
      </c>
      <c r="D4260" s="1" t="s">
        <v>32</v>
      </c>
      <c r="E4260" s="12">
        <f>F4260*3630</f>
        <v>102.79015312896001</v>
      </c>
      <c r="F4260" s="12">
        <f>POWER(Systems!D6,3)</f>
        <v>2.8316846592000004E-2</v>
      </c>
      <c r="G4260" s="1" t="s">
        <v>33</v>
      </c>
      <c r="H4260" s="1" t="s">
        <v>46</v>
      </c>
    </row>
    <row r="4261" spans="1:8" ht="16.5">
      <c r="A4261" s="1" t="s">
        <v>1215</v>
      </c>
      <c r="B4261" s="1" t="s">
        <v>26</v>
      </c>
      <c r="C4261" s="1" t="s">
        <v>2935</v>
      </c>
      <c r="D4261" s="1" t="s">
        <v>32</v>
      </c>
      <c r="E4261" s="12">
        <f>10*F4261</f>
        <v>4.5460920000000002E-2</v>
      </c>
      <c r="F4261" s="12">
        <f>Systems!P6</f>
        <v>4.5460919999999998E-3</v>
      </c>
      <c r="G4261" s="1" t="s">
        <v>33</v>
      </c>
      <c r="H4261" s="1" t="s">
        <v>46</v>
      </c>
    </row>
    <row r="4262" spans="1:8" ht="16.5">
      <c r="A4262" s="18" t="s">
        <v>1253</v>
      </c>
      <c r="B4262" s="1" t="s">
        <v>26</v>
      </c>
      <c r="C4262" s="1" t="s">
        <v>2935</v>
      </c>
      <c r="D4262" s="1" t="s">
        <v>32</v>
      </c>
      <c r="E4262" s="12">
        <f>8*F4262/3</f>
        <v>1.2122912E-2</v>
      </c>
      <c r="F4262" s="12">
        <f>Systems!P6</f>
        <v>4.5460919999999998E-3</v>
      </c>
      <c r="G4262" s="1" t="s">
        <v>33</v>
      </c>
      <c r="H4262" s="1" t="s">
        <v>46</v>
      </c>
    </row>
    <row r="4263" spans="1:8" ht="16.5">
      <c r="A4263" s="1" t="s">
        <v>1264</v>
      </c>
      <c r="B4263" s="1" t="s">
        <v>465</v>
      </c>
      <c r="C4263" s="1" t="s">
        <v>2935</v>
      </c>
      <c r="D4263" s="1" t="s">
        <v>32</v>
      </c>
      <c r="E4263" s="12">
        <f>36*F4263</f>
        <v>0.16636147372800003</v>
      </c>
      <c r="F4263" s="12">
        <f>282*POWER(Systems!D6/12,3)</f>
        <v>4.6211520480000006E-3</v>
      </c>
      <c r="G4263" s="1" t="s">
        <v>33</v>
      </c>
      <c r="H4263" s="1" t="s">
        <v>46</v>
      </c>
    </row>
    <row r="4264" spans="1:8" ht="16.5">
      <c r="A4264" s="1" t="s">
        <v>5424</v>
      </c>
      <c r="B4264" s="1" t="s">
        <v>5425</v>
      </c>
      <c r="C4264" s="1" t="s">
        <v>2935</v>
      </c>
      <c r="D4264" s="1" t="s">
        <v>32</v>
      </c>
      <c r="E4264" s="12">
        <f>36*F4264</f>
        <v>0.163659312</v>
      </c>
      <c r="F4264" s="12">
        <f>Systems!P6</f>
        <v>4.5460919999999998E-3</v>
      </c>
      <c r="G4264" s="1" t="s">
        <v>33</v>
      </c>
      <c r="H4264" s="1" t="s">
        <v>46</v>
      </c>
    </row>
    <row r="4265" spans="1:8" ht="16.5">
      <c r="A4265" s="1" t="s">
        <v>5428</v>
      </c>
      <c r="B4265" s="1" t="s">
        <v>5426</v>
      </c>
      <c r="C4265" s="1" t="s">
        <v>2935</v>
      </c>
      <c r="D4265" s="1" t="s">
        <v>32</v>
      </c>
      <c r="E4265" s="12">
        <f>31.5*F4265</f>
        <v>0.14320189799999999</v>
      </c>
      <c r="F4265" s="12">
        <f>Systems!P6</f>
        <v>4.5460919999999998E-3</v>
      </c>
      <c r="G4265" s="1" t="s">
        <v>33</v>
      </c>
      <c r="H4265" s="1" t="s">
        <v>46</v>
      </c>
    </row>
    <row r="4266" spans="1:8" ht="16.5">
      <c r="A4266" s="1" t="s">
        <v>5429</v>
      </c>
      <c r="B4266" s="1" t="s">
        <v>5427</v>
      </c>
      <c r="C4266" s="1" t="s">
        <v>2935</v>
      </c>
      <c r="D4266" s="1" t="s">
        <v>32</v>
      </c>
      <c r="E4266" s="12">
        <f>108*F4266</f>
        <v>0.49908442118400004</v>
      </c>
      <c r="F4266" s="12">
        <f>282*POWER(Systems!D6/12,3)</f>
        <v>4.6211520480000006E-3</v>
      </c>
      <c r="G4266" s="1" t="s">
        <v>33</v>
      </c>
      <c r="H4266" s="1" t="s">
        <v>46</v>
      </c>
    </row>
    <row r="4267" spans="1:8" ht="16.5">
      <c r="A4267" s="1" t="s">
        <v>5430</v>
      </c>
      <c r="B4267" s="1" t="s">
        <v>26</v>
      </c>
      <c r="C4267" s="1" t="s">
        <v>2935</v>
      </c>
      <c r="D4267" s="1" t="s">
        <v>32</v>
      </c>
      <c r="E4267" s="12">
        <f>F4267/16</f>
        <v>2.8413074999999999E-4</v>
      </c>
      <c r="F4267" s="12">
        <f>Systems!P6</f>
        <v>4.5460919999999998E-3</v>
      </c>
      <c r="G4267" s="1" t="s">
        <v>33</v>
      </c>
      <c r="H4267" s="1" t="s">
        <v>46</v>
      </c>
    </row>
    <row r="4268" spans="1:8" ht="16.5">
      <c r="A4268" s="1" t="s">
        <v>1317</v>
      </c>
      <c r="B4268" s="1" t="s">
        <v>1318</v>
      </c>
      <c r="C4268" s="1" t="s">
        <v>2935</v>
      </c>
      <c r="D4268" s="1" t="s">
        <v>32</v>
      </c>
      <c r="E4268" s="12">
        <f>4*F4268</f>
        <v>1.8184367999999999E-2</v>
      </c>
      <c r="F4268" s="12">
        <f>Systems!P6</f>
        <v>4.5460919999999998E-3</v>
      </c>
      <c r="G4268" s="1" t="s">
        <v>33</v>
      </c>
      <c r="H4268" s="1" t="s">
        <v>46</v>
      </c>
    </row>
    <row r="4269" spans="1:8" ht="16.5">
      <c r="A4269" s="1" t="s">
        <v>1323</v>
      </c>
      <c r="B4269" s="1" t="s">
        <v>1316</v>
      </c>
      <c r="C4269" s="1" t="s">
        <v>2935</v>
      </c>
      <c r="D4269" s="1" t="s">
        <v>32</v>
      </c>
      <c r="E4269" s="12">
        <f>8*F4269</f>
        <v>3.6368735999999999E-2</v>
      </c>
      <c r="F4269" s="12">
        <f>Systems!P6</f>
        <v>4.5460919999999998E-3</v>
      </c>
      <c r="G4269" s="1" t="s">
        <v>33</v>
      </c>
      <c r="H4269" s="1" t="s">
        <v>46</v>
      </c>
    </row>
    <row r="4270" spans="1:8" ht="16.5">
      <c r="A4270" s="1" t="s">
        <v>1324</v>
      </c>
      <c r="B4270" s="1" t="s">
        <v>1325</v>
      </c>
      <c r="C4270" s="1" t="s">
        <v>2935</v>
      </c>
      <c r="D4270" s="1" t="s">
        <v>32</v>
      </c>
      <c r="E4270" s="12">
        <f>108*F4270</f>
        <v>0.490977936</v>
      </c>
      <c r="F4270" s="12">
        <f>Systems!P6</f>
        <v>4.5460919999999998E-3</v>
      </c>
      <c r="G4270" s="1" t="s">
        <v>33</v>
      </c>
      <c r="H4270" s="1" t="s">
        <v>46</v>
      </c>
    </row>
    <row r="4271" spans="1:8" ht="16.5">
      <c r="A4271" s="1" t="s">
        <v>1412</v>
      </c>
      <c r="B4271" s="1" t="s">
        <v>26</v>
      </c>
      <c r="C4271" s="1" t="s">
        <v>2935</v>
      </c>
      <c r="D4271" s="1" t="s">
        <v>32</v>
      </c>
      <c r="E4271" s="12">
        <f>F4271/8</f>
        <v>5.6826149999999998E-4</v>
      </c>
      <c r="F4271" s="12">
        <f>Systems!P6</f>
        <v>4.5460919999999998E-3</v>
      </c>
      <c r="G4271" s="1" t="s">
        <v>33</v>
      </c>
      <c r="H4271" s="1" t="s">
        <v>46</v>
      </c>
    </row>
    <row r="4272" spans="1:8" ht="16.5">
      <c r="A4272" s="1" t="s">
        <v>1431</v>
      </c>
      <c r="B4272" s="1" t="s">
        <v>26</v>
      </c>
      <c r="C4272" s="1" t="s">
        <v>2935</v>
      </c>
      <c r="D4272" s="1" t="s">
        <v>32</v>
      </c>
      <c r="E4272" s="12">
        <f>32*F4272</f>
        <v>0.14547494399999999</v>
      </c>
      <c r="F4272" s="12">
        <f>Systems!P6</f>
        <v>4.5460919999999998E-3</v>
      </c>
      <c r="G4272" s="1" t="s">
        <v>33</v>
      </c>
      <c r="H4272" s="1" t="s">
        <v>46</v>
      </c>
    </row>
    <row r="4273" spans="1:8" ht="16.5">
      <c r="A4273" s="1" t="s">
        <v>147</v>
      </c>
      <c r="B4273" s="1" t="s">
        <v>2036</v>
      </c>
      <c r="C4273" s="1" t="s">
        <v>2935</v>
      </c>
      <c r="D4273" s="1" t="s">
        <v>32</v>
      </c>
      <c r="E4273" s="12">
        <f>37.5*F4273</f>
        <v>0.17047845</v>
      </c>
      <c r="F4273" s="12">
        <f>Systems!P6</f>
        <v>4.5460919999999998E-3</v>
      </c>
      <c r="G4273" s="1" t="s">
        <v>33</v>
      </c>
      <c r="H4273" s="1" t="s">
        <v>46</v>
      </c>
    </row>
    <row r="4274" spans="1:8" ht="16.5">
      <c r="A4274" s="1" t="s">
        <v>1468</v>
      </c>
      <c r="B4274" s="1" t="s">
        <v>6966</v>
      </c>
      <c r="C4274" s="1" t="s">
        <v>2935</v>
      </c>
      <c r="D4274" s="1" t="s">
        <v>32</v>
      </c>
      <c r="E4274" s="12">
        <f>F4274</f>
        <v>2.8413074999999999E-4</v>
      </c>
      <c r="F4274" s="12">
        <f>Systems!P6/16</f>
        <v>2.8413074999999999E-4</v>
      </c>
      <c r="G4274" s="1" t="s">
        <v>33</v>
      </c>
      <c r="H4274" s="1" t="s">
        <v>46</v>
      </c>
    </row>
    <row r="4275" spans="1:8" ht="16.5">
      <c r="A4275" s="1" t="s">
        <v>1498</v>
      </c>
      <c r="B4275" s="1" t="s">
        <v>26</v>
      </c>
      <c r="C4275" s="1" t="s">
        <v>2935</v>
      </c>
      <c r="D4275" s="1" t="s">
        <v>32</v>
      </c>
      <c r="E4275" s="12">
        <f>F4275</f>
        <v>2.8413074999999999E-4</v>
      </c>
      <c r="F4275" s="12">
        <f>Systems!P6/16</f>
        <v>2.8413074999999999E-4</v>
      </c>
      <c r="G4275" s="1" t="s">
        <v>33</v>
      </c>
      <c r="H4275" s="1" t="s">
        <v>46</v>
      </c>
    </row>
    <row r="4276" spans="1:8" ht="16.5">
      <c r="A4276" s="1" t="s">
        <v>1548</v>
      </c>
      <c r="B4276" s="1" t="s">
        <v>6302</v>
      </c>
      <c r="C4276" s="1" t="s">
        <v>2935</v>
      </c>
      <c r="D4276" s="1" t="s">
        <v>32</v>
      </c>
      <c r="E4276" s="12">
        <f>F4276/8</f>
        <v>3.5516343749999999E-6</v>
      </c>
      <c r="F4276" s="12">
        <f>Systems!P6/160</f>
        <v>2.8413074999999999E-5</v>
      </c>
      <c r="G4276" s="1" t="s">
        <v>33</v>
      </c>
      <c r="H4276" s="1" t="s">
        <v>46</v>
      </c>
    </row>
    <row r="4277" spans="1:8" ht="16.5">
      <c r="A4277" s="1" t="s">
        <v>1551</v>
      </c>
      <c r="B4277" s="1" t="s">
        <v>26</v>
      </c>
      <c r="C4277" s="1" t="s">
        <v>2935</v>
      </c>
      <c r="D4277" s="1" t="s">
        <v>32</v>
      </c>
      <c r="E4277" s="12">
        <f>F4277/1280</f>
        <v>3.5516343749999999E-6</v>
      </c>
      <c r="F4277" s="12">
        <f>Systems!P6</f>
        <v>4.5460919999999998E-3</v>
      </c>
      <c r="G4277" s="1" t="s">
        <v>33</v>
      </c>
      <c r="H4277" s="1" t="s">
        <v>46</v>
      </c>
    </row>
    <row r="4278" spans="1:8" ht="16.5">
      <c r="A4278" s="1" t="s">
        <v>1559</v>
      </c>
      <c r="B4278" s="1" t="s">
        <v>1054</v>
      </c>
      <c r="C4278" s="1" t="s">
        <v>2935</v>
      </c>
      <c r="D4278" s="1" t="s">
        <v>32</v>
      </c>
      <c r="E4278" s="12">
        <f>F4278/76800</f>
        <v>5.9193906249999998E-8</v>
      </c>
      <c r="F4278" s="12">
        <f>Systems!P6</f>
        <v>4.5460919999999998E-3</v>
      </c>
      <c r="G4278" s="1" t="s">
        <v>33</v>
      </c>
      <c r="H4278" s="1" t="s">
        <v>46</v>
      </c>
    </row>
    <row r="4279" spans="1:8" ht="16.5">
      <c r="A4279" s="1" t="s">
        <v>1021</v>
      </c>
      <c r="B4279" s="1" t="s">
        <v>1617</v>
      </c>
      <c r="C4279" s="1" t="s">
        <v>2935</v>
      </c>
      <c r="D4279" s="1" t="s">
        <v>32</v>
      </c>
      <c r="E4279" s="12">
        <f>9*F4279</f>
        <v>4.0914828E-2</v>
      </c>
      <c r="F4279" s="12">
        <f>Systems!P6</f>
        <v>4.5460919999999998E-3</v>
      </c>
      <c r="G4279" s="1" t="s">
        <v>33</v>
      </c>
      <c r="H4279" s="1" t="s">
        <v>46</v>
      </c>
    </row>
    <row r="4280" spans="1:8" ht="16.5">
      <c r="A4280" s="1" t="s">
        <v>5431</v>
      </c>
      <c r="B4280" s="1" t="s">
        <v>26</v>
      </c>
      <c r="C4280" s="1" t="s">
        <v>2935</v>
      </c>
      <c r="D4280" s="1" t="s">
        <v>32</v>
      </c>
      <c r="E4280" s="12">
        <f>9*F4280</f>
        <v>4.1590368432000008E-2</v>
      </c>
      <c r="F4280" s="12">
        <f>Systems!P7</f>
        <v>4.6211520480000006E-3</v>
      </c>
      <c r="G4280" s="1" t="s">
        <v>33</v>
      </c>
      <c r="H4280" s="1" t="s">
        <v>46</v>
      </c>
    </row>
    <row r="4281" spans="1:8" ht="16.5">
      <c r="A4281" s="1" t="s">
        <v>1625</v>
      </c>
      <c r="B4281" s="1" t="s">
        <v>26</v>
      </c>
      <c r="C4281" s="1" t="s">
        <v>2935</v>
      </c>
      <c r="D4281" s="1" t="s">
        <v>32</v>
      </c>
      <c r="E4281" s="12">
        <f>231*F4281</f>
        <v>3.7854117840000006E-3</v>
      </c>
      <c r="F4281" s="12">
        <f>POWER(Systems!D6/12,3)</f>
        <v>1.6387064000000003E-5</v>
      </c>
      <c r="G4281" s="1" t="s">
        <v>33</v>
      </c>
      <c r="H4281" s="1" t="s">
        <v>46</v>
      </c>
    </row>
    <row r="4282" spans="1:8" ht="16.5">
      <c r="A4282" s="1" t="s">
        <v>5432</v>
      </c>
      <c r="B4282" s="1" t="s">
        <v>26</v>
      </c>
      <c r="C4282" s="1" t="s">
        <v>2935</v>
      </c>
      <c r="D4282" s="1" t="s">
        <v>32</v>
      </c>
      <c r="E4282" s="12">
        <f>F4282/1280</f>
        <v>3.5516343749999999E-6</v>
      </c>
      <c r="F4282" s="12">
        <f>Systems!P6</f>
        <v>4.5460919999999998E-3</v>
      </c>
      <c r="G4282" s="1" t="s">
        <v>33</v>
      </c>
      <c r="H4282" s="1" t="s">
        <v>46</v>
      </c>
    </row>
    <row r="4283" spans="1:8" ht="16.5">
      <c r="A4283" s="1" t="s">
        <v>4839</v>
      </c>
      <c r="B4283" s="1" t="s">
        <v>4838</v>
      </c>
      <c r="C4283" s="1" t="s">
        <v>2935</v>
      </c>
      <c r="D4283" s="1" t="s">
        <v>32</v>
      </c>
      <c r="E4283" s="12">
        <f>F4283/160</f>
        <v>2.8413074999999999E-5</v>
      </c>
      <c r="F4283" s="12">
        <f>Systems!T6</f>
        <v>4.5460919999999998E-3</v>
      </c>
      <c r="G4283" s="1" t="s">
        <v>33</v>
      </c>
      <c r="H4283" s="1" t="s">
        <v>46</v>
      </c>
    </row>
    <row r="4284" spans="1:8" ht="16.5">
      <c r="A4284" s="1" t="s">
        <v>818</v>
      </c>
      <c r="B4284" s="1" t="s">
        <v>6963</v>
      </c>
      <c r="C4284" s="1" t="s">
        <v>2935</v>
      </c>
      <c r="D4284" s="1" t="s">
        <v>32</v>
      </c>
      <c r="E4284" s="12">
        <f>F4284</f>
        <v>4.5460919999999998E-3</v>
      </c>
      <c r="F4284" s="12">
        <f>Systems!P6</f>
        <v>4.5460919999999998E-3</v>
      </c>
      <c r="G4284" s="1" t="s">
        <v>33</v>
      </c>
      <c r="H4284" s="1" t="s">
        <v>46</v>
      </c>
    </row>
    <row r="4285" spans="1:8" ht="16.5">
      <c r="A4285" s="1" t="s">
        <v>5433</v>
      </c>
      <c r="B4285" s="1" t="s">
        <v>26</v>
      </c>
      <c r="C4285" s="1" t="s">
        <v>2935</v>
      </c>
      <c r="D4285" s="1" t="s">
        <v>32</v>
      </c>
      <c r="E4285" s="12">
        <f>F4285</f>
        <v>4.6211520480000006E-3</v>
      </c>
      <c r="F4285" s="12">
        <f>Systems!P7</f>
        <v>4.6211520480000006E-3</v>
      </c>
      <c r="G4285" s="1" t="s">
        <v>33</v>
      </c>
      <c r="H4285" s="1" t="s">
        <v>46</v>
      </c>
    </row>
    <row r="4286" spans="1:8" ht="16.5">
      <c r="A4286" s="1" t="s">
        <v>1679</v>
      </c>
      <c r="B4286" s="1" t="s">
        <v>1680</v>
      </c>
      <c r="C4286" s="1" t="s">
        <v>2935</v>
      </c>
      <c r="D4286" s="1" t="s">
        <v>32</v>
      </c>
      <c r="E4286" s="12">
        <f>F4286/32</f>
        <v>1.42065375E-4</v>
      </c>
      <c r="F4286" s="12">
        <f>Systems!P6</f>
        <v>4.5460919999999998E-3</v>
      </c>
      <c r="G4286" s="1" t="s">
        <v>33</v>
      </c>
      <c r="H4286" s="1" t="s">
        <v>46</v>
      </c>
    </row>
    <row r="4287" spans="1:8" ht="16.5">
      <c r="A4287" s="1" t="s">
        <v>1463</v>
      </c>
      <c r="B4287" s="1" t="s">
        <v>238</v>
      </c>
      <c r="C4287" s="1" t="s">
        <v>2935</v>
      </c>
      <c r="D4287" s="1" t="s">
        <v>32</v>
      </c>
      <c r="E4287" s="12">
        <f>63*F4287</f>
        <v>0.28640379599999999</v>
      </c>
      <c r="F4287" s="12">
        <f>Systems!P6</f>
        <v>4.5460919999999998E-3</v>
      </c>
      <c r="G4287" s="1" t="s">
        <v>33</v>
      </c>
      <c r="H4287" s="1" t="s">
        <v>46</v>
      </c>
    </row>
    <row r="4288" spans="1:8" ht="16.5">
      <c r="A4288" s="1" t="s">
        <v>5434</v>
      </c>
      <c r="B4288" s="1" t="s">
        <v>5435</v>
      </c>
      <c r="C4288" s="1" t="s">
        <v>2935</v>
      </c>
      <c r="D4288" s="1" t="s">
        <v>32</v>
      </c>
      <c r="E4288" s="12">
        <f>54*F4288</f>
        <v>0.24954221059200002</v>
      </c>
      <c r="F4288" s="12">
        <f>Systems!P7</f>
        <v>4.6211520480000006E-3</v>
      </c>
      <c r="G4288" s="1" t="s">
        <v>33</v>
      </c>
      <c r="H4288" s="1" t="s">
        <v>46</v>
      </c>
    </row>
    <row r="4289" spans="1:8" ht="16.5">
      <c r="A4289" s="1" t="s">
        <v>1772</v>
      </c>
      <c r="B4289" s="1" t="s">
        <v>26</v>
      </c>
      <c r="C4289" s="1" t="s">
        <v>2935</v>
      </c>
      <c r="D4289" s="1" t="s">
        <v>32</v>
      </c>
      <c r="E4289" s="12">
        <f>2*F4289/3</f>
        <v>3.0307279999999999E-3</v>
      </c>
      <c r="F4289" s="12">
        <f>Systems!P6</f>
        <v>4.5460919999999998E-3</v>
      </c>
      <c r="G4289" s="1" t="s">
        <v>33</v>
      </c>
      <c r="H4289" s="1" t="s">
        <v>46</v>
      </c>
    </row>
    <row r="4290" spans="1:8" ht="16.5">
      <c r="A4290" s="1" t="s">
        <v>1773</v>
      </c>
      <c r="B4290" s="1" t="s">
        <v>26</v>
      </c>
      <c r="C4290" s="1" t="s">
        <v>2935</v>
      </c>
      <c r="D4290" s="1" t="s">
        <v>32</v>
      </c>
      <c r="E4290" s="12">
        <f>F4290/160</f>
        <v>2.8413074999999999E-5</v>
      </c>
      <c r="F4290" s="12">
        <f>Systems!P6</f>
        <v>4.5460919999999998E-3</v>
      </c>
      <c r="G4290" s="1" t="s">
        <v>33</v>
      </c>
      <c r="H4290" s="1" t="s">
        <v>46</v>
      </c>
    </row>
    <row r="4291" spans="1:8" ht="16.5">
      <c r="A4291" s="1" t="s">
        <v>1841</v>
      </c>
      <c r="B4291" s="1" t="s">
        <v>26</v>
      </c>
      <c r="C4291" s="1" t="s">
        <v>2935</v>
      </c>
      <c r="D4291" s="1" t="s">
        <v>32</v>
      </c>
      <c r="E4291" s="12">
        <f>18*F4291</f>
        <v>8.1829656000000001E-2</v>
      </c>
      <c r="F4291" s="12">
        <f>Systems!P6</f>
        <v>4.5460919999999998E-3</v>
      </c>
      <c r="G4291" s="1" t="s">
        <v>33</v>
      </c>
      <c r="H4291" s="1" t="s">
        <v>46</v>
      </c>
    </row>
    <row r="4292" spans="1:8" ht="16.5">
      <c r="A4292" s="1" t="s">
        <v>1932</v>
      </c>
      <c r="B4292" s="1" t="s">
        <v>26</v>
      </c>
      <c r="C4292" s="1" t="s">
        <v>2935</v>
      </c>
      <c r="D4292" s="1" t="s">
        <v>32</v>
      </c>
      <c r="E4292" s="12">
        <f>640*F4292</f>
        <v>2.9094988800000001</v>
      </c>
      <c r="F4292" s="12">
        <f>Systems!P6</f>
        <v>4.5460919999999998E-3</v>
      </c>
      <c r="G4292" s="1" t="s">
        <v>33</v>
      </c>
      <c r="H4292" s="1" t="s">
        <v>46</v>
      </c>
    </row>
    <row r="4293" spans="1:8" ht="16.5">
      <c r="A4293" s="1" t="s">
        <v>280</v>
      </c>
      <c r="B4293" s="1" t="s">
        <v>26</v>
      </c>
      <c r="C4293" s="1" t="s">
        <v>2935</v>
      </c>
      <c r="D4293" s="1" t="s">
        <v>32</v>
      </c>
      <c r="E4293" s="12">
        <f>F4293/3</f>
        <v>1.5153639999999999E-3</v>
      </c>
      <c r="F4293" s="12">
        <f>Systems!P6</f>
        <v>4.5460919999999998E-3</v>
      </c>
      <c r="G4293" s="1" t="s">
        <v>33</v>
      </c>
      <c r="H4293" s="1" t="s">
        <v>46</v>
      </c>
    </row>
    <row r="4294" spans="1:8" ht="16.5">
      <c r="A4294" s="1" t="s">
        <v>2032</v>
      </c>
      <c r="B4294" s="1" t="s">
        <v>26</v>
      </c>
      <c r="C4294" s="1" t="s">
        <v>2935</v>
      </c>
      <c r="D4294" s="1" t="s">
        <v>32</v>
      </c>
      <c r="E4294" s="12">
        <f>3*F4294/2</f>
        <v>6.8191379999999998E-3</v>
      </c>
      <c r="F4294" s="12">
        <f>Systems!P6</f>
        <v>4.5460919999999998E-3</v>
      </c>
      <c r="G4294" s="1" t="s">
        <v>33</v>
      </c>
      <c r="H4294" s="1" t="s">
        <v>46</v>
      </c>
    </row>
    <row r="4295" spans="1:8" ht="16.5">
      <c r="A4295" s="1" t="s">
        <v>2031</v>
      </c>
      <c r="B4295" s="1" t="s">
        <v>26</v>
      </c>
      <c r="C4295" s="1" t="s">
        <v>2935</v>
      </c>
      <c r="D4295" s="1" t="s">
        <v>32</v>
      </c>
      <c r="E4295" s="12">
        <f>3*F4295/2</f>
        <v>6.8191379999999998E-3</v>
      </c>
      <c r="F4295" s="12">
        <f>Systems!P6</f>
        <v>4.5460919999999998E-3</v>
      </c>
      <c r="G4295" s="1" t="s">
        <v>33</v>
      </c>
      <c r="H4295" s="1" t="s">
        <v>46</v>
      </c>
    </row>
    <row r="4296" spans="1:8" ht="16.5">
      <c r="A4296" s="1" t="s">
        <v>2084</v>
      </c>
      <c r="B4296" s="5" t="s">
        <v>20</v>
      </c>
      <c r="C4296" s="1" t="s">
        <v>2935</v>
      </c>
      <c r="D4296" s="1" t="s">
        <v>32</v>
      </c>
      <c r="E4296" s="12">
        <f>F4296/76800</f>
        <v>5.9193906249999998E-8</v>
      </c>
      <c r="F4296" s="12">
        <f>Systems!P6</f>
        <v>4.5460919999999998E-3</v>
      </c>
      <c r="G4296" s="1" t="s">
        <v>33</v>
      </c>
      <c r="H4296" s="1" t="s">
        <v>46</v>
      </c>
    </row>
    <row r="4297" spans="1:8" ht="16.5">
      <c r="A4297" s="1" t="s">
        <v>2117</v>
      </c>
      <c r="B4297" s="1" t="s">
        <v>26</v>
      </c>
      <c r="C4297" s="1" t="s">
        <v>2935</v>
      </c>
      <c r="D4297" s="1" t="s">
        <v>32</v>
      </c>
      <c r="E4297" s="12">
        <f>10*F4297/3</f>
        <v>1.5153640000000001E-2</v>
      </c>
      <c r="F4297" s="12">
        <f>Systems!P6</f>
        <v>4.5460919999999998E-3</v>
      </c>
      <c r="G4297" s="1" t="s">
        <v>33</v>
      </c>
      <c r="H4297" s="1" t="s">
        <v>46</v>
      </c>
    </row>
    <row r="4298" spans="1:8" ht="16.5">
      <c r="A4298" s="1" t="s">
        <v>2116</v>
      </c>
      <c r="B4298" s="1" t="s">
        <v>26</v>
      </c>
      <c r="C4298" s="1" t="s">
        <v>2935</v>
      </c>
      <c r="D4298" s="1" t="s">
        <v>32</v>
      </c>
      <c r="E4298" s="12">
        <f>10*F4298/3</f>
        <v>1.5153640000000001E-2</v>
      </c>
      <c r="F4298" s="12">
        <f>Systems!P6</f>
        <v>4.5460919999999998E-3</v>
      </c>
      <c r="G4298" s="1" t="s">
        <v>33</v>
      </c>
      <c r="H4298" s="1" t="s">
        <v>46</v>
      </c>
    </row>
    <row r="4299" spans="1:8" ht="16.5">
      <c r="A4299" s="1" t="s">
        <v>2140</v>
      </c>
      <c r="B4299" s="1" t="s">
        <v>2141</v>
      </c>
      <c r="C4299" s="1" t="s">
        <v>2935</v>
      </c>
      <c r="D4299" s="1" t="s">
        <v>32</v>
      </c>
      <c r="E4299" s="12">
        <f>F4299</f>
        <v>1.42065375E-4</v>
      </c>
      <c r="F4299" s="12">
        <f>Systems!P6/32</f>
        <v>1.42065375E-4</v>
      </c>
      <c r="G4299" s="1" t="s">
        <v>33</v>
      </c>
      <c r="H4299" s="1" t="s">
        <v>46</v>
      </c>
    </row>
    <row r="4300" spans="1:8" ht="16.5">
      <c r="A4300" s="1" t="s">
        <v>957</v>
      </c>
      <c r="B4300" s="1" t="s">
        <v>7002</v>
      </c>
      <c r="C4300" s="1" t="s">
        <v>2935</v>
      </c>
      <c r="D4300" s="1" t="s">
        <v>32</v>
      </c>
      <c r="E4300" s="12">
        <f>F4300/160</f>
        <v>2.8413074999999999E-5</v>
      </c>
      <c r="F4300" s="12">
        <f>Systems!P6</f>
        <v>4.5460919999999998E-3</v>
      </c>
      <c r="G4300" s="1" t="s">
        <v>33</v>
      </c>
      <c r="H4300" s="1" t="s">
        <v>46</v>
      </c>
    </row>
    <row r="4301" spans="1:8" ht="16.5">
      <c r="A4301" s="1" t="s">
        <v>2268</v>
      </c>
      <c r="B4301" s="1" t="s">
        <v>26</v>
      </c>
      <c r="C4301" s="1" t="s">
        <v>2935</v>
      </c>
      <c r="D4301" s="1" t="s">
        <v>32</v>
      </c>
      <c r="E4301" s="12">
        <f>9*F4301/2</f>
        <v>2.0457414E-2</v>
      </c>
      <c r="F4301" s="12">
        <f>Systems!P6</f>
        <v>4.5460919999999998E-3</v>
      </c>
      <c r="G4301" s="1" t="s">
        <v>33</v>
      </c>
      <c r="H4301" s="1" t="s">
        <v>46</v>
      </c>
    </row>
    <row r="4302" spans="1:8" ht="16.5">
      <c r="A4302" s="1" t="s">
        <v>5436</v>
      </c>
      <c r="B4302" s="1" t="s">
        <v>26</v>
      </c>
      <c r="C4302" s="1" t="s">
        <v>2935</v>
      </c>
      <c r="D4302" s="1" t="s">
        <v>32</v>
      </c>
      <c r="E4302" s="12">
        <f>9*F4302/2</f>
        <v>2.0795184216000004E-2</v>
      </c>
      <c r="F4302" s="12">
        <f>Systems!P7</f>
        <v>4.6211520480000006E-3</v>
      </c>
      <c r="G4302" s="1" t="s">
        <v>33</v>
      </c>
      <c r="H4302" s="1" t="s">
        <v>46</v>
      </c>
    </row>
    <row r="4303" spans="1:8" ht="16.5">
      <c r="A4303" s="1" t="s">
        <v>2275</v>
      </c>
      <c r="B4303" s="1" t="s">
        <v>6965</v>
      </c>
      <c r="C4303" s="1" t="s">
        <v>2935</v>
      </c>
      <c r="D4303" s="1" t="s">
        <v>32</v>
      </c>
      <c r="E4303" s="12">
        <f>F4303/8</f>
        <v>5.6826149999999998E-4</v>
      </c>
      <c r="F4303" s="12">
        <f>Systems!P6</f>
        <v>4.5460919999999998E-3</v>
      </c>
      <c r="G4303" s="1" t="s">
        <v>33</v>
      </c>
      <c r="H4303" s="1" t="s">
        <v>46</v>
      </c>
    </row>
    <row r="4304" spans="1:8" ht="16.5">
      <c r="A4304" s="1" t="s">
        <v>2296</v>
      </c>
      <c r="B4304" s="1" t="s">
        <v>26</v>
      </c>
      <c r="C4304" s="1" t="s">
        <v>2935</v>
      </c>
      <c r="D4304" s="1" t="s">
        <v>32</v>
      </c>
      <c r="E4304" s="12">
        <f>F4304/2</f>
        <v>2.2730459999999999E-3</v>
      </c>
      <c r="F4304" s="12">
        <f>Systems!P6</f>
        <v>4.5460919999999998E-3</v>
      </c>
      <c r="G4304" s="1" t="s">
        <v>33</v>
      </c>
      <c r="H4304" s="1" t="s">
        <v>46</v>
      </c>
    </row>
    <row r="4305" spans="1:8" ht="16.5">
      <c r="A4305" s="1" t="s">
        <v>2310</v>
      </c>
      <c r="B4305" s="1" t="s">
        <v>26</v>
      </c>
      <c r="C4305" s="1" t="s">
        <v>2935</v>
      </c>
      <c r="D4305" s="1" t="s">
        <v>32</v>
      </c>
      <c r="E4305" s="12">
        <f>70*F4305</f>
        <v>0.31822644</v>
      </c>
      <c r="F4305" s="12">
        <f>Systems!P6</f>
        <v>4.5460919999999998E-3</v>
      </c>
      <c r="G4305" s="1" t="s">
        <v>33</v>
      </c>
      <c r="H4305" s="1" t="s">
        <v>46</v>
      </c>
    </row>
    <row r="4306" spans="1:8" ht="16.5">
      <c r="A4306" s="1" t="s">
        <v>5437</v>
      </c>
      <c r="B4306" s="1" t="s">
        <v>26</v>
      </c>
      <c r="C4306" s="1" t="s">
        <v>2935</v>
      </c>
      <c r="D4306" s="1" t="s">
        <v>32</v>
      </c>
      <c r="E4306" s="12">
        <f>72*F4306</f>
        <v>0.33272294745600006</v>
      </c>
      <c r="F4306" s="12">
        <f>Systems!P7</f>
        <v>4.6211520480000006E-3</v>
      </c>
      <c r="G4306" s="1" t="s">
        <v>33</v>
      </c>
      <c r="H4306" s="1" t="s">
        <v>46</v>
      </c>
    </row>
    <row r="4307" spans="1:8" ht="16.5">
      <c r="A4307" s="1" t="s">
        <v>842</v>
      </c>
      <c r="B4307" s="1" t="s">
        <v>6964</v>
      </c>
      <c r="C4307" s="1" t="s">
        <v>2935</v>
      </c>
      <c r="D4307" s="1" t="s">
        <v>32</v>
      </c>
      <c r="E4307" s="12">
        <f>F4307/4</f>
        <v>1.136523E-3</v>
      </c>
      <c r="F4307" s="12">
        <f>Systems!P6</f>
        <v>4.5460919999999998E-3</v>
      </c>
      <c r="G4307" s="1" t="s">
        <v>33</v>
      </c>
      <c r="H4307" s="1" t="s">
        <v>46</v>
      </c>
    </row>
    <row r="4308" spans="1:8" ht="16.5">
      <c r="A4308" s="1" t="s">
        <v>1902</v>
      </c>
      <c r="B4308" s="1" t="s">
        <v>26</v>
      </c>
      <c r="C4308" s="1" t="s">
        <v>2935</v>
      </c>
      <c r="D4308" s="1" t="s">
        <v>32</v>
      </c>
      <c r="E4308" s="12">
        <f>64*F4308</f>
        <v>0.29094988799999999</v>
      </c>
      <c r="F4308" s="12">
        <f>Systems!P6</f>
        <v>4.5460919999999998E-3</v>
      </c>
      <c r="G4308" s="1" t="s">
        <v>33</v>
      </c>
      <c r="H4308" s="1" t="s">
        <v>46</v>
      </c>
    </row>
    <row r="4309" spans="1:8" ht="16.5">
      <c r="A4309" s="1" t="s">
        <v>2349</v>
      </c>
      <c r="B4309" s="1" t="s">
        <v>26</v>
      </c>
      <c r="C4309" s="1" t="s">
        <v>2935</v>
      </c>
      <c r="D4309" s="1" t="s">
        <v>32</v>
      </c>
      <c r="E4309" s="12">
        <f>F4309/32</f>
        <v>1.42065375E-4</v>
      </c>
      <c r="F4309" s="12">
        <f>Systems!P6</f>
        <v>4.5460919999999998E-3</v>
      </c>
      <c r="G4309" s="1" t="s">
        <v>33</v>
      </c>
      <c r="H4309" s="1" t="s">
        <v>46</v>
      </c>
    </row>
    <row r="4310" spans="1:8" ht="16.5">
      <c r="A4310" s="1" t="s">
        <v>2372</v>
      </c>
      <c r="B4310" s="1" t="s">
        <v>26</v>
      </c>
      <c r="C4310" s="1" t="s">
        <v>2935</v>
      </c>
      <c r="D4310" s="1" t="s">
        <v>32</v>
      </c>
      <c r="E4310" s="12">
        <f>F4310</f>
        <v>4.5460919999999998E-3</v>
      </c>
      <c r="F4310" s="12">
        <f>Systems!P6</f>
        <v>4.5460919999999998E-3</v>
      </c>
      <c r="G4310" s="1" t="s">
        <v>33</v>
      </c>
      <c r="H4310" s="1" t="s">
        <v>46</v>
      </c>
    </row>
    <row r="4311" spans="1:8" ht="16.5">
      <c r="A4311" s="1" t="s">
        <v>4746</v>
      </c>
      <c r="B4311" s="1" t="s">
        <v>26</v>
      </c>
      <c r="C4311" s="1" t="s">
        <v>2935</v>
      </c>
      <c r="D4311" s="1" t="s">
        <v>32</v>
      </c>
      <c r="E4311" s="12">
        <f>F4311/6</f>
        <v>6.3090196400000006E-4</v>
      </c>
      <c r="F4311" s="12">
        <f>Systems!P8</f>
        <v>3.7854117840000006E-3</v>
      </c>
      <c r="G4311" s="1" t="s">
        <v>33</v>
      </c>
      <c r="H4311" s="1" t="s">
        <v>46</v>
      </c>
    </row>
    <row r="4312" spans="1:8" ht="16.5">
      <c r="A4312" s="1" t="s">
        <v>2395</v>
      </c>
      <c r="B4312" s="1" t="s">
        <v>26</v>
      </c>
      <c r="C4312" s="1" t="s">
        <v>2935</v>
      </c>
      <c r="D4312" s="1" t="s">
        <v>32</v>
      </c>
      <c r="E4312" s="12">
        <f>F4312/32</f>
        <v>1.42065375E-4</v>
      </c>
      <c r="F4312" s="12">
        <f>Systems!P6</f>
        <v>4.5460919999999998E-3</v>
      </c>
      <c r="G4312" s="1" t="s">
        <v>33</v>
      </c>
      <c r="H4312" s="1" t="s">
        <v>46</v>
      </c>
    </row>
    <row r="4313" spans="1:8" ht="16.5">
      <c r="A4313" s="1" t="s">
        <v>2415</v>
      </c>
      <c r="B4313" s="1" t="s">
        <v>2834</v>
      </c>
      <c r="C4313" s="1" t="s">
        <v>2935</v>
      </c>
      <c r="D4313" s="1" t="s">
        <v>32</v>
      </c>
      <c r="E4313" s="12">
        <f>24*F4313</f>
        <v>0.109106208</v>
      </c>
      <c r="F4313" s="12">
        <f>Systems!P6</f>
        <v>4.5460919999999998E-3</v>
      </c>
      <c r="G4313" s="1" t="s">
        <v>33</v>
      </c>
      <c r="H4313" s="1" t="s">
        <v>46</v>
      </c>
    </row>
    <row r="4314" spans="1:8" ht="16.5">
      <c r="A4314" s="1" t="s">
        <v>2422</v>
      </c>
      <c r="B4314" s="1" t="s">
        <v>26</v>
      </c>
      <c r="C4314" s="1" t="s">
        <v>2935</v>
      </c>
      <c r="D4314" s="1" t="s">
        <v>32</v>
      </c>
      <c r="E4314" s="12">
        <f>2*F4314</f>
        <v>9.0921839999999997E-3</v>
      </c>
      <c r="F4314" s="12">
        <f>Systems!P6</f>
        <v>4.5460919999999998E-3</v>
      </c>
      <c r="G4314" s="1" t="s">
        <v>33</v>
      </c>
      <c r="H4314" s="1" t="s">
        <v>46</v>
      </c>
    </row>
    <row r="4315" spans="1:8" ht="16.5">
      <c r="A4315" s="1" t="s">
        <v>2423</v>
      </c>
      <c r="B4315" s="1" t="s">
        <v>26</v>
      </c>
      <c r="C4315" s="1" t="s">
        <v>2935</v>
      </c>
      <c r="D4315" s="1" t="s">
        <v>32</v>
      </c>
      <c r="E4315" s="12">
        <f>2*F4315</f>
        <v>9.0921839999999997E-3</v>
      </c>
      <c r="F4315" s="12">
        <f>Systems!P6</f>
        <v>4.5460919999999998E-3</v>
      </c>
      <c r="G4315" s="1" t="s">
        <v>33</v>
      </c>
      <c r="H4315" s="1" t="s">
        <v>46</v>
      </c>
    </row>
    <row r="4316" spans="1:8" ht="16.5">
      <c r="A4316" s="1" t="s">
        <v>588</v>
      </c>
      <c r="B4316" s="1" t="s">
        <v>26</v>
      </c>
      <c r="C4316" s="1" t="s">
        <v>2935</v>
      </c>
      <c r="D4316" s="1" t="s">
        <v>32</v>
      </c>
      <c r="E4316" s="12">
        <f>4*F4316</f>
        <v>1.8184367999999999E-2</v>
      </c>
      <c r="F4316" s="12">
        <f>Systems!P6</f>
        <v>4.5460919999999998E-3</v>
      </c>
      <c r="G4316" s="1" t="s">
        <v>33</v>
      </c>
      <c r="H4316" s="1" t="s">
        <v>46</v>
      </c>
    </row>
    <row r="4317" spans="1:8" ht="16.5">
      <c r="A4317" s="1" t="s">
        <v>1505</v>
      </c>
      <c r="B4317" s="1" t="s">
        <v>26</v>
      </c>
      <c r="C4317" s="1" t="s">
        <v>2935</v>
      </c>
      <c r="D4317" s="1" t="s">
        <v>32</v>
      </c>
      <c r="E4317" s="12">
        <f>F4317/3840</f>
        <v>1.183878125E-6</v>
      </c>
      <c r="F4317" s="12">
        <f>Systems!P6</f>
        <v>4.5460919999999998E-3</v>
      </c>
      <c r="G4317" s="1" t="s">
        <v>33</v>
      </c>
      <c r="H4317" s="1" t="s">
        <v>46</v>
      </c>
    </row>
    <row r="4318" spans="1:8" ht="16.5">
      <c r="A4318" s="1" t="s">
        <v>2461</v>
      </c>
      <c r="B4318" s="1" t="s">
        <v>26</v>
      </c>
      <c r="C4318" s="1" t="s">
        <v>2935</v>
      </c>
      <c r="D4318" s="1" t="s">
        <v>32</v>
      </c>
      <c r="E4318" s="12">
        <f>64*F4318</f>
        <v>0.29094988799999999</v>
      </c>
      <c r="F4318" s="12">
        <f>Systems!P6</f>
        <v>4.5460919999999998E-3</v>
      </c>
      <c r="G4318" s="1" t="s">
        <v>33</v>
      </c>
      <c r="H4318" s="1" t="s">
        <v>46</v>
      </c>
    </row>
    <row r="4319" spans="1:8" ht="16.5">
      <c r="A4319" s="1" t="s">
        <v>598</v>
      </c>
      <c r="B4319" s="1" t="s">
        <v>26</v>
      </c>
      <c r="C4319" s="1" t="s">
        <v>2935</v>
      </c>
      <c r="D4319" s="1" t="s">
        <v>32</v>
      </c>
      <c r="E4319" s="12">
        <f>4*F4319</f>
        <v>1.8184367999999999E-2</v>
      </c>
      <c r="F4319" s="12">
        <f>Systems!P6</f>
        <v>4.5460919999999998E-3</v>
      </c>
      <c r="G4319" s="1" t="s">
        <v>33</v>
      </c>
      <c r="H4319" s="1" t="s">
        <v>46</v>
      </c>
    </row>
    <row r="4320" spans="1:8" ht="16.5">
      <c r="A4320" s="1" t="s">
        <v>2583</v>
      </c>
      <c r="B4320" s="1" t="s">
        <v>26</v>
      </c>
      <c r="C4320" s="1" t="s">
        <v>2935</v>
      </c>
      <c r="D4320" s="1" t="s">
        <v>32</v>
      </c>
      <c r="E4320" s="12">
        <f>16*F4320</f>
        <v>7.2737471999999997E-2</v>
      </c>
      <c r="F4320" s="12">
        <f>Systems!P6</f>
        <v>4.5460919999999998E-3</v>
      </c>
      <c r="G4320" s="1" t="s">
        <v>33</v>
      </c>
      <c r="H4320" s="1" t="s">
        <v>46</v>
      </c>
    </row>
    <row r="4321" spans="1:8" ht="16.5">
      <c r="A4321" s="1" t="s">
        <v>2594</v>
      </c>
      <c r="B4321" s="1" t="s">
        <v>26</v>
      </c>
      <c r="C4321" s="1" t="s">
        <v>2935</v>
      </c>
      <c r="D4321" s="1" t="s">
        <v>32</v>
      </c>
      <c r="E4321" s="12">
        <f>0.02*F4321</f>
        <v>2.0000000000000002E-5</v>
      </c>
      <c r="F4321" s="12">
        <f>'Physical Definitions'!E9</f>
        <v>1E-3</v>
      </c>
      <c r="G4321" s="1" t="s">
        <v>33</v>
      </c>
      <c r="H4321" s="1" t="s">
        <v>46</v>
      </c>
    </row>
    <row r="4322" spans="1:8" ht="16.5">
      <c r="A4322" s="1" t="s">
        <v>2626</v>
      </c>
      <c r="B4322" s="1" t="s">
        <v>609</v>
      </c>
      <c r="C4322" s="1" t="s">
        <v>2935</v>
      </c>
      <c r="D4322" s="1" t="s">
        <v>32</v>
      </c>
      <c r="E4322" s="12">
        <f>5*F4322</f>
        <v>1.4786764781250003E-4</v>
      </c>
      <c r="F4322" s="12">
        <f>Systems!P8/128</f>
        <v>2.9573529562500005E-5</v>
      </c>
      <c r="G4322" s="1" t="s">
        <v>33</v>
      </c>
      <c r="H4322" s="1" t="s">
        <v>46</v>
      </c>
    </row>
    <row r="4323" spans="1:8" ht="16.5">
      <c r="A4323" s="1" t="s">
        <v>2628</v>
      </c>
      <c r="B4323" s="1" t="s">
        <v>610</v>
      </c>
      <c r="C4323" s="1" t="s">
        <v>2935</v>
      </c>
      <c r="D4323" s="1" t="s">
        <v>32</v>
      </c>
      <c r="E4323" s="12">
        <f>F4323/8</f>
        <v>3.5516343749999999E-6</v>
      </c>
      <c r="F4323" s="12">
        <f>Systems!P6/160</f>
        <v>2.8413074999999999E-5</v>
      </c>
      <c r="G4323" s="1" t="s">
        <v>33</v>
      </c>
      <c r="H4323" s="1" t="s">
        <v>46</v>
      </c>
    </row>
    <row r="4324" spans="1:8" ht="16.5">
      <c r="A4324" s="1" t="s">
        <v>5438</v>
      </c>
      <c r="B4324" s="1" t="s">
        <v>26</v>
      </c>
      <c r="C4324" s="1" t="s">
        <v>2935</v>
      </c>
      <c r="D4324" s="1" t="s">
        <v>32</v>
      </c>
      <c r="E4324" s="12">
        <f>224*F4324</f>
        <v>1.0183246079999999</v>
      </c>
      <c r="F4324" s="12">
        <f>Systems!P6</f>
        <v>4.5460919999999998E-3</v>
      </c>
      <c r="G4324" s="1" t="s">
        <v>33</v>
      </c>
      <c r="H4324" s="1" t="s">
        <v>46</v>
      </c>
    </row>
    <row r="4325" spans="1:8" ht="16.5">
      <c r="A4325" s="1" t="s">
        <v>615</v>
      </c>
      <c r="B4325" s="1" t="s">
        <v>26</v>
      </c>
      <c r="C4325" s="1" t="s">
        <v>2935</v>
      </c>
      <c r="D4325" s="1" t="s">
        <v>32</v>
      </c>
      <c r="E4325" s="12">
        <f>F4325/16</f>
        <v>2.8413074999999999E-4</v>
      </c>
      <c r="F4325" s="12">
        <f>Systems!P6</f>
        <v>4.5460919999999998E-3</v>
      </c>
      <c r="G4325" s="1" t="s">
        <v>33</v>
      </c>
      <c r="H4325" s="1" t="s">
        <v>46</v>
      </c>
    </row>
    <row r="4326" spans="1:8" ht="16.5">
      <c r="A4326" s="1" t="s">
        <v>5602</v>
      </c>
      <c r="B4326" s="1" t="s">
        <v>26</v>
      </c>
      <c r="C4326" s="1" t="s">
        <v>2935</v>
      </c>
      <c r="D4326" s="1" t="s">
        <v>32</v>
      </c>
      <c r="E4326" s="12">
        <f>216*F4326</f>
        <v>0.99816884236800008</v>
      </c>
      <c r="F4326" s="12">
        <f>Systems!P7</f>
        <v>4.6211520480000006E-3</v>
      </c>
      <c r="G4326" s="1" t="s">
        <v>33</v>
      </c>
      <c r="H4326" s="1" t="s">
        <v>46</v>
      </c>
    </row>
    <row r="4327" spans="1:8" ht="16.5">
      <c r="A4327" s="1" t="s">
        <v>2792</v>
      </c>
      <c r="B4327" s="1" t="s">
        <v>26</v>
      </c>
      <c r="C4327" s="1" t="s">
        <v>2935</v>
      </c>
      <c r="D4327" s="1" t="s">
        <v>32</v>
      </c>
      <c r="E4327" s="12">
        <f>320*F4327</f>
        <v>1.4547494400000001</v>
      </c>
      <c r="F4327" s="12">
        <f>Systems!P6</f>
        <v>4.5460919999999998E-3</v>
      </c>
      <c r="G4327" s="1" t="s">
        <v>33</v>
      </c>
      <c r="H4327" s="1" t="s">
        <v>46</v>
      </c>
    </row>
    <row r="4328" spans="1:8" ht="16.5">
      <c r="A4328" s="1" t="s">
        <v>5439</v>
      </c>
      <c r="B4328" s="1" t="s">
        <v>26</v>
      </c>
      <c r="C4328" s="1" t="s">
        <v>2935</v>
      </c>
      <c r="D4328" s="1" t="s">
        <v>32</v>
      </c>
      <c r="E4328" s="12">
        <f>F4328</f>
        <v>3.7854117840000006E-3</v>
      </c>
      <c r="F4328" s="12">
        <f>Systems!P8</f>
        <v>3.7854117840000006E-3</v>
      </c>
      <c r="G4328" s="1" t="s">
        <v>33</v>
      </c>
      <c r="H4328" s="1" t="s">
        <v>46</v>
      </c>
    </row>
    <row r="4329" spans="1:8" ht="16.5">
      <c r="A4329" s="1" t="s">
        <v>5440</v>
      </c>
      <c r="B4329" s="1" t="s">
        <v>26</v>
      </c>
      <c r="C4329" s="1" t="s">
        <v>2935</v>
      </c>
      <c r="D4329" s="1" t="s">
        <v>32</v>
      </c>
      <c r="E4329" s="12">
        <f>2.5*F4329</f>
        <v>7.1032687499999998E-5</v>
      </c>
      <c r="F4329" s="12">
        <f>Systems!P6/160</f>
        <v>2.8413074999999999E-5</v>
      </c>
      <c r="G4329" s="1" t="s">
        <v>33</v>
      </c>
      <c r="H4329" s="1" t="s">
        <v>46</v>
      </c>
    </row>
    <row r="4330" spans="1:8">
      <c r="A4330" s="1" t="s">
        <v>5441</v>
      </c>
      <c r="B4330" s="1" t="s">
        <v>26</v>
      </c>
      <c r="C4330" s="1" t="s">
        <v>17</v>
      </c>
      <c r="D4330" s="1" t="s">
        <v>20</v>
      </c>
      <c r="E4330" s="12">
        <f>94*F4330</f>
        <v>42.637682779999999</v>
      </c>
      <c r="F4330" s="12">
        <f>Systems!L6</f>
        <v>0.45359237000000002</v>
      </c>
      <c r="G4330" s="1" t="s">
        <v>23</v>
      </c>
      <c r="H4330" s="1" t="s">
        <v>46</v>
      </c>
    </row>
    <row r="4331" spans="1:8">
      <c r="A4331" s="18" t="s">
        <v>1250</v>
      </c>
      <c r="B4331" s="1" t="s">
        <v>459</v>
      </c>
      <c r="C4331" s="1" t="s">
        <v>17</v>
      </c>
      <c r="D4331" s="1" t="s">
        <v>20</v>
      </c>
      <c r="E4331" s="12">
        <f>750*F4331</f>
        <v>340.1942775</v>
      </c>
      <c r="F4331" s="12">
        <f>Systems!L6</f>
        <v>0.45359237000000002</v>
      </c>
      <c r="G4331" s="1" t="s">
        <v>23</v>
      </c>
      <c r="H4331" s="1" t="s">
        <v>46</v>
      </c>
    </row>
    <row r="4332" spans="1:8">
      <c r="A4332" s="1" t="s">
        <v>5442</v>
      </c>
      <c r="B4332" s="1" t="s">
        <v>26</v>
      </c>
      <c r="C4332" s="1" t="s">
        <v>17</v>
      </c>
      <c r="D4332" s="1" t="s">
        <v>20</v>
      </c>
      <c r="E4332" s="136">
        <f>224*F4332</f>
        <v>101.60469088000001</v>
      </c>
      <c r="F4332" s="136">
        <f>Systems!L6</f>
        <v>0.45359237000000002</v>
      </c>
      <c r="G4332" s="1" t="s">
        <v>23</v>
      </c>
      <c r="H4332" s="1" t="s">
        <v>46</v>
      </c>
    </row>
    <row r="4333" spans="1:8">
      <c r="A4333" s="1" t="s">
        <v>5443</v>
      </c>
      <c r="B4333" s="1" t="s">
        <v>26</v>
      </c>
      <c r="C4333" s="1" t="s">
        <v>17</v>
      </c>
      <c r="D4333" s="1" t="s">
        <v>20</v>
      </c>
      <c r="E4333" s="12">
        <f>376*F4333</f>
        <v>170.55073111999999</v>
      </c>
      <c r="F4333" s="12">
        <f>Systems!L6</f>
        <v>0.45359237000000002</v>
      </c>
      <c r="G4333" s="1" t="s">
        <v>23</v>
      </c>
      <c r="H4333" s="1" t="s">
        <v>46</v>
      </c>
    </row>
    <row r="4334" spans="1:8">
      <c r="A4334" s="1" t="s">
        <v>5444</v>
      </c>
      <c r="B4334" s="1" t="s">
        <v>26</v>
      </c>
      <c r="C4334" s="1" t="s">
        <v>17</v>
      </c>
      <c r="D4334" s="1" t="s">
        <v>20</v>
      </c>
      <c r="E4334" s="12">
        <f>280*F4334</f>
        <v>127.00586360000001</v>
      </c>
      <c r="F4334" s="12">
        <f>Systems!L6</f>
        <v>0.45359237000000002</v>
      </c>
      <c r="G4334" s="1" t="s">
        <v>23</v>
      </c>
      <c r="H4334" s="1" t="s">
        <v>46</v>
      </c>
    </row>
    <row r="4335" spans="1:8">
      <c r="A4335" s="1" t="s">
        <v>1299</v>
      </c>
      <c r="B4335" s="1" t="s">
        <v>26</v>
      </c>
      <c r="C4335" s="1" t="s">
        <v>17</v>
      </c>
      <c r="D4335" s="1" t="s">
        <v>20</v>
      </c>
      <c r="E4335" s="12">
        <f>5*F4335</f>
        <v>2.2679618500000003</v>
      </c>
      <c r="F4335" s="12">
        <f>Systems!L6</f>
        <v>0.45359237000000002</v>
      </c>
      <c r="G4335" s="1" t="s">
        <v>23</v>
      </c>
      <c r="H4335" s="1" t="s">
        <v>46</v>
      </c>
    </row>
    <row r="4336" spans="1:8">
      <c r="A4336" s="1" t="s">
        <v>1309</v>
      </c>
      <c r="B4336" s="1" t="s">
        <v>26</v>
      </c>
      <c r="C4336" s="1" t="s">
        <v>17</v>
      </c>
      <c r="D4336" s="1" t="s">
        <v>20</v>
      </c>
      <c r="E4336" s="12">
        <f>90*F4336</f>
        <v>40.823313300000002</v>
      </c>
      <c r="F4336" s="12">
        <f>Systems!L6</f>
        <v>0.45359237000000002</v>
      </c>
      <c r="G4336" s="1" t="s">
        <v>23</v>
      </c>
      <c r="H4336" s="1" t="s">
        <v>46</v>
      </c>
    </row>
    <row r="4337" spans="1:8">
      <c r="A4337" s="1" t="s">
        <v>1315</v>
      </c>
      <c r="B4337" s="1" t="s">
        <v>26</v>
      </c>
      <c r="C4337" s="1" t="s">
        <v>17</v>
      </c>
      <c r="D4337" s="1" t="s">
        <v>20</v>
      </c>
      <c r="E4337" s="12">
        <f>7*F4337</f>
        <v>3.1751465900000002</v>
      </c>
      <c r="F4337" s="12">
        <f>Systems!L6</f>
        <v>0.45359237000000002</v>
      </c>
      <c r="G4337" s="1" t="s">
        <v>23</v>
      </c>
      <c r="H4337" s="1" t="s">
        <v>46</v>
      </c>
    </row>
    <row r="4338" spans="1:8">
      <c r="A4338" s="1" t="s">
        <v>4976</v>
      </c>
      <c r="B4338" s="1" t="s">
        <v>115</v>
      </c>
      <c r="C4338" s="1" t="s">
        <v>17</v>
      </c>
      <c r="D4338" s="1" t="s">
        <v>20</v>
      </c>
      <c r="E4338" s="12">
        <f>3.163*F4338/5760</f>
        <v>2.0495895233E-4</v>
      </c>
      <c r="F4338" s="12">
        <f>Systems!L5</f>
        <v>0.37324172160000002</v>
      </c>
      <c r="G4338" s="1" t="s">
        <v>23</v>
      </c>
      <c r="H4338" s="1" t="s">
        <v>46</v>
      </c>
    </row>
    <row r="4339" spans="1:8">
      <c r="A4339" s="1" t="s">
        <v>5445</v>
      </c>
      <c r="B4339" s="1" t="s">
        <v>499</v>
      </c>
      <c r="C4339" s="1" t="s">
        <v>17</v>
      </c>
      <c r="D4339" s="1" t="s">
        <v>20</v>
      </c>
      <c r="E4339" s="12">
        <f>53*112*F4339</f>
        <v>2692.5243083200003</v>
      </c>
      <c r="F4339" s="12">
        <f>Systems!L6</f>
        <v>0.45359237000000002</v>
      </c>
      <c r="G4339" s="1" t="s">
        <v>23</v>
      </c>
      <c r="H4339" s="1" t="s">
        <v>46</v>
      </c>
    </row>
    <row r="4340" spans="1:8">
      <c r="A4340" s="1" t="s">
        <v>5446</v>
      </c>
      <c r="B4340" s="1" t="s">
        <v>26</v>
      </c>
      <c r="C4340" s="1" t="s">
        <v>17</v>
      </c>
      <c r="D4340" s="1" t="s">
        <v>20</v>
      </c>
      <c r="E4340" s="12">
        <f>8*F4340</f>
        <v>3.6287389600000002</v>
      </c>
      <c r="F4340" s="12">
        <f>Systems!L6</f>
        <v>0.45359237000000002</v>
      </c>
      <c r="G4340" s="1" t="s">
        <v>23</v>
      </c>
      <c r="H4340" s="1" t="s">
        <v>46</v>
      </c>
    </row>
    <row r="4341" spans="1:8">
      <c r="A4341" s="1" t="s">
        <v>5447</v>
      </c>
      <c r="B4341" s="1" t="s">
        <v>26</v>
      </c>
      <c r="C4341" s="1" t="s">
        <v>17</v>
      </c>
      <c r="D4341" s="1" t="s">
        <v>20</v>
      </c>
      <c r="E4341" s="12">
        <f>8*F4341</f>
        <v>3.6287389600000002</v>
      </c>
      <c r="F4341" s="12">
        <f>Systems!L6</f>
        <v>0.45359237000000002</v>
      </c>
      <c r="G4341" s="1" t="s">
        <v>23</v>
      </c>
      <c r="H4341" s="1" t="s">
        <v>46</v>
      </c>
    </row>
    <row r="4342" spans="1:8">
      <c r="A4342" s="1" t="s">
        <v>5448</v>
      </c>
      <c r="B4342" s="1" t="s">
        <v>26</v>
      </c>
      <c r="C4342" s="1" t="s">
        <v>17</v>
      </c>
      <c r="D4342" s="1" t="s">
        <v>20</v>
      </c>
      <c r="E4342" s="12">
        <f>8*F4342</f>
        <v>3.6287389600000002</v>
      </c>
      <c r="F4342" s="12">
        <f>Systems!L6</f>
        <v>0.45359237000000002</v>
      </c>
      <c r="G4342" s="1" t="s">
        <v>23</v>
      </c>
      <c r="H4342" s="1" t="s">
        <v>46</v>
      </c>
    </row>
    <row r="4343" spans="1:8">
      <c r="A4343" s="1" t="s">
        <v>5449</v>
      </c>
      <c r="B4343" s="1" t="s">
        <v>26</v>
      </c>
      <c r="C4343" s="1" t="s">
        <v>17</v>
      </c>
      <c r="D4343" s="1" t="s">
        <v>20</v>
      </c>
      <c r="E4343" s="12">
        <f>100*F4343</f>
        <v>45.359237</v>
      </c>
      <c r="F4343" s="12">
        <f>Systems!L6</f>
        <v>0.45359237000000002</v>
      </c>
      <c r="G4343" s="1" t="s">
        <v>23</v>
      </c>
      <c r="H4343" s="1" t="s">
        <v>46</v>
      </c>
    </row>
    <row r="4344" spans="1:8">
      <c r="A4344" s="1" t="s">
        <v>1559</v>
      </c>
      <c r="B4344" s="1" t="s">
        <v>26</v>
      </c>
      <c r="C4344" s="1" t="s">
        <v>17</v>
      </c>
      <c r="D4344" s="1" t="s">
        <v>20</v>
      </c>
      <c r="E4344" s="12">
        <f>F4344/16</f>
        <v>1.9439673000000001E-3</v>
      </c>
      <c r="F4344" s="12">
        <f>Systems!L21</f>
        <v>3.1103476800000002E-2</v>
      </c>
      <c r="G4344" s="1" t="s">
        <v>23</v>
      </c>
      <c r="H4344" s="1" t="s">
        <v>46</v>
      </c>
    </row>
    <row r="4345" spans="1:8">
      <c r="A4345" s="1" t="s">
        <v>7519</v>
      </c>
      <c r="B4345" s="1" t="s">
        <v>26</v>
      </c>
      <c r="C4345" s="1" t="s">
        <v>17</v>
      </c>
      <c r="D4345" s="1" t="s">
        <v>20</v>
      </c>
      <c r="E4345" s="12">
        <f>112*F4345</f>
        <v>50.802345440000003</v>
      </c>
      <c r="F4345" s="12">
        <f>Systems!L6</f>
        <v>0.45359237000000002</v>
      </c>
      <c r="G4345" s="1" t="s">
        <v>23</v>
      </c>
      <c r="H4345" s="1" t="s">
        <v>46</v>
      </c>
    </row>
    <row r="4346" spans="1:8">
      <c r="A4346" s="1" t="s">
        <v>5450</v>
      </c>
      <c r="B4346" s="1" t="s">
        <v>26</v>
      </c>
      <c r="C4346" s="1" t="s">
        <v>17</v>
      </c>
      <c r="D4346" s="1" t="s">
        <v>20</v>
      </c>
      <c r="E4346" s="12">
        <f>56*F4346</f>
        <v>25.401172720000002</v>
      </c>
      <c r="F4346" s="12">
        <f>Systems!L6</f>
        <v>0.45359237000000002</v>
      </c>
      <c r="G4346" s="1" t="s">
        <v>23</v>
      </c>
      <c r="H4346" s="1" t="s">
        <v>46</v>
      </c>
    </row>
    <row r="4347" spans="1:8">
      <c r="A4347" s="1" t="s">
        <v>1631</v>
      </c>
      <c r="B4347" s="1" t="s">
        <v>26</v>
      </c>
      <c r="C4347" s="1" t="s">
        <v>17</v>
      </c>
      <c r="D4347" s="1" t="s">
        <v>20</v>
      </c>
      <c r="E4347" s="12">
        <f>2184*F4347</f>
        <v>990.64573608000001</v>
      </c>
      <c r="F4347" s="12">
        <f>Systems!L6</f>
        <v>0.45359237000000002</v>
      </c>
      <c r="G4347" s="1" t="s">
        <v>23</v>
      </c>
      <c r="H4347" s="1" t="s">
        <v>46</v>
      </c>
    </row>
    <row r="4348" spans="1:8">
      <c r="A4348" s="1" t="s">
        <v>1632</v>
      </c>
      <c r="B4348" s="1" t="s">
        <v>26</v>
      </c>
      <c r="C4348" s="1" t="s">
        <v>17</v>
      </c>
      <c r="D4348" s="1" t="s">
        <v>20</v>
      </c>
      <c r="E4348" s="12">
        <f>2100*F4348</f>
        <v>952.54397700000004</v>
      </c>
      <c r="F4348" s="12">
        <f>Systems!L6</f>
        <v>0.45359237000000002</v>
      </c>
      <c r="G4348" s="1" t="s">
        <v>23</v>
      </c>
      <c r="H4348" s="1" t="s">
        <v>46</v>
      </c>
    </row>
    <row r="4349" spans="1:8">
      <c r="A4349" s="30" t="s">
        <v>1633</v>
      </c>
      <c r="B4349" s="1" t="s">
        <v>26</v>
      </c>
      <c r="C4349" s="1" t="s">
        <v>17</v>
      </c>
      <c r="D4349" s="1" t="s">
        <v>20</v>
      </c>
      <c r="E4349" s="12">
        <f>70*F4349</f>
        <v>31.751465900000003</v>
      </c>
      <c r="F4349" s="12">
        <f>Systems!L6</f>
        <v>0.45359237000000002</v>
      </c>
      <c r="G4349" s="1" t="s">
        <v>23</v>
      </c>
      <c r="H4349" s="1" t="s">
        <v>46</v>
      </c>
    </row>
    <row r="4350" spans="1:8">
      <c r="A4350" s="1" t="s">
        <v>1634</v>
      </c>
      <c r="B4350" s="1" t="s">
        <v>26</v>
      </c>
      <c r="C4350" s="1" t="s">
        <v>17</v>
      </c>
      <c r="D4350" s="1" t="s">
        <v>20</v>
      </c>
      <c r="E4350" s="12">
        <f>50*F4350</f>
        <v>22.6796185</v>
      </c>
      <c r="F4350" s="12">
        <f>Systems!L6</f>
        <v>0.45359237000000002</v>
      </c>
      <c r="G4350" s="1" t="s">
        <v>23</v>
      </c>
      <c r="H4350" s="1" t="s">
        <v>46</v>
      </c>
    </row>
    <row r="4351" spans="1:8">
      <c r="A4351" s="1" t="s">
        <v>1664</v>
      </c>
      <c r="B4351" s="1" t="s">
        <v>26</v>
      </c>
      <c r="C4351" s="1" t="s">
        <v>17</v>
      </c>
      <c r="D4351" s="1" t="s">
        <v>20</v>
      </c>
      <c r="E4351" s="12">
        <f>F4351</f>
        <v>14.593902937206362</v>
      </c>
      <c r="F4351" s="12">
        <f>Systems!L6*'Physical Definitions'!E13/Systems!D6</f>
        <v>14.593902937206362</v>
      </c>
      <c r="G4351" s="1" t="s">
        <v>23</v>
      </c>
      <c r="H4351" s="1" t="s">
        <v>46</v>
      </c>
    </row>
    <row r="4352" spans="1:8">
      <c r="A4352" s="1" t="s">
        <v>7521</v>
      </c>
      <c r="B4352" s="1" t="s">
        <v>5451</v>
      </c>
      <c r="C4352" s="1" t="s">
        <v>17</v>
      </c>
      <c r="D4352" s="1" t="s">
        <v>20</v>
      </c>
      <c r="E4352" s="12">
        <f>F4352/4</f>
        <v>5.0000000000000002E-5</v>
      </c>
      <c r="F4352" s="12">
        <f>'Physical Definitions'!E14</f>
        <v>2.0000000000000001E-4</v>
      </c>
      <c r="G4352" s="1" t="s">
        <v>23</v>
      </c>
      <c r="H4352" s="1" t="s">
        <v>46</v>
      </c>
    </row>
    <row r="4353" spans="1:8">
      <c r="A4353" s="1" t="s">
        <v>1538</v>
      </c>
      <c r="B4353" s="1" t="s">
        <v>26</v>
      </c>
      <c r="C4353" s="1" t="s">
        <v>17</v>
      </c>
      <c r="D4353" s="1" t="s">
        <v>20</v>
      </c>
      <c r="E4353" s="12">
        <f>F4353/7000</f>
        <v>6.4798910000000008E-5</v>
      </c>
      <c r="F4353" s="12">
        <f>Systems!L6</f>
        <v>0.45359237000000002</v>
      </c>
      <c r="G4353" s="1" t="s">
        <v>23</v>
      </c>
      <c r="H4353" s="1" t="s">
        <v>46</v>
      </c>
    </row>
    <row r="4354" spans="1:8">
      <c r="A4354" s="1" t="s">
        <v>4457</v>
      </c>
      <c r="B4354" s="1" t="s">
        <v>6303</v>
      </c>
      <c r="C4354" s="1" t="s">
        <v>17</v>
      </c>
      <c r="D4354" s="1" t="s">
        <v>20</v>
      </c>
      <c r="E4354" s="12">
        <f>112*F4354</f>
        <v>50.802345440000003</v>
      </c>
      <c r="F4354" s="12">
        <f>Systems!L6</f>
        <v>0.45359237000000002</v>
      </c>
      <c r="G4354" s="1" t="s">
        <v>23</v>
      </c>
      <c r="H4354" s="1" t="s">
        <v>46</v>
      </c>
    </row>
    <row r="4355" spans="1:8" ht="16.8" customHeight="1">
      <c r="A4355" s="1" t="s">
        <v>4458</v>
      </c>
      <c r="B4355" s="1" t="s">
        <v>5452</v>
      </c>
      <c r="C4355" s="1" t="s">
        <v>17</v>
      </c>
      <c r="D4355" s="1" t="s">
        <v>20</v>
      </c>
      <c r="E4355" s="12">
        <f>112*F4355</f>
        <v>50.802345440000003</v>
      </c>
      <c r="F4355" s="12">
        <f>Systems!L6</f>
        <v>0.45359237000000002</v>
      </c>
      <c r="G4355" s="1" t="s">
        <v>23</v>
      </c>
      <c r="H4355" s="1" t="s">
        <v>46</v>
      </c>
    </row>
    <row r="4356" spans="1:8">
      <c r="A4356" s="1" t="s">
        <v>1819</v>
      </c>
      <c r="B4356" s="1" t="s">
        <v>26</v>
      </c>
      <c r="C4356" s="1" t="s">
        <v>17</v>
      </c>
      <c r="D4356" s="1" t="s">
        <v>20</v>
      </c>
      <c r="E4356" s="12">
        <f>47264*F4356</f>
        <v>21438.58977568</v>
      </c>
      <c r="F4356" s="12">
        <f>Systems!L6</f>
        <v>0.45359237000000002</v>
      </c>
      <c r="G4356" s="1" t="s">
        <v>23</v>
      </c>
      <c r="H4356" s="1" t="s">
        <v>46</v>
      </c>
    </row>
    <row r="4357" spans="1:8">
      <c r="A4357" s="1" t="s">
        <v>5453</v>
      </c>
      <c r="B4357" s="1" t="s">
        <v>26</v>
      </c>
      <c r="C4357" s="1" t="s">
        <v>17</v>
      </c>
      <c r="D4357" s="1" t="s">
        <v>20</v>
      </c>
      <c r="E4357" s="12">
        <f>47488*F4357</f>
        <v>21540.194466560002</v>
      </c>
      <c r="F4357" s="12">
        <f>Systems!L6</f>
        <v>0.45359237000000002</v>
      </c>
      <c r="G4357" s="1" t="s">
        <v>23</v>
      </c>
      <c r="H4357" s="1" t="s">
        <v>46</v>
      </c>
    </row>
    <row r="4358" spans="1:8">
      <c r="A4358" s="1" t="s">
        <v>1978</v>
      </c>
      <c r="B4358" s="1" t="s">
        <v>26</v>
      </c>
      <c r="C4358" s="1" t="s">
        <v>17</v>
      </c>
      <c r="D4358" s="1" t="s">
        <v>20</v>
      </c>
      <c r="E4358" s="12">
        <f>252*F4358</f>
        <v>114.30527724000001</v>
      </c>
      <c r="F4358" s="12">
        <f>Systems!L6</f>
        <v>0.45359237000000002</v>
      </c>
      <c r="G4358" s="1" t="s">
        <v>23</v>
      </c>
      <c r="H4358" s="1" t="s">
        <v>46</v>
      </c>
    </row>
    <row r="4359" spans="1:8">
      <c r="A4359" s="1" t="s">
        <v>5454</v>
      </c>
      <c r="B4359" s="1" t="s">
        <v>26</v>
      </c>
      <c r="C4359" s="1" t="s">
        <v>17</v>
      </c>
      <c r="D4359" s="1" t="s">
        <v>20</v>
      </c>
      <c r="E4359" s="12">
        <f>1296*F4359</f>
        <v>587.85571152</v>
      </c>
      <c r="F4359" s="12">
        <f>Systems!L6</f>
        <v>0.45359237000000002</v>
      </c>
      <c r="G4359" s="1" t="s">
        <v>23</v>
      </c>
      <c r="H4359" s="1" t="s">
        <v>46</v>
      </c>
    </row>
    <row r="4360" spans="1:8">
      <c r="A4360" s="1" t="s">
        <v>5455</v>
      </c>
      <c r="B4360" s="1" t="s">
        <v>26</v>
      </c>
      <c r="C4360" s="1" t="s">
        <v>17</v>
      </c>
      <c r="D4360" s="1" t="s">
        <v>20</v>
      </c>
      <c r="E4360" s="12">
        <f>3024*F4360</f>
        <v>1371.6633268800001</v>
      </c>
      <c r="F4360" s="12">
        <f>Systems!L6</f>
        <v>0.45359237000000002</v>
      </c>
      <c r="G4360" s="1" t="s">
        <v>23</v>
      </c>
      <c r="H4360" s="1" t="s">
        <v>46</v>
      </c>
    </row>
    <row r="4361" spans="1:8">
      <c r="A4361" s="1" t="s">
        <v>2007</v>
      </c>
      <c r="B4361" s="1" t="s">
        <v>26</v>
      </c>
      <c r="C4361" s="1" t="s">
        <v>17</v>
      </c>
      <c r="D4361" s="1" t="s">
        <v>20</v>
      </c>
      <c r="E4361" s="12">
        <f>2*F4361</f>
        <v>6.2206953600000003E-2</v>
      </c>
      <c r="F4361" s="12">
        <f>Systems!L21</f>
        <v>3.1103476800000002E-2</v>
      </c>
      <c r="G4361" s="1" t="s">
        <v>23</v>
      </c>
      <c r="H4361" s="1" t="s">
        <v>46</v>
      </c>
    </row>
    <row r="4362" spans="1:8">
      <c r="A4362" s="1" t="s">
        <v>2029</v>
      </c>
      <c r="B4362" s="1" t="s">
        <v>26</v>
      </c>
      <c r="C4362" s="1" t="s">
        <v>17</v>
      </c>
      <c r="D4362" s="1" t="s">
        <v>20</v>
      </c>
      <c r="E4362" s="12">
        <f>5*F4362/2</f>
        <v>0.933104304</v>
      </c>
      <c r="F4362" s="12">
        <f>12*Systems!L21</f>
        <v>0.37324172160000002</v>
      </c>
      <c r="G4362" s="1" t="s">
        <v>23</v>
      </c>
      <c r="H4362" s="1" t="s">
        <v>46</v>
      </c>
    </row>
    <row r="4363" spans="1:8">
      <c r="A4363" s="1" t="s">
        <v>2090</v>
      </c>
      <c r="B4363" s="1" t="s">
        <v>26</v>
      </c>
      <c r="C4363" s="1" t="s">
        <v>17</v>
      </c>
      <c r="D4363" s="1" t="s">
        <v>20</v>
      </c>
      <c r="E4363" s="12">
        <f>F4363/20</f>
        <v>3.2399455000000004E-6</v>
      </c>
      <c r="F4363" s="12">
        <f>Systems!L6/7000</f>
        <v>6.4798910000000008E-5</v>
      </c>
      <c r="G4363" s="1" t="s">
        <v>23</v>
      </c>
      <c r="H4363" s="1" t="s">
        <v>46</v>
      </c>
    </row>
    <row r="4364" spans="1:8">
      <c r="A4364" s="1" t="s">
        <v>957</v>
      </c>
      <c r="B4364" s="1" t="s">
        <v>570</v>
      </c>
      <c r="C4364" s="1" t="s">
        <v>17</v>
      </c>
      <c r="D4364" s="1" t="s">
        <v>20</v>
      </c>
      <c r="E4364" s="12">
        <f>F4364/16</f>
        <v>2.8349523125000001E-2</v>
      </c>
      <c r="F4364" s="12">
        <f>Systems!L6</f>
        <v>0.45359237000000002</v>
      </c>
      <c r="G4364" s="1" t="s">
        <v>23</v>
      </c>
      <c r="H4364" s="1" t="s">
        <v>46</v>
      </c>
    </row>
    <row r="4365" spans="1:8">
      <c r="A4365" s="1" t="s">
        <v>5456</v>
      </c>
      <c r="B4365" s="1" t="s">
        <v>5457</v>
      </c>
      <c r="C4365" s="1" t="s">
        <v>17</v>
      </c>
      <c r="D4365" s="1" t="s">
        <v>20</v>
      </c>
      <c r="E4365" s="12">
        <f>F4365/15</f>
        <v>2.91595095E-2</v>
      </c>
      <c r="F4365" s="12">
        <f>27*Systems!L6/28</f>
        <v>0.43739264249999998</v>
      </c>
      <c r="G4365" s="1" t="s">
        <v>23</v>
      </c>
      <c r="H4365" s="1" t="s">
        <v>46</v>
      </c>
    </row>
    <row r="4366" spans="1:8">
      <c r="A4366" s="1" t="s">
        <v>5459</v>
      </c>
      <c r="B4366" s="1" t="s">
        <v>5458</v>
      </c>
      <c r="C4366" s="1" t="s">
        <v>17</v>
      </c>
      <c r="D4366" s="1" t="s">
        <v>20</v>
      </c>
      <c r="E4366" s="12">
        <f>F4366/12</f>
        <v>2.91595095E-2</v>
      </c>
      <c r="F4366" s="12">
        <f>27*Systems!L6/35</f>
        <v>0.349914114</v>
      </c>
      <c r="G4366" s="1" t="s">
        <v>23</v>
      </c>
      <c r="H4366" s="1" t="s">
        <v>46</v>
      </c>
    </row>
    <row r="4367" spans="1:8">
      <c r="A4367" s="1" t="s">
        <v>5460</v>
      </c>
      <c r="B4367" s="1" t="s">
        <v>5461</v>
      </c>
      <c r="C4367" s="1" t="s">
        <v>17</v>
      </c>
      <c r="D4367" s="1" t="s">
        <v>20</v>
      </c>
      <c r="E4367" s="12">
        <f>F4367/20</f>
        <v>1.4174761562500001E-3</v>
      </c>
      <c r="F4367" s="12">
        <f>Systems!L6/16</f>
        <v>2.8349523125000001E-2</v>
      </c>
      <c r="G4367" s="1" t="s">
        <v>23</v>
      </c>
      <c r="H4367" s="1" t="s">
        <v>46</v>
      </c>
    </row>
    <row r="4368" spans="1:8">
      <c r="A4368" s="1" t="s">
        <v>5463</v>
      </c>
      <c r="B4368" s="1" t="s">
        <v>5462</v>
      </c>
      <c r="C4368" s="1" t="s">
        <v>17</v>
      </c>
      <c r="D4368" s="1" t="s">
        <v>20</v>
      </c>
      <c r="E4368" s="12">
        <f>F4368/240</f>
        <v>1.4579754750000001E-3</v>
      </c>
      <c r="F4368" s="12">
        <f>27*Systems!L6/35</f>
        <v>0.349914114</v>
      </c>
      <c r="G4368" s="1" t="s">
        <v>23</v>
      </c>
      <c r="H4368" s="1" t="s">
        <v>46</v>
      </c>
    </row>
    <row r="4369" spans="1:8">
      <c r="A4369" s="1" t="s">
        <v>819</v>
      </c>
      <c r="B4369" s="1" t="s">
        <v>6967</v>
      </c>
      <c r="C4369" s="1" t="s">
        <v>17</v>
      </c>
      <c r="D4369" s="1" t="s">
        <v>20</v>
      </c>
      <c r="E4369" s="12">
        <f>F4369</f>
        <v>0.45359237000000002</v>
      </c>
      <c r="F4369" s="12">
        <f>Systems!L6</f>
        <v>0.45359237000000002</v>
      </c>
      <c r="G4369" s="1" t="s">
        <v>23</v>
      </c>
      <c r="H4369" s="1" t="s">
        <v>46</v>
      </c>
    </row>
    <row r="4370" spans="1:8">
      <c r="A4370" s="1" t="s">
        <v>5465</v>
      </c>
      <c r="B4370" s="1" t="s">
        <v>5464</v>
      </c>
      <c r="C4370" s="1" t="s">
        <v>17</v>
      </c>
      <c r="D4370" s="1" t="s">
        <v>20</v>
      </c>
      <c r="E4370" s="12">
        <f>27*F4370/28</f>
        <v>0.43739264249999998</v>
      </c>
      <c r="F4370" s="12">
        <f>Systems!L6</f>
        <v>0.45359237000000002</v>
      </c>
      <c r="G4370" s="1" t="s">
        <v>23</v>
      </c>
      <c r="H4370" s="1" t="s">
        <v>46</v>
      </c>
    </row>
    <row r="4371" spans="1:8">
      <c r="A4371" s="1" t="s">
        <v>5467</v>
      </c>
      <c r="B4371" s="1" t="s">
        <v>5466</v>
      </c>
      <c r="C4371" s="1" t="s">
        <v>17</v>
      </c>
      <c r="D4371" s="1" t="s">
        <v>20</v>
      </c>
      <c r="E4371" s="12">
        <f>36*F4371/35</f>
        <v>0.46655215200000005</v>
      </c>
      <c r="F4371" s="12">
        <f>Systems!L6</f>
        <v>0.45359237000000002</v>
      </c>
      <c r="G4371" s="1" t="s">
        <v>23</v>
      </c>
      <c r="H4371" s="1" t="s">
        <v>46</v>
      </c>
    </row>
    <row r="4372" spans="1:8">
      <c r="A4372" s="1" t="s">
        <v>5468</v>
      </c>
      <c r="B4372" s="1" t="s">
        <v>5469</v>
      </c>
      <c r="C4372" s="1" t="s">
        <v>17</v>
      </c>
      <c r="D4372" s="1" t="s">
        <v>20</v>
      </c>
      <c r="E4372" s="12">
        <f>3*F4372/5</f>
        <v>0.27215542200000004</v>
      </c>
      <c r="F4372" s="12">
        <f>Systems!L6</f>
        <v>0.45359237000000002</v>
      </c>
      <c r="G4372" s="1" t="s">
        <v>23</v>
      </c>
      <c r="H4372" s="1" t="s">
        <v>46</v>
      </c>
    </row>
    <row r="4373" spans="1:8">
      <c r="A4373" s="1" t="s">
        <v>5471</v>
      </c>
      <c r="B4373" s="1" t="s">
        <v>5470</v>
      </c>
      <c r="C4373" s="1" t="s">
        <v>17</v>
      </c>
      <c r="D4373" s="1" t="s">
        <v>20</v>
      </c>
      <c r="E4373" s="12">
        <f>9*F4373/14</f>
        <v>0.29159509500000003</v>
      </c>
      <c r="F4373" s="12">
        <f>Systems!L6</f>
        <v>0.45359237000000002</v>
      </c>
      <c r="G4373" s="1" t="s">
        <v>23</v>
      </c>
      <c r="H4373" s="1" t="s">
        <v>46</v>
      </c>
    </row>
    <row r="4374" spans="1:8">
      <c r="A4374" s="1" t="s">
        <v>5472</v>
      </c>
      <c r="B4374" s="1" t="s">
        <v>26</v>
      </c>
      <c r="C4374" s="1" t="s">
        <v>17</v>
      </c>
      <c r="D4374" s="1" t="s">
        <v>20</v>
      </c>
      <c r="E4374" s="12">
        <f>768*F4374/700</f>
        <v>0.49765562880000003</v>
      </c>
      <c r="F4374" s="12">
        <f>Systems!L6</f>
        <v>0.45359237000000002</v>
      </c>
      <c r="G4374" s="1" t="s">
        <v>23</v>
      </c>
      <c r="H4374" s="1" t="s">
        <v>46</v>
      </c>
    </row>
    <row r="4375" spans="1:8">
      <c r="A4375" s="1" t="s">
        <v>5473</v>
      </c>
      <c r="B4375" s="1" t="s">
        <v>5474</v>
      </c>
      <c r="C4375" s="1" t="s">
        <v>17</v>
      </c>
      <c r="D4375" s="1" t="s">
        <v>20</v>
      </c>
      <c r="E4375" s="12">
        <f>F4375</f>
        <v>0.45359233799999998</v>
      </c>
      <c r="F4375" s="12">
        <f>Systems!L7</f>
        <v>0.45359233799999998</v>
      </c>
      <c r="G4375" s="1" t="s">
        <v>23</v>
      </c>
      <c r="H4375" s="1" t="s">
        <v>46</v>
      </c>
    </row>
    <row r="4376" spans="1:8">
      <c r="A4376" s="1" t="s">
        <v>5476</v>
      </c>
      <c r="B4376" s="1" t="s">
        <v>5475</v>
      </c>
      <c r="C4376" s="1" t="s">
        <v>17</v>
      </c>
      <c r="D4376" s="1" t="s">
        <v>20</v>
      </c>
      <c r="E4376" s="12">
        <f>F4376</f>
        <v>0.45359237000000002</v>
      </c>
      <c r="F4376" s="12">
        <f>Systems!L6</f>
        <v>0.45359237000000002</v>
      </c>
      <c r="G4376" s="1" t="s">
        <v>23</v>
      </c>
      <c r="H4376" s="1" t="s">
        <v>46</v>
      </c>
    </row>
    <row r="4377" spans="1:8">
      <c r="A4377" s="1" t="s">
        <v>5477</v>
      </c>
      <c r="B4377" s="1" t="s">
        <v>5478</v>
      </c>
      <c r="C4377" s="1" t="s">
        <v>17</v>
      </c>
      <c r="D4377" s="1" t="s">
        <v>20</v>
      </c>
      <c r="E4377" s="12">
        <f>27*F4377/35</f>
        <v>0.349914114</v>
      </c>
      <c r="F4377" s="12">
        <f>Systems!L6</f>
        <v>0.45359237000000002</v>
      </c>
      <c r="G4377" s="1" t="s">
        <v>23</v>
      </c>
      <c r="H4377" s="1" t="s">
        <v>46</v>
      </c>
    </row>
    <row r="4378" spans="1:8">
      <c r="A4378" s="1" t="s">
        <v>1902</v>
      </c>
      <c r="B4378" s="1" t="s">
        <v>26</v>
      </c>
      <c r="C4378" s="1" t="s">
        <v>17</v>
      </c>
      <c r="D4378" s="1" t="s">
        <v>20</v>
      </c>
      <c r="E4378" s="12">
        <f>28*F4378</f>
        <v>12.700586360000001</v>
      </c>
      <c r="F4378" s="12">
        <f>Systems!L6</f>
        <v>0.45359237000000002</v>
      </c>
      <c r="G4378" s="1" t="s">
        <v>23</v>
      </c>
      <c r="H4378" s="1" t="s">
        <v>46</v>
      </c>
    </row>
    <row r="4379" spans="1:8">
      <c r="A4379" s="1" t="s">
        <v>2342</v>
      </c>
      <c r="B4379" s="1" t="s">
        <v>26</v>
      </c>
      <c r="C4379" s="1" t="s">
        <v>17</v>
      </c>
      <c r="D4379" s="1" t="s">
        <v>20</v>
      </c>
      <c r="E4379" s="12">
        <f>4*F4379</f>
        <v>1.8143694800000001</v>
      </c>
      <c r="F4379" s="12">
        <f>Systems!L6</f>
        <v>0.45359237000000002</v>
      </c>
      <c r="G4379" s="1" t="s">
        <v>23</v>
      </c>
      <c r="H4379" s="1" t="s">
        <v>46</v>
      </c>
    </row>
    <row r="4380" spans="1:8">
      <c r="A4380" s="1" t="s">
        <v>987</v>
      </c>
      <c r="B4380" s="1" t="s">
        <v>26</v>
      </c>
      <c r="C4380" s="1" t="s">
        <v>17</v>
      </c>
      <c r="D4380" s="1" t="s">
        <v>20</v>
      </c>
      <c r="E4380" s="12">
        <f>15680*F4380</f>
        <v>7112.3283616000008</v>
      </c>
      <c r="F4380" s="12">
        <f>Systems!L6</f>
        <v>0.45359237000000002</v>
      </c>
      <c r="G4380" s="1" t="s">
        <v>23</v>
      </c>
      <c r="H4380" s="1" t="s">
        <v>46</v>
      </c>
    </row>
    <row r="4381" spans="1:8">
      <c r="A4381" s="1" t="s">
        <v>5479</v>
      </c>
      <c r="B4381" s="1" t="s">
        <v>26</v>
      </c>
      <c r="C4381" s="1" t="s">
        <v>17</v>
      </c>
      <c r="D4381" s="1" t="s">
        <v>20</v>
      </c>
      <c r="E4381" s="12">
        <f>112*F4381</f>
        <v>112</v>
      </c>
      <c r="F4381" s="12">
        <f>SI!E2</f>
        <v>1</v>
      </c>
      <c r="G4381" s="1" t="s">
        <v>23</v>
      </c>
      <c r="H4381" s="1" t="s">
        <v>46</v>
      </c>
    </row>
    <row r="4382" spans="1:8">
      <c r="A4382" s="1" t="s">
        <v>5480</v>
      </c>
      <c r="B4382" s="1" t="s">
        <v>26</v>
      </c>
      <c r="C4382" s="1" t="s">
        <v>17</v>
      </c>
      <c r="D4382" s="1" t="s">
        <v>20</v>
      </c>
      <c r="E4382" s="12">
        <f>224*F4382</f>
        <v>101.60469088000001</v>
      </c>
      <c r="F4382" s="12">
        <f>Systems!L6</f>
        <v>0.45359237000000002</v>
      </c>
      <c r="G4382" s="1" t="s">
        <v>23</v>
      </c>
      <c r="H4382" s="1" t="s">
        <v>46</v>
      </c>
    </row>
    <row r="4383" spans="1:8">
      <c r="A4383" s="1" t="s">
        <v>5481</v>
      </c>
      <c r="B4383" s="1" t="s">
        <v>26</v>
      </c>
      <c r="C4383" s="1" t="s">
        <v>17</v>
      </c>
      <c r="D4383" s="1" t="s">
        <v>20</v>
      </c>
      <c r="E4383" s="12">
        <f>364*F4383</f>
        <v>165.10762268000002</v>
      </c>
      <c r="F4383" s="12">
        <f>Systems!L6</f>
        <v>0.45359237000000002</v>
      </c>
      <c r="G4383" s="1" t="s">
        <v>23</v>
      </c>
      <c r="H4383" s="1" t="s">
        <v>46</v>
      </c>
    </row>
    <row r="4384" spans="1:8">
      <c r="A4384" s="1" t="s">
        <v>5482</v>
      </c>
      <c r="B4384" s="1" t="s">
        <v>26</v>
      </c>
      <c r="C4384" s="1" t="s">
        <v>17</v>
      </c>
      <c r="D4384" s="1" t="s">
        <v>20</v>
      </c>
      <c r="E4384" s="12">
        <f>2000*F4384</f>
        <v>907.18474000000003</v>
      </c>
      <c r="F4384" s="12">
        <f>Systems!L6</f>
        <v>0.45359237000000002</v>
      </c>
      <c r="G4384" s="1" t="s">
        <v>23</v>
      </c>
      <c r="H4384" s="1" t="s">
        <v>46</v>
      </c>
    </row>
    <row r="4385" spans="1:8">
      <c r="A4385" s="1" t="s">
        <v>2451</v>
      </c>
      <c r="B4385" s="1" t="s">
        <v>26</v>
      </c>
      <c r="C4385" s="1" t="s">
        <v>17</v>
      </c>
      <c r="D4385" s="1" t="s">
        <v>20</v>
      </c>
      <c r="E4385" s="12">
        <f>20*F4385</f>
        <v>9.0718474000000011</v>
      </c>
      <c r="F4385" s="12">
        <f>Systems!L6</f>
        <v>0.45359237000000002</v>
      </c>
      <c r="G4385" s="1" t="s">
        <v>23</v>
      </c>
      <c r="H4385" s="1" t="s">
        <v>46</v>
      </c>
    </row>
    <row r="4386" spans="1:8">
      <c r="A4386" s="1" t="s">
        <v>4416</v>
      </c>
      <c r="B4386" s="1" t="s">
        <v>5483</v>
      </c>
      <c r="C4386" s="1" t="s">
        <v>17</v>
      </c>
      <c r="D4386" s="1" t="s">
        <v>20</v>
      </c>
      <c r="E4386" s="12">
        <f>F4386/288</f>
        <v>1.2959782E-3</v>
      </c>
      <c r="F4386" s="12">
        <f>Systems!L5</f>
        <v>0.37324172160000002</v>
      </c>
      <c r="G4386" s="1" t="s">
        <v>23</v>
      </c>
      <c r="H4386" s="1" t="s">
        <v>46</v>
      </c>
    </row>
    <row r="4387" spans="1:8">
      <c r="A4387" s="1" t="s">
        <v>5484</v>
      </c>
      <c r="B4387" s="1" t="s">
        <v>26</v>
      </c>
      <c r="C4387" s="1" t="s">
        <v>17</v>
      </c>
      <c r="D4387" s="1" t="s">
        <v>20</v>
      </c>
      <c r="E4387" s="12">
        <f>949760*F4387</f>
        <v>430803.88933120004</v>
      </c>
      <c r="F4387" s="12">
        <f>Systems!L6</f>
        <v>0.45359237000000002</v>
      </c>
      <c r="G4387" s="1" t="s">
        <v>23</v>
      </c>
      <c r="H4387" s="1" t="s">
        <v>46</v>
      </c>
    </row>
    <row r="4388" spans="1:8">
      <c r="A4388" s="1" t="s">
        <v>221</v>
      </c>
      <c r="B4388" s="1" t="s">
        <v>26</v>
      </c>
      <c r="C4388" s="1" t="s">
        <v>17</v>
      </c>
      <c r="D4388" s="1" t="s">
        <v>20</v>
      </c>
      <c r="E4388" s="12">
        <f>F4388</f>
        <v>14.593902937206362</v>
      </c>
      <c r="F4388" s="12">
        <f>Systems!L6*'Physical Definitions'!E13*POWER(SI!E4,2)/Systems!D6</f>
        <v>14.593902937206362</v>
      </c>
      <c r="G4388" s="1" t="s">
        <v>23</v>
      </c>
      <c r="H4388" s="1" t="s">
        <v>46</v>
      </c>
    </row>
    <row r="4389" spans="1:8">
      <c r="A4389" s="1" t="s">
        <v>2580</v>
      </c>
      <c r="B4389" s="1" t="s">
        <v>397</v>
      </c>
      <c r="C4389" s="1" t="s">
        <v>17</v>
      </c>
      <c r="D4389" s="1" t="s">
        <v>20</v>
      </c>
      <c r="E4389" s="12">
        <f>14*F4389</f>
        <v>6.3502931800000004</v>
      </c>
      <c r="F4389" s="12">
        <f>Systems!L6</f>
        <v>0.45359237000000002</v>
      </c>
      <c r="G4389" s="1" t="s">
        <v>23</v>
      </c>
      <c r="H4389" s="1" t="s">
        <v>46</v>
      </c>
    </row>
    <row r="4390" spans="1:8">
      <c r="A4390" s="1" t="s">
        <v>5485</v>
      </c>
      <c r="B4390" s="1" t="s">
        <v>26</v>
      </c>
      <c r="C4390" s="1" t="s">
        <v>17</v>
      </c>
      <c r="D4390" s="1" t="s">
        <v>20</v>
      </c>
      <c r="E4390" s="12">
        <f>12.5*F4390</f>
        <v>5.669904625</v>
      </c>
      <c r="F4390" s="12">
        <f>Systems!L6</f>
        <v>0.45359237000000002</v>
      </c>
      <c r="G4390" s="1" t="s">
        <v>23</v>
      </c>
      <c r="H4390" s="1" t="s">
        <v>46</v>
      </c>
    </row>
    <row r="4391" spans="1:8">
      <c r="A4391" s="1" t="s">
        <v>5486</v>
      </c>
      <c r="B4391" s="1" t="s">
        <v>5487</v>
      </c>
      <c r="C4391" s="1" t="s">
        <v>17</v>
      </c>
      <c r="D4391" s="1" t="s">
        <v>20</v>
      </c>
      <c r="E4391" s="12">
        <f>12.5*F4391</f>
        <v>5.669904625</v>
      </c>
      <c r="F4391" s="12">
        <f>Systems!L6</f>
        <v>0.45359237000000002</v>
      </c>
      <c r="G4391" s="1" t="s">
        <v>23</v>
      </c>
      <c r="H4391" s="1" t="s">
        <v>46</v>
      </c>
    </row>
    <row r="4392" spans="1:8">
      <c r="A4392" s="1" t="s">
        <v>2670</v>
      </c>
      <c r="B4392" s="1" t="s">
        <v>26</v>
      </c>
      <c r="C4392" s="1" t="s">
        <v>17</v>
      </c>
      <c r="D4392" s="1" t="s">
        <v>20</v>
      </c>
      <c r="E4392" s="12">
        <f>28*F4392</f>
        <v>12.700586360000001</v>
      </c>
      <c r="F4392" s="12">
        <f>Systems!L6</f>
        <v>0.45359237000000002</v>
      </c>
      <c r="G4392" s="1" t="s">
        <v>23</v>
      </c>
      <c r="H4392" s="1" t="s">
        <v>46</v>
      </c>
    </row>
    <row r="4393" spans="1:8">
      <c r="A4393" s="1" t="s">
        <v>5488</v>
      </c>
      <c r="B4393" s="1" t="s">
        <v>2996</v>
      </c>
      <c r="C4393" s="1" t="s">
        <v>17</v>
      </c>
      <c r="D4393" s="1" t="s">
        <v>20</v>
      </c>
      <c r="E4393" s="12">
        <f>(3000/98)*0.000001*F4393</f>
        <v>3.0612244897959182E-5</v>
      </c>
      <c r="F4393" s="12">
        <f>SI!E2</f>
        <v>1</v>
      </c>
      <c r="G4393" s="1" t="s">
        <v>23</v>
      </c>
      <c r="H4393" s="1" t="s">
        <v>46</v>
      </c>
    </row>
    <row r="4394" spans="1:8">
      <c r="A4394" s="1" t="s">
        <v>5489</v>
      </c>
      <c r="B4394" s="1" t="s">
        <v>4864</v>
      </c>
      <c r="C4394" s="1" t="s">
        <v>17</v>
      </c>
      <c r="D4394" s="1" t="s">
        <v>20</v>
      </c>
      <c r="E4394" s="12">
        <f>2240*F4394</f>
        <v>1016.0469088000001</v>
      </c>
      <c r="F4394" s="12">
        <f>Systems!L6</f>
        <v>0.45359237000000002</v>
      </c>
      <c r="G4394" s="1" t="s">
        <v>23</v>
      </c>
      <c r="H4394" s="1" t="s">
        <v>46</v>
      </c>
    </row>
    <row r="4395" spans="1:8">
      <c r="A4395" s="1" t="s">
        <v>5490</v>
      </c>
      <c r="B4395" s="1" t="s">
        <v>26</v>
      </c>
      <c r="C4395" s="1" t="s">
        <v>17</v>
      </c>
      <c r="D4395" s="1" t="s">
        <v>20</v>
      </c>
      <c r="E4395" s="12">
        <f>40.3*F4395</f>
        <v>1169.69814059904</v>
      </c>
      <c r="F4395" s="12">
        <f>POWER(Systems!D6,3)*'Physical Measurements'!E17</f>
        <v>29.024767756800003</v>
      </c>
      <c r="G4395" s="1" t="s">
        <v>23</v>
      </c>
      <c r="H4395" s="1" t="s">
        <v>46</v>
      </c>
    </row>
    <row r="4396" spans="1:8">
      <c r="A4396" s="1" t="s">
        <v>2709</v>
      </c>
      <c r="B4396" s="1" t="s">
        <v>26</v>
      </c>
      <c r="C4396" s="1" t="s">
        <v>17</v>
      </c>
      <c r="D4396" s="1" t="s">
        <v>20</v>
      </c>
      <c r="E4396" s="12">
        <f>36*F4396</f>
        <v>16.329325320000002</v>
      </c>
      <c r="F4396" s="12">
        <f>Systems!L6</f>
        <v>0.45359237000000002</v>
      </c>
      <c r="G4396" s="1" t="s">
        <v>23</v>
      </c>
      <c r="H4396" s="1" t="s">
        <v>46</v>
      </c>
    </row>
    <row r="4397" spans="1:8">
      <c r="A4397" s="1" t="s">
        <v>2715</v>
      </c>
      <c r="B4397" s="1" t="s">
        <v>26</v>
      </c>
      <c r="C4397" s="1" t="s">
        <v>17</v>
      </c>
      <c r="D4397" s="1" t="s">
        <v>20</v>
      </c>
      <c r="E4397" s="12">
        <f>84*F4397</f>
        <v>38.101759080000001</v>
      </c>
      <c r="F4397" s="12">
        <f>Systems!L6</f>
        <v>0.45359237000000002</v>
      </c>
      <c r="G4397" s="1" t="s">
        <v>23</v>
      </c>
      <c r="H4397" s="1" t="s">
        <v>46</v>
      </c>
    </row>
    <row r="4398" spans="1:8">
      <c r="A4398" s="1" t="s">
        <v>5491</v>
      </c>
      <c r="B4398" s="1" t="s">
        <v>26</v>
      </c>
      <c r="C4398" s="1" t="s">
        <v>17</v>
      </c>
      <c r="D4398" s="1" t="s">
        <v>20</v>
      </c>
      <c r="E4398" s="12">
        <f>84*F4398</f>
        <v>38.101759080000001</v>
      </c>
      <c r="F4398" s="12">
        <f>Systems!L6</f>
        <v>0.45359237000000002</v>
      </c>
      <c r="G4398" s="1" t="s">
        <v>23</v>
      </c>
      <c r="H4398" s="1" t="s">
        <v>46</v>
      </c>
    </row>
    <row r="4399" spans="1:8">
      <c r="A4399" s="1" t="s">
        <v>2792</v>
      </c>
      <c r="B4399" s="1" t="s">
        <v>26</v>
      </c>
      <c r="C4399" s="1" t="s">
        <v>17</v>
      </c>
      <c r="D4399" s="1" t="s">
        <v>20</v>
      </c>
      <c r="E4399" s="12">
        <f>252*F4399</f>
        <v>114.30527724000001</v>
      </c>
      <c r="F4399" s="12">
        <f>Systems!L6</f>
        <v>0.45359237000000002</v>
      </c>
      <c r="G4399" s="1" t="s">
        <v>23</v>
      </c>
      <c r="H4399" s="1" t="s">
        <v>46</v>
      </c>
    </row>
    <row r="4400" spans="1:8">
      <c r="A4400" s="1" t="s">
        <v>5492</v>
      </c>
      <c r="B4400" s="1" t="s">
        <v>26</v>
      </c>
      <c r="C4400" s="1" t="s">
        <v>17</v>
      </c>
      <c r="D4400" s="1" t="s">
        <v>20</v>
      </c>
      <c r="E4400" s="12">
        <f>175*F4400</f>
        <v>79.378664749999999</v>
      </c>
      <c r="F4400" s="12">
        <f>Systems!L6</f>
        <v>0.45359237000000002</v>
      </c>
      <c r="G4400" s="1" t="s">
        <v>23</v>
      </c>
      <c r="H4400" s="1" t="s">
        <v>46</v>
      </c>
    </row>
    <row r="4401" spans="1:8">
      <c r="A4401" s="1" t="s">
        <v>5493</v>
      </c>
      <c r="B4401" s="1" t="s">
        <v>26</v>
      </c>
      <c r="C4401" s="1" t="s">
        <v>17</v>
      </c>
      <c r="D4401" s="1" t="s">
        <v>20</v>
      </c>
      <c r="E4401" s="12">
        <f>236*F4401</f>
        <v>107.04779932000001</v>
      </c>
      <c r="F4401" s="12">
        <f>Systems!L6</f>
        <v>0.45359237000000002</v>
      </c>
      <c r="G4401" s="1" t="s">
        <v>23</v>
      </c>
      <c r="H4401" s="1" t="s">
        <v>46</v>
      </c>
    </row>
    <row r="4402" spans="1:8">
      <c r="A4402" s="1" t="s">
        <v>5494</v>
      </c>
      <c r="B4402" s="1" t="s">
        <v>26</v>
      </c>
      <c r="C4402" s="1" t="s">
        <v>17</v>
      </c>
      <c r="D4402" s="1" t="s">
        <v>20</v>
      </c>
      <c r="E4402" s="12">
        <f>356*F4402</f>
        <v>161.47888372</v>
      </c>
      <c r="F4402" s="12">
        <f>Systems!L6</f>
        <v>0.45359237000000002</v>
      </c>
      <c r="G4402" s="1" t="s">
        <v>23</v>
      </c>
      <c r="H4402" s="1" t="s">
        <v>46</v>
      </c>
    </row>
    <row r="4403" spans="1:8">
      <c r="A4403" s="248"/>
      <c r="B4403" s="248"/>
      <c r="C4403" s="248"/>
      <c r="D4403" s="248"/>
      <c r="E4403" s="250"/>
      <c r="F4403" s="250"/>
      <c r="G4403" s="248"/>
      <c r="H4403" s="248"/>
    </row>
    <row r="4404" spans="1:8">
      <c r="A4404" s="15" t="s">
        <v>1262</v>
      </c>
      <c r="B4404" s="1" t="s">
        <v>26</v>
      </c>
      <c r="C4404" s="19" t="s">
        <v>3033</v>
      </c>
      <c r="D4404" s="19" t="s">
        <v>19</v>
      </c>
      <c r="E4404" s="25">
        <f>4000*F4404</f>
        <v>16187425.6896</v>
      </c>
      <c r="F4404" s="25">
        <f>4840*3*Systems!D8*3*Systems!D8</f>
        <v>4046.8564224000002</v>
      </c>
      <c r="G4404" s="1" t="s">
        <v>14</v>
      </c>
      <c r="H4404" s="1" t="s">
        <v>47</v>
      </c>
    </row>
    <row r="4405" spans="1:8">
      <c r="A4405" s="1" t="s">
        <v>5495</v>
      </c>
      <c r="B4405" s="1" t="s">
        <v>472</v>
      </c>
      <c r="C4405" s="1" t="s">
        <v>3033</v>
      </c>
      <c r="D4405" s="1" t="s">
        <v>19</v>
      </c>
      <c r="E4405" s="12">
        <f>F4405</f>
        <v>1.5500031000061999E-6</v>
      </c>
      <c r="F4405" s="12">
        <f>POWER('Physical Definitions'!E21,3)/POWER(Systems!D8/12,2)</f>
        <v>1.5500031000061999E-6</v>
      </c>
      <c r="G4405" s="1" t="s">
        <v>14</v>
      </c>
      <c r="H4405" s="1" t="s">
        <v>47</v>
      </c>
    </row>
    <row r="4406" spans="1:8">
      <c r="A4406" s="1" t="s">
        <v>5496</v>
      </c>
      <c r="B4406" s="1" t="s">
        <v>26</v>
      </c>
      <c r="C4406" s="1" t="s">
        <v>3033</v>
      </c>
      <c r="D4406" s="1" t="s">
        <v>19</v>
      </c>
      <c r="E4406" s="12">
        <f>264*F4406</f>
        <v>80.467200000000005</v>
      </c>
      <c r="F4406" s="12">
        <f>Systems!D8</f>
        <v>0.30480000000000002</v>
      </c>
      <c r="G4406" s="1" t="s">
        <v>14</v>
      </c>
      <c r="H4406" s="1" t="s">
        <v>47</v>
      </c>
    </row>
    <row r="4407" spans="1:8">
      <c r="A4407" s="1" t="s">
        <v>5497</v>
      </c>
      <c r="B4407" s="1" t="s">
        <v>26</v>
      </c>
      <c r="C4407" s="1" t="s">
        <v>3033</v>
      </c>
      <c r="D4407" s="1" t="s">
        <v>19</v>
      </c>
      <c r="E4407" s="12">
        <f>330*F4407</f>
        <v>100.584</v>
      </c>
      <c r="F4407" s="12">
        <f>Systems!D8</f>
        <v>0.30480000000000002</v>
      </c>
      <c r="G4407" s="1" t="s">
        <v>14</v>
      </c>
      <c r="H4407" s="1" t="s">
        <v>47</v>
      </c>
    </row>
    <row r="4408" spans="1:8">
      <c r="A4408" s="1" t="s">
        <v>5498</v>
      </c>
      <c r="B4408" s="1" t="s">
        <v>26</v>
      </c>
      <c r="C4408" s="1" t="s">
        <v>3033</v>
      </c>
      <c r="D4408" s="1" t="s">
        <v>19</v>
      </c>
      <c r="E4408" s="12">
        <f>528*F4408</f>
        <v>160.93440000000001</v>
      </c>
      <c r="F4408" s="12">
        <f>Systems!D8</f>
        <v>0.30480000000000002</v>
      </c>
      <c r="G4408" s="1" t="s">
        <v>14</v>
      </c>
      <c r="H4408" s="1" t="s">
        <v>47</v>
      </c>
    </row>
    <row r="4409" spans="1:8">
      <c r="A4409" s="1" t="s">
        <v>1326</v>
      </c>
      <c r="B4409" s="1" t="s">
        <v>26</v>
      </c>
      <c r="C4409" s="1" t="s">
        <v>3033</v>
      </c>
      <c r="D4409" s="1" t="s">
        <v>19</v>
      </c>
      <c r="E4409" s="12">
        <f>F4409/480</f>
        <v>6.3500000000000004E-4</v>
      </c>
      <c r="F4409" s="12">
        <f>Systems!D8</f>
        <v>0.30480000000000002</v>
      </c>
      <c r="G4409" s="1" t="s">
        <v>14</v>
      </c>
      <c r="H4409" s="1" t="s">
        <v>47</v>
      </c>
    </row>
    <row r="4410" spans="1:8">
      <c r="A4410" s="1" t="s">
        <v>5349</v>
      </c>
      <c r="B4410" s="1" t="s">
        <v>26</v>
      </c>
      <c r="C4410" s="1" t="s">
        <v>3033</v>
      </c>
      <c r="D4410" s="1" t="s">
        <v>19</v>
      </c>
      <c r="E4410" s="12">
        <f>720*F4410</f>
        <v>219.45600000000002</v>
      </c>
      <c r="F4410" s="12">
        <f>Systems!D8</f>
        <v>0.30480000000000002</v>
      </c>
      <c r="G4410" s="1" t="s">
        <v>14</v>
      </c>
      <c r="H4410" s="1" t="s">
        <v>47</v>
      </c>
    </row>
    <row r="4411" spans="1:8">
      <c r="A4411" s="1" t="s">
        <v>5499</v>
      </c>
      <c r="B4411" s="1" t="s">
        <v>26</v>
      </c>
      <c r="C4411" s="1" t="s">
        <v>3033</v>
      </c>
      <c r="D4411" s="1" t="s">
        <v>19</v>
      </c>
      <c r="E4411" s="12">
        <f>3*F4411</f>
        <v>5559.5520000000006</v>
      </c>
      <c r="F4411" s="12">
        <f>6080*Systems!D8</f>
        <v>1853.1840000000002</v>
      </c>
      <c r="G4411" s="1" t="s">
        <v>14</v>
      </c>
      <c r="H4411" s="1" t="s">
        <v>47</v>
      </c>
    </row>
    <row r="4412" spans="1:8">
      <c r="A4412" s="1" t="s">
        <v>5500</v>
      </c>
      <c r="B4412" s="1" t="s">
        <v>5501</v>
      </c>
      <c r="C4412" s="1" t="s">
        <v>3033</v>
      </c>
      <c r="D4412" s="1" t="s">
        <v>19</v>
      </c>
      <c r="E4412" s="12">
        <f>100*F4412</f>
        <v>30.48</v>
      </c>
      <c r="F4412" s="12">
        <f>Systems!D8</f>
        <v>0.30480000000000002</v>
      </c>
      <c r="G4412" s="1" t="s">
        <v>14</v>
      </c>
      <c r="H4412" s="1" t="s">
        <v>47</v>
      </c>
    </row>
    <row r="4413" spans="1:8">
      <c r="A4413" s="1" t="s">
        <v>5503</v>
      </c>
      <c r="B4413" s="1" t="s">
        <v>5502</v>
      </c>
      <c r="C4413" s="1" t="s">
        <v>3033</v>
      </c>
      <c r="D4413" s="1" t="s">
        <v>19</v>
      </c>
      <c r="E4413" s="12">
        <f>100*F4413</f>
        <v>30.48</v>
      </c>
      <c r="F4413" s="12">
        <f>Systems!D8</f>
        <v>0.30480000000000002</v>
      </c>
      <c r="G4413" s="1" t="s">
        <v>14</v>
      </c>
      <c r="H4413" s="1" t="s">
        <v>47</v>
      </c>
    </row>
    <row r="4414" spans="1:8">
      <c r="A4414" s="1" t="s">
        <v>1468</v>
      </c>
      <c r="B4414" s="1" t="s">
        <v>6966</v>
      </c>
      <c r="C4414" s="1" t="s">
        <v>3033</v>
      </c>
      <c r="D4414" s="1" t="s">
        <v>19</v>
      </c>
      <c r="E4414" s="12">
        <f>0.2365882*F4414</f>
        <v>0.2365882</v>
      </c>
      <c r="F4414" s="12">
        <f>SI!E3</f>
        <v>1</v>
      </c>
      <c r="G4414" s="1" t="s">
        <v>14</v>
      </c>
      <c r="H4414" s="1" t="s">
        <v>47</v>
      </c>
    </row>
    <row r="4415" spans="1:8">
      <c r="A4415" s="1" t="s">
        <v>5504</v>
      </c>
      <c r="B4415" s="1" t="s">
        <v>26</v>
      </c>
      <c r="C4415" s="1" t="s">
        <v>3033</v>
      </c>
      <c r="D4415" s="1" t="s">
        <v>19</v>
      </c>
      <c r="E4415" s="12">
        <f>0.2*F4415</f>
        <v>0.2</v>
      </c>
      <c r="F4415" s="12">
        <f>SI!E3</f>
        <v>1</v>
      </c>
      <c r="G4415" s="1" t="s">
        <v>14</v>
      </c>
      <c r="H4415" s="1" t="s">
        <v>47</v>
      </c>
    </row>
    <row r="4416" spans="1:8">
      <c r="A4416" s="1" t="s">
        <v>1521</v>
      </c>
      <c r="B4416" s="1" t="s">
        <v>26</v>
      </c>
      <c r="C4416" s="1" t="s">
        <v>3033</v>
      </c>
      <c r="D4416" s="1" t="s">
        <v>19</v>
      </c>
      <c r="E4416" s="12">
        <f>8*F4416/5</f>
        <v>0.48768</v>
      </c>
      <c r="F4416" s="12">
        <f>Systems!D8</f>
        <v>0.30480000000000002</v>
      </c>
      <c r="G4416" s="1" t="s">
        <v>14</v>
      </c>
      <c r="H4416" s="1" t="s">
        <v>47</v>
      </c>
    </row>
    <row r="4417" spans="1:8">
      <c r="A4417" s="1" t="s">
        <v>5505</v>
      </c>
      <c r="B4417" s="1" t="s">
        <v>26</v>
      </c>
      <c r="C4417" s="1" t="s">
        <v>3033</v>
      </c>
      <c r="D4417" s="1" t="s">
        <v>19</v>
      </c>
      <c r="E4417" s="12">
        <f>36*F4417</f>
        <v>0.9144000000000001</v>
      </c>
      <c r="F4417" s="12">
        <f>Systems!D8/12</f>
        <v>2.5400000000000002E-2</v>
      </c>
      <c r="G4417" s="1" t="s">
        <v>14</v>
      </c>
      <c r="H4417" s="1" t="s">
        <v>47</v>
      </c>
    </row>
    <row r="4418" spans="1:8">
      <c r="A4418" s="1" t="s">
        <v>200</v>
      </c>
      <c r="B4418" s="1" t="s">
        <v>6951</v>
      </c>
      <c r="C4418" s="1" t="s">
        <v>3033</v>
      </c>
      <c r="D4418" s="1" t="s">
        <v>19</v>
      </c>
      <c r="E4418" s="12">
        <f>F4418</f>
        <v>0.30480000000000002</v>
      </c>
      <c r="F4418" s="12">
        <f>Systems!D8</f>
        <v>0.30480000000000002</v>
      </c>
      <c r="G4418" s="1" t="s">
        <v>14</v>
      </c>
      <c r="H4418" s="1" t="s">
        <v>47</v>
      </c>
    </row>
    <row r="4419" spans="1:8">
      <c r="A4419" s="1" t="s">
        <v>5506</v>
      </c>
      <c r="B4419" s="1" t="s">
        <v>6304</v>
      </c>
      <c r="C4419" s="1" t="s">
        <v>3033</v>
      </c>
      <c r="D4419" s="1" t="s">
        <v>19</v>
      </c>
      <c r="E4419" s="12">
        <f>F4419</f>
        <v>0.30480060960121919</v>
      </c>
      <c r="F4419" s="12">
        <f>Systems!D10</f>
        <v>0.30480060960121919</v>
      </c>
      <c r="G4419" s="1" t="s">
        <v>14</v>
      </c>
      <c r="H4419" s="1" t="s">
        <v>47</v>
      </c>
    </row>
    <row r="4420" spans="1:8">
      <c r="A4420" s="1" t="s">
        <v>5507</v>
      </c>
      <c r="B4420" s="1" t="s">
        <v>26</v>
      </c>
      <c r="C4420" s="1" t="s">
        <v>3033</v>
      </c>
      <c r="D4420" s="1" t="s">
        <v>19</v>
      </c>
      <c r="E4420" s="12">
        <f>120*3*F4420</f>
        <v>109.72800000000001</v>
      </c>
      <c r="F4420" s="12">
        <f>Systems!D8</f>
        <v>0.30480000000000002</v>
      </c>
      <c r="G4420" s="1" t="s">
        <v>14</v>
      </c>
      <c r="H4420" s="1" t="s">
        <v>47</v>
      </c>
    </row>
    <row r="4421" spans="1:8">
      <c r="A4421" s="1" t="s">
        <v>1640</v>
      </c>
      <c r="B4421" s="1" t="s">
        <v>6983</v>
      </c>
      <c r="C4421" s="1" t="s">
        <v>3033</v>
      </c>
      <c r="D4421" s="1" t="s">
        <v>19</v>
      </c>
      <c r="E4421" s="12">
        <f>660*F4421</f>
        <v>201.16800000000001</v>
      </c>
      <c r="F4421" s="12">
        <f>Systems!D8</f>
        <v>0.30480000000000002</v>
      </c>
      <c r="G4421" s="1" t="s">
        <v>14</v>
      </c>
      <c r="H4421" s="1" t="s">
        <v>47</v>
      </c>
    </row>
    <row r="4422" spans="1:8">
      <c r="A4422" s="1" t="s">
        <v>1742</v>
      </c>
      <c r="B4422" s="1" t="s">
        <v>26</v>
      </c>
      <c r="C4422" s="1" t="s">
        <v>3033</v>
      </c>
      <c r="D4422" s="1" t="s">
        <v>19</v>
      </c>
      <c r="E4422" s="12">
        <f>100*F4422</f>
        <v>404685.64224000013</v>
      </c>
      <c r="F4422" s="12">
        <f>4840*POWER(3*Systems!D8,2)</f>
        <v>4046.8564224000011</v>
      </c>
      <c r="G4422" s="1" t="s">
        <v>14</v>
      </c>
      <c r="H4422" s="1" t="s">
        <v>47</v>
      </c>
    </row>
    <row r="4423" spans="1:8">
      <c r="A4423" s="1" t="s">
        <v>5508</v>
      </c>
      <c r="B4423" s="1" t="s">
        <v>5509</v>
      </c>
      <c r="C4423" s="1" t="s">
        <v>3033</v>
      </c>
      <c r="D4423" s="1" t="s">
        <v>19</v>
      </c>
      <c r="E4423" s="12">
        <f>F4423</f>
        <v>2.5400050800101603E-2</v>
      </c>
      <c r="F4423" s="12">
        <f>1/39.37</f>
        <v>2.5400050800101603E-2</v>
      </c>
      <c r="G4423" s="1" t="s">
        <v>14</v>
      </c>
      <c r="H4423" s="1" t="s">
        <v>47</v>
      </c>
    </row>
    <row r="4424" spans="1:8">
      <c r="A4424" s="1" t="s">
        <v>245</v>
      </c>
      <c r="B4424" s="1" t="s">
        <v>6952</v>
      </c>
      <c r="C4424" s="1" t="s">
        <v>3033</v>
      </c>
      <c r="D4424" s="1" t="s">
        <v>19</v>
      </c>
      <c r="E4424" s="12">
        <f>F4424</f>
        <v>2.5400000000000002E-2</v>
      </c>
      <c r="F4424" s="12">
        <f>Systems!D8/12</f>
        <v>2.5400000000000002E-2</v>
      </c>
      <c r="G4424" s="1" t="s">
        <v>14</v>
      </c>
      <c r="H4424" s="1" t="s">
        <v>47</v>
      </c>
    </row>
    <row r="4425" spans="1:8">
      <c r="A4425" s="1" t="s">
        <v>1938</v>
      </c>
      <c r="B4425" s="1" t="s">
        <v>6984</v>
      </c>
      <c r="C4425" s="1" t="s">
        <v>3033</v>
      </c>
      <c r="D4425" s="1" t="s">
        <v>19</v>
      </c>
      <c r="E4425" s="12">
        <f>6080*F4425</f>
        <v>5559.5520000000006</v>
      </c>
      <c r="F4425" s="12">
        <f>3*Systems!D8</f>
        <v>0.9144000000000001</v>
      </c>
      <c r="G4425" s="1" t="s">
        <v>14</v>
      </c>
      <c r="H4425" s="1" t="s">
        <v>47</v>
      </c>
    </row>
    <row r="4426" spans="1:8">
      <c r="A4426" s="1" t="s">
        <v>255</v>
      </c>
      <c r="B4426" s="1" t="s">
        <v>26</v>
      </c>
      <c r="C4426" s="1" t="s">
        <v>3033</v>
      </c>
      <c r="D4426" s="1" t="s">
        <v>19</v>
      </c>
      <c r="E4426" s="12">
        <f>F4426/480</f>
        <v>6.3500000000000004E-4</v>
      </c>
      <c r="F4426" s="12">
        <f>Systems!D8</f>
        <v>0.30480000000000002</v>
      </c>
      <c r="G4426" s="1" t="s">
        <v>14</v>
      </c>
      <c r="H4426" s="1" t="s">
        <v>47</v>
      </c>
    </row>
    <row r="4427" spans="1:8">
      <c r="A4427" s="1" t="s">
        <v>5510</v>
      </c>
      <c r="B4427" s="1" t="s">
        <v>26</v>
      </c>
      <c r="C4427" s="1" t="s">
        <v>3033</v>
      </c>
      <c r="D4427" s="1" t="s">
        <v>19</v>
      </c>
      <c r="E4427" s="12">
        <f>F4427/100</f>
        <v>0.30480000000000002</v>
      </c>
      <c r="F4427" s="12">
        <f>100*Systems!D8</f>
        <v>30.48</v>
      </c>
      <c r="G4427" s="1" t="s">
        <v>14</v>
      </c>
      <c r="H4427" s="1" t="s">
        <v>47</v>
      </c>
    </row>
    <row r="4428" spans="1:8">
      <c r="A4428" s="1" t="s">
        <v>5511</v>
      </c>
      <c r="B4428" s="1" t="s">
        <v>26</v>
      </c>
      <c r="C4428" s="1" t="s">
        <v>3033</v>
      </c>
      <c r="D4428" s="1" t="s">
        <v>19</v>
      </c>
      <c r="E4428" s="12">
        <f>F4428/100</f>
        <v>0.30480000000000002</v>
      </c>
      <c r="F4428" s="12">
        <f>100*Systems!D8</f>
        <v>30.48</v>
      </c>
      <c r="G4428" s="1" t="s">
        <v>14</v>
      </c>
      <c r="H4428" s="1" t="s">
        <v>47</v>
      </c>
    </row>
    <row r="4429" spans="1:8">
      <c r="A4429" s="1" t="s">
        <v>1987</v>
      </c>
      <c r="B4429" s="1" t="s">
        <v>26</v>
      </c>
      <c r="C4429" s="1" t="s">
        <v>3033</v>
      </c>
      <c r="D4429" s="1" t="s">
        <v>19</v>
      </c>
      <c r="E4429" s="12">
        <f>80*F4429</f>
        <v>323748.51379200007</v>
      </c>
      <c r="F4429" s="12">
        <f>4840*POWER(3*Systems!D8,2)</f>
        <v>4046.8564224000011</v>
      </c>
      <c r="G4429" s="1" t="s">
        <v>14</v>
      </c>
      <c r="H4429" s="1" t="s">
        <v>47</v>
      </c>
    </row>
    <row r="4430" spans="1:8">
      <c r="A4430" s="1" t="s">
        <v>5512</v>
      </c>
      <c r="B4430" s="1" t="s">
        <v>26</v>
      </c>
      <c r="C4430" s="1" t="s">
        <v>3033</v>
      </c>
      <c r="D4430" s="1" t="s">
        <v>19</v>
      </c>
      <c r="E4430" s="12">
        <f>12*F4430</f>
        <v>3.6576000000000004</v>
      </c>
      <c r="F4430" s="12">
        <f>Systems!D8</f>
        <v>0.30480000000000002</v>
      </c>
      <c r="G4430" s="1" t="s">
        <v>14</v>
      </c>
      <c r="H4430" s="1" t="s">
        <v>47</v>
      </c>
    </row>
    <row r="4431" spans="1:8">
      <c r="A4431" s="1" t="s">
        <v>1484</v>
      </c>
      <c r="B4431" s="1" t="s">
        <v>6954</v>
      </c>
      <c r="C4431" s="1" t="s">
        <v>3033</v>
      </c>
      <c r="D4431" s="1" t="s">
        <v>19</v>
      </c>
      <c r="E4431" s="12">
        <f>5280*F4431</f>
        <v>1609.3440000000001</v>
      </c>
      <c r="F4431" s="12">
        <f>Systems!D8</f>
        <v>0.30480000000000002</v>
      </c>
      <c r="G4431" s="1" t="s">
        <v>14</v>
      </c>
      <c r="H4431" s="1" t="s">
        <v>47</v>
      </c>
    </row>
    <row r="4432" spans="1:8">
      <c r="A4432" s="1" t="s">
        <v>5372</v>
      </c>
      <c r="B4432" s="1" t="s">
        <v>5373</v>
      </c>
      <c r="C4432" s="1" t="s">
        <v>3033</v>
      </c>
      <c r="D4432" s="1" t="s">
        <v>19</v>
      </c>
      <c r="E4432" s="12">
        <f>6080*F4432</f>
        <v>1853.1840000000002</v>
      </c>
      <c r="F4432" s="12">
        <f>Systems!D8</f>
        <v>0.30480000000000002</v>
      </c>
      <c r="G4432" s="1" t="s">
        <v>14</v>
      </c>
      <c r="H4432" s="1" t="s">
        <v>47</v>
      </c>
    </row>
    <row r="4433" spans="1:8">
      <c r="A4433" s="1" t="s">
        <v>5513</v>
      </c>
      <c r="B4433" s="1" t="s">
        <v>5514</v>
      </c>
      <c r="C4433" s="1" t="s">
        <v>3033</v>
      </c>
      <c r="D4433" s="1" t="s">
        <v>19</v>
      </c>
      <c r="E4433" s="12">
        <f>6336000*F4433/3937</f>
        <v>1609.3472186944373</v>
      </c>
      <c r="F4433" s="12">
        <f>SI!E3</f>
        <v>1</v>
      </c>
      <c r="G4433" s="1" t="s">
        <v>14</v>
      </c>
      <c r="H4433" s="1" t="s">
        <v>47</v>
      </c>
    </row>
    <row r="4434" spans="1:8">
      <c r="A4434" s="1" t="s">
        <v>4813</v>
      </c>
      <c r="B4434" s="1" t="s">
        <v>6989</v>
      </c>
      <c r="C4434" s="1" t="s">
        <v>3033</v>
      </c>
      <c r="D4434" s="1" t="s">
        <v>19</v>
      </c>
      <c r="E4434" s="12">
        <f>6080*F4434</f>
        <v>1853.1840000000002</v>
      </c>
      <c r="F4434" s="12">
        <f>Systems!D8</f>
        <v>0.30480000000000002</v>
      </c>
      <c r="G4434" s="1" t="s">
        <v>14</v>
      </c>
      <c r="H4434" s="1" t="s">
        <v>47</v>
      </c>
    </row>
    <row r="4435" spans="1:8">
      <c r="A4435" s="1" t="s">
        <v>1284</v>
      </c>
      <c r="B4435" s="1" t="s">
        <v>26</v>
      </c>
      <c r="C4435" s="1" t="s">
        <v>3033</v>
      </c>
      <c r="D4435" s="1" t="s">
        <v>19</v>
      </c>
      <c r="E4435" s="12">
        <f>2.5*F4435</f>
        <v>0.76200000000000001</v>
      </c>
      <c r="F4435" s="12">
        <f>Systems!D8</f>
        <v>0.30480000000000002</v>
      </c>
      <c r="G4435" s="1" t="s">
        <v>14</v>
      </c>
      <c r="H4435" s="1" t="s">
        <v>47</v>
      </c>
    </row>
    <row r="4436" spans="1:8">
      <c r="A4436" s="1" t="s">
        <v>2261</v>
      </c>
      <c r="B4436" s="1" t="s">
        <v>26</v>
      </c>
      <c r="C4436" s="1" t="s">
        <v>3033</v>
      </c>
      <c r="D4436" s="1" t="s">
        <v>19</v>
      </c>
      <c r="E4436" s="26">
        <f>F4436/72.27</f>
        <v>4.2175176421751772E-3</v>
      </c>
      <c r="F4436" s="12">
        <f>Systems!D8</f>
        <v>0.30480000000000002</v>
      </c>
      <c r="G4436" s="1" t="s">
        <v>14</v>
      </c>
      <c r="H4436" s="1" t="s">
        <v>47</v>
      </c>
    </row>
    <row r="4437" spans="1:8">
      <c r="A4437" s="1" t="s">
        <v>5515</v>
      </c>
      <c r="B4437" s="1" t="s">
        <v>26</v>
      </c>
      <c r="C4437" s="1" t="s">
        <v>3033</v>
      </c>
      <c r="D4437" s="1" t="s">
        <v>19</v>
      </c>
      <c r="E4437" s="12">
        <f>F4437/16</f>
        <v>1.5875000000000002E-3</v>
      </c>
      <c r="F4437" s="12">
        <f>Systems!D8/12</f>
        <v>2.5400000000000002E-2</v>
      </c>
      <c r="G4437" s="1" t="s">
        <v>14</v>
      </c>
      <c r="H4437" s="1" t="s">
        <v>47</v>
      </c>
    </row>
    <row r="4438" spans="1:8">
      <c r="A4438" s="1" t="s">
        <v>5516</v>
      </c>
      <c r="B4438" s="1" t="s">
        <v>26</v>
      </c>
      <c r="C4438" s="1" t="s">
        <v>3033</v>
      </c>
      <c r="D4438" s="1" t="s">
        <v>19</v>
      </c>
      <c r="E4438" s="12">
        <f>F4438/72.27</f>
        <v>3.514598035145981E-4</v>
      </c>
      <c r="F4438" s="12">
        <f>Systems!D8/12</f>
        <v>2.5400000000000002E-2</v>
      </c>
      <c r="G4438" s="1" t="s">
        <v>14</v>
      </c>
      <c r="H4438" s="1" t="s">
        <v>47</v>
      </c>
    </row>
    <row r="4439" spans="1:8">
      <c r="A4439" s="1" t="s">
        <v>5517</v>
      </c>
      <c r="B4439" s="1" t="s">
        <v>545</v>
      </c>
      <c r="C4439" s="1" t="s">
        <v>3033</v>
      </c>
      <c r="D4439" s="1" t="s">
        <v>19</v>
      </c>
      <c r="E4439" s="12">
        <f>F4439/4000</f>
        <v>6.3500000000000002E-6</v>
      </c>
      <c r="F4439" s="12">
        <f>Systems!D8/12</f>
        <v>2.5400000000000002E-2</v>
      </c>
      <c r="G4439" s="1" t="s">
        <v>14</v>
      </c>
      <c r="H4439" s="1" t="s">
        <v>47</v>
      </c>
    </row>
    <row r="4440" spans="1:8">
      <c r="A4440" s="1" t="s">
        <v>353</v>
      </c>
      <c r="B4440" s="1" t="s">
        <v>26</v>
      </c>
      <c r="C4440" s="1" t="s">
        <v>3033</v>
      </c>
      <c r="D4440" s="1" t="s">
        <v>19</v>
      </c>
      <c r="E4440" s="12">
        <f>0.00000000001*F4440</f>
        <v>9.9999999999999994E-12</v>
      </c>
      <c r="F4440" s="12">
        <f>SI!E3</f>
        <v>1</v>
      </c>
      <c r="G4440" s="1" t="s">
        <v>14</v>
      </c>
      <c r="H4440" s="1" t="s">
        <v>47</v>
      </c>
    </row>
    <row r="4441" spans="1:8">
      <c r="A4441" s="1" t="s">
        <v>2387</v>
      </c>
      <c r="B4441" s="1" t="s">
        <v>6985</v>
      </c>
      <c r="C4441" s="1" t="s">
        <v>3033</v>
      </c>
      <c r="D4441" s="1" t="s">
        <v>19</v>
      </c>
      <c r="E4441" s="12">
        <f>16.5*F4441</f>
        <v>5.0292000000000003</v>
      </c>
      <c r="F4441" s="12">
        <f>Systems!D8</f>
        <v>0.30480000000000002</v>
      </c>
      <c r="G4441" s="1" t="s">
        <v>14</v>
      </c>
      <c r="H4441" s="1" t="s">
        <v>47</v>
      </c>
    </row>
    <row r="4442" spans="1:8">
      <c r="A4442" s="1" t="s">
        <v>5518</v>
      </c>
      <c r="B4442" s="1" t="s">
        <v>26</v>
      </c>
      <c r="C4442" s="1" t="s">
        <v>3033</v>
      </c>
      <c r="D4442" s="1" t="s">
        <v>19</v>
      </c>
      <c r="E4442" s="12">
        <f>113*F4442/24</f>
        <v>1.4351</v>
      </c>
      <c r="F4442" s="12">
        <f>Systems!D8</f>
        <v>0.30480000000000002</v>
      </c>
      <c r="G4442" s="1" t="s">
        <v>14</v>
      </c>
      <c r="H4442" s="1" t="s">
        <v>47</v>
      </c>
    </row>
    <row r="4443" spans="1:8">
      <c r="A4443" s="1" t="s">
        <v>821</v>
      </c>
      <c r="B4443" s="1" t="s">
        <v>26</v>
      </c>
      <c r="C4443" s="1" t="s">
        <v>3033</v>
      </c>
      <c r="D4443" s="1" t="s">
        <v>19</v>
      </c>
      <c r="E4443" s="12">
        <f>F4443</f>
        <v>0.84666666666666668</v>
      </c>
      <c r="F4443" s="12">
        <f>Systems!D9</f>
        <v>0.84666666666666668</v>
      </c>
      <c r="G4443" s="1" t="s">
        <v>14</v>
      </c>
      <c r="H4443" s="1" t="s">
        <v>47</v>
      </c>
    </row>
    <row r="4444" spans="1:8">
      <c r="A4444" s="1" t="s">
        <v>5519</v>
      </c>
      <c r="B4444" s="1" t="s">
        <v>5520</v>
      </c>
      <c r="C4444" s="1" t="s">
        <v>3033</v>
      </c>
      <c r="D4444" s="1" t="s">
        <v>19</v>
      </c>
      <c r="E4444" s="12">
        <f>3*F4444</f>
        <v>0.9144018288036575</v>
      </c>
      <c r="F4444" s="12">
        <f>Systems!D10</f>
        <v>0.30480060960121919</v>
      </c>
      <c r="G4444" s="1" t="s">
        <v>14</v>
      </c>
      <c r="H4444" s="1" t="s">
        <v>47</v>
      </c>
    </row>
    <row r="4445" spans="1:8">
      <c r="A4445" s="1" t="s">
        <v>431</v>
      </c>
      <c r="B4445" s="1" t="s">
        <v>6953</v>
      </c>
      <c r="C4445" s="1" t="s">
        <v>3033</v>
      </c>
      <c r="D4445" s="1" t="s">
        <v>19</v>
      </c>
      <c r="E4445" s="12">
        <f>F4445</f>
        <v>0.9144000000000001</v>
      </c>
      <c r="F4445" s="12">
        <f>3*Systems!D8</f>
        <v>0.9144000000000001</v>
      </c>
      <c r="G4445" s="1" t="s">
        <v>14</v>
      </c>
      <c r="H4445" s="1" t="s">
        <v>47</v>
      </c>
    </row>
    <row r="4446" spans="1:8" ht="16.5">
      <c r="A4446" s="1" t="s">
        <v>5521</v>
      </c>
      <c r="B4446" s="1" t="s">
        <v>5522</v>
      </c>
      <c r="C4446" s="1" t="s">
        <v>3034</v>
      </c>
      <c r="D4446" s="1" t="s">
        <v>38</v>
      </c>
      <c r="E4446" s="12">
        <f>4840*F4446</f>
        <v>4046.8726098742522</v>
      </c>
      <c r="F4446" s="12">
        <f>POWER(3*1200/3937,2)</f>
        <v>0.83613070451947358</v>
      </c>
      <c r="G4446" s="1" t="s">
        <v>39</v>
      </c>
      <c r="H4446" s="1" t="s">
        <v>47</v>
      </c>
    </row>
    <row r="4447" spans="1:8" ht="16.5">
      <c r="A4447" s="1" t="s">
        <v>45</v>
      </c>
      <c r="B4447" s="1" t="s">
        <v>6976</v>
      </c>
      <c r="C4447" s="1" t="s">
        <v>3034</v>
      </c>
      <c r="D4447" s="1" t="s">
        <v>38</v>
      </c>
      <c r="E4447" s="12">
        <f>4840*F4447</f>
        <v>4046.8564224000011</v>
      </c>
      <c r="F4447" s="12">
        <f>POWER(3*Systems!D8,2)</f>
        <v>0.83612736000000021</v>
      </c>
      <c r="G4447" s="1" t="s">
        <v>39</v>
      </c>
      <c r="H4447" s="1" t="s">
        <v>47</v>
      </c>
    </row>
    <row r="4448" spans="1:8" ht="16.5">
      <c r="A4448" s="1" t="s">
        <v>5523</v>
      </c>
      <c r="B4448" s="1" t="s">
        <v>1266</v>
      </c>
      <c r="C4448" s="1" t="s">
        <v>3034</v>
      </c>
      <c r="D4448" s="1" t="s">
        <v>38</v>
      </c>
      <c r="E4448" s="12">
        <f>31.5*F4448</f>
        <v>0.39120889500000006</v>
      </c>
      <c r="F4448" s="12">
        <f>Systems!P8/Systems!D8</f>
        <v>1.2419330000000001E-2</v>
      </c>
      <c r="G4448" s="1" t="s">
        <v>39</v>
      </c>
      <c r="H4448" s="1" t="s">
        <v>47</v>
      </c>
    </row>
    <row r="4449" spans="1:8" ht="16.5">
      <c r="A4449" s="1" t="s">
        <v>5525</v>
      </c>
      <c r="B4449" s="1" t="s">
        <v>5524</v>
      </c>
      <c r="C4449" s="1" t="s">
        <v>3034</v>
      </c>
      <c r="D4449" s="1" t="s">
        <v>38</v>
      </c>
      <c r="E4449" s="12">
        <f>42*F4449</f>
        <v>0.52161186000000004</v>
      </c>
      <c r="F4449" s="12">
        <f>Systems!P8/Systems!D8</f>
        <v>1.2419330000000001E-2</v>
      </c>
      <c r="G4449" s="1" t="s">
        <v>39</v>
      </c>
      <c r="H4449" s="1" t="s">
        <v>47</v>
      </c>
    </row>
    <row r="4450" spans="1:8" ht="16.5">
      <c r="A4450" s="1" t="s">
        <v>5526</v>
      </c>
      <c r="B4450" s="1" t="s">
        <v>1267</v>
      </c>
      <c r="C4450" s="1" t="s">
        <v>3034</v>
      </c>
      <c r="D4450" s="1" t="s">
        <v>38</v>
      </c>
      <c r="E4450" s="12">
        <f>31.5*F4450*12</f>
        <v>4.6945067400000005</v>
      </c>
      <c r="F4450" s="12">
        <f>Systems!P8/Systems!D8</f>
        <v>1.2419330000000001E-2</v>
      </c>
      <c r="G4450" s="1" t="s">
        <v>39</v>
      </c>
      <c r="H4450" s="1" t="s">
        <v>47</v>
      </c>
    </row>
    <row r="4451" spans="1:8" ht="16.5">
      <c r="A4451" s="1" t="s">
        <v>5527</v>
      </c>
      <c r="B4451" s="1" t="s">
        <v>5528</v>
      </c>
      <c r="C4451" s="1" t="s">
        <v>3034</v>
      </c>
      <c r="D4451" s="1" t="s">
        <v>38</v>
      </c>
      <c r="E4451" s="12">
        <f>12*42*F4451</f>
        <v>6.2593423200000009</v>
      </c>
      <c r="F4451" s="12">
        <f>Systems!P8/Systems!D8</f>
        <v>1.2419330000000001E-2</v>
      </c>
      <c r="G4451" s="1" t="s">
        <v>39</v>
      </c>
      <c r="H4451" s="1" t="s">
        <v>47</v>
      </c>
    </row>
    <row r="4452" spans="1:8" ht="16.5">
      <c r="A4452" s="1" t="s">
        <v>5530</v>
      </c>
      <c r="B4452" s="1" t="s">
        <v>5529</v>
      </c>
      <c r="C4452" s="1" t="s">
        <v>3034</v>
      </c>
      <c r="D4452" s="1" t="s">
        <v>38</v>
      </c>
      <c r="E4452" s="12">
        <f>F4452</f>
        <v>2034180.0417911524</v>
      </c>
      <c r="F4452" s="12">
        <f>PI()*POWER(6336000/(2*3937),2)</f>
        <v>2034180.0417911524</v>
      </c>
      <c r="G4452" s="1" t="s">
        <v>39</v>
      </c>
      <c r="H4452" s="1" t="s">
        <v>47</v>
      </c>
    </row>
    <row r="4453" spans="1:8" ht="16.5">
      <c r="A4453" s="1" t="s">
        <v>5531</v>
      </c>
      <c r="B4453" s="1" t="s">
        <v>5532</v>
      </c>
      <c r="C4453" s="1" t="s">
        <v>3034</v>
      </c>
      <c r="D4453" s="1" t="s">
        <v>38</v>
      </c>
      <c r="E4453" s="12">
        <f>F4453</f>
        <v>7.8539816339744823E-7</v>
      </c>
      <c r="F4453" s="12">
        <f>(PI()/4)*POWER('Physical Definitions'!E21,2)</f>
        <v>7.8539816339744823E-7</v>
      </c>
      <c r="G4453" s="1" t="s">
        <v>39</v>
      </c>
      <c r="H4453" s="1" t="s">
        <v>47</v>
      </c>
    </row>
    <row r="4454" spans="1:8" ht="16.5">
      <c r="A4454" s="1" t="s">
        <v>525</v>
      </c>
      <c r="B4454" s="1" t="s">
        <v>26</v>
      </c>
      <c r="C4454" s="1" t="s">
        <v>3034</v>
      </c>
      <c r="D4454" s="1" t="s">
        <v>38</v>
      </c>
      <c r="E4454" s="12">
        <f>5*F4454</f>
        <v>0.46451520000000002</v>
      </c>
      <c r="F4454" s="12">
        <f>POWER(Systems!D8,2)</f>
        <v>9.2903040000000006E-2</v>
      </c>
      <c r="G4454" s="1" t="s">
        <v>39</v>
      </c>
      <c r="H4454" s="1" t="s">
        <v>47</v>
      </c>
    </row>
    <row r="4455" spans="1:8" ht="16.5">
      <c r="A4455" s="1" t="s">
        <v>5393</v>
      </c>
      <c r="B4455" s="1" t="s">
        <v>1643</v>
      </c>
      <c r="C4455" s="1" t="s">
        <v>3034</v>
      </c>
      <c r="D4455" s="1" t="s">
        <v>38</v>
      </c>
      <c r="E4455" s="12">
        <f>F4455</f>
        <v>1.2419330000000001E-2</v>
      </c>
      <c r="F4455" s="12">
        <f>Systems!P8/Systems!D8</f>
        <v>1.2419330000000001E-2</v>
      </c>
      <c r="G4455" s="1" t="s">
        <v>39</v>
      </c>
      <c r="H4455" s="1" t="s">
        <v>47</v>
      </c>
    </row>
    <row r="4456" spans="1:8" ht="16.5">
      <c r="A4456" s="1" t="s">
        <v>5394</v>
      </c>
      <c r="B4456" s="1" t="s">
        <v>1645</v>
      </c>
      <c r="C4456" s="1" t="s">
        <v>3034</v>
      </c>
      <c r="D4456" s="1" t="s">
        <v>38</v>
      </c>
      <c r="E4456" s="12">
        <f>F4456</f>
        <v>2.3521458333333337E-6</v>
      </c>
      <c r="F4456" s="12">
        <f>Systems!P8/(5280*Systems!D8)</f>
        <v>2.3521458333333337E-6</v>
      </c>
      <c r="G4456" s="1" t="s">
        <v>39</v>
      </c>
      <c r="H4456" s="1" t="s">
        <v>47</v>
      </c>
    </row>
    <row r="4457" spans="1:8" ht="16.5">
      <c r="A4457" s="1" t="s">
        <v>1754</v>
      </c>
      <c r="B4457" s="1" t="s">
        <v>26</v>
      </c>
      <c r="C4457" s="1" t="s">
        <v>3034</v>
      </c>
      <c r="D4457" s="1" t="s">
        <v>38</v>
      </c>
      <c r="E4457" s="12">
        <f>160*F4457</f>
        <v>647497.02758400014</v>
      </c>
      <c r="F4457" s="12">
        <f>4840*POWER(3*Systems!D8,2)</f>
        <v>4046.8564224000011</v>
      </c>
      <c r="G4457" s="1" t="s">
        <v>39</v>
      </c>
      <c r="H4457" s="1" t="s">
        <v>47</v>
      </c>
    </row>
    <row r="4458" spans="1:8" ht="16.5">
      <c r="A4458" s="1" t="s">
        <v>1919</v>
      </c>
      <c r="B4458" s="1" t="s">
        <v>26</v>
      </c>
      <c r="C4458" s="1" t="s">
        <v>3034</v>
      </c>
      <c r="D4458" s="1" t="s">
        <v>38</v>
      </c>
      <c r="E4458" s="12">
        <f>F4458</f>
        <v>716844.44444444438</v>
      </c>
      <c r="F4458" s="12">
        <f>POWER(1000*Systems!D9,2)</f>
        <v>716844.44444444438</v>
      </c>
      <c r="G4458" s="1" t="s">
        <v>39</v>
      </c>
      <c r="H4458" s="1" t="s">
        <v>47</v>
      </c>
    </row>
    <row r="4459" spans="1:8" ht="16.5">
      <c r="A4459" s="1" t="s">
        <v>1945</v>
      </c>
      <c r="B4459" s="1" t="s">
        <v>26</v>
      </c>
      <c r="C4459" s="1" t="s">
        <v>3034</v>
      </c>
      <c r="D4459" s="1" t="s">
        <v>38</v>
      </c>
      <c r="E4459" s="12">
        <f>4439*F4459</f>
        <v>17963995.659033604</v>
      </c>
      <c r="F4459" s="12">
        <f>4840*POWER(3*Systems!D8,2)</f>
        <v>4046.8564224000011</v>
      </c>
      <c r="G4459" s="1" t="s">
        <v>39</v>
      </c>
      <c r="H4459" s="1" t="s">
        <v>47</v>
      </c>
    </row>
    <row r="4460" spans="1:8" ht="16.5">
      <c r="A4460" s="1" t="s">
        <v>2393</v>
      </c>
      <c r="B4460" s="1" t="s">
        <v>26</v>
      </c>
      <c r="C4460" s="1" t="s">
        <v>3034</v>
      </c>
      <c r="D4460" s="1" t="s">
        <v>38</v>
      </c>
      <c r="E4460" s="12">
        <f>3630*F4460</f>
        <v>337.23803520000001</v>
      </c>
      <c r="F4460" s="12">
        <f>POWER(Systems!D8,2)</f>
        <v>9.2903040000000006E-2</v>
      </c>
      <c r="G4460" s="1" t="s">
        <v>39</v>
      </c>
      <c r="H4460" s="1" t="s">
        <v>47</v>
      </c>
    </row>
    <row r="4461" spans="1:8" ht="16.5">
      <c r="A4461" s="1" t="s">
        <v>5533</v>
      </c>
      <c r="B4461" s="1" t="s">
        <v>5534</v>
      </c>
      <c r="C4461" s="1" t="s">
        <v>3034</v>
      </c>
      <c r="D4461" s="1" t="s">
        <v>38</v>
      </c>
      <c r="E4461" s="12">
        <f>10000*F4461</f>
        <v>929.0304000000001</v>
      </c>
      <c r="F4461" s="12">
        <f>POWER(Systems!D8,2)</f>
        <v>9.2903040000000006E-2</v>
      </c>
      <c r="G4461" s="1" t="s">
        <v>39</v>
      </c>
      <c r="H4461" s="1" t="s">
        <v>47</v>
      </c>
    </row>
    <row r="4462" spans="1:8" ht="16.5">
      <c r="A4462" s="1" t="s">
        <v>5536</v>
      </c>
      <c r="B4462" s="1" t="s">
        <v>5535</v>
      </c>
      <c r="C4462" s="1" t="s">
        <v>3034</v>
      </c>
      <c r="D4462" s="1" t="s">
        <v>38</v>
      </c>
      <c r="E4462" s="12">
        <f>10000*F4462</f>
        <v>929.02878311760207</v>
      </c>
      <c r="F4462" s="12">
        <f>POWER(Systems!D7,2)</f>
        <v>9.2902878311760209E-2</v>
      </c>
      <c r="G4462" s="1" t="s">
        <v>39</v>
      </c>
      <c r="H4462" s="1" t="s">
        <v>47</v>
      </c>
    </row>
    <row r="4463" spans="1:8" ht="16.5">
      <c r="A4463" s="1" t="s">
        <v>4588</v>
      </c>
      <c r="B4463" s="1" t="s">
        <v>6956</v>
      </c>
      <c r="C4463" s="1" t="s">
        <v>3034</v>
      </c>
      <c r="D4463" s="1" t="s">
        <v>38</v>
      </c>
      <c r="E4463" s="12">
        <f>F4463</f>
        <v>6.4516000000000009E-4</v>
      </c>
      <c r="F4463" s="12">
        <f>POWER(Systems!D8/12,2)</f>
        <v>6.4516000000000009E-4</v>
      </c>
      <c r="G4463" s="1" t="s">
        <v>39</v>
      </c>
      <c r="H4463" s="1" t="s">
        <v>47</v>
      </c>
    </row>
    <row r="4464" spans="1:8" ht="16.5">
      <c r="A4464" s="1" t="s">
        <v>5538</v>
      </c>
      <c r="B4464" s="1" t="s">
        <v>5537</v>
      </c>
      <c r="C4464" s="1" t="s">
        <v>3034</v>
      </c>
      <c r="D4464" s="1" t="s">
        <v>38</v>
      </c>
      <c r="E4464" s="12">
        <f>F4464</f>
        <v>9.2903411613274825E-2</v>
      </c>
      <c r="F4464" s="12">
        <f>POWER(Systems!D10,2)</f>
        <v>9.2903411613274825E-2</v>
      </c>
      <c r="G4464" s="1" t="s">
        <v>39</v>
      </c>
      <c r="H4464" s="1" t="s">
        <v>47</v>
      </c>
    </row>
    <row r="4465" spans="1:8" ht="16.5">
      <c r="A4465" s="1" t="s">
        <v>4453</v>
      </c>
      <c r="B4465" s="1" t="s">
        <v>6955</v>
      </c>
      <c r="C4465" s="1" t="s">
        <v>3034</v>
      </c>
      <c r="D4465" s="1" t="s">
        <v>38</v>
      </c>
      <c r="E4465" s="12">
        <f>F4465</f>
        <v>9.2903040000000006E-2</v>
      </c>
      <c r="F4465" s="12">
        <f>POWER(Systems!D8,2)</f>
        <v>9.2903040000000006E-2</v>
      </c>
      <c r="G4465" s="1" t="s">
        <v>39</v>
      </c>
      <c r="H4465" s="1" t="s">
        <v>47</v>
      </c>
    </row>
    <row r="4466" spans="1:8" ht="16.5">
      <c r="A4466" s="1" t="s">
        <v>4824</v>
      </c>
      <c r="B4466" s="1" t="s">
        <v>4964</v>
      </c>
      <c r="C4466" s="1" t="s">
        <v>3034</v>
      </c>
      <c r="D4466" s="1" t="s">
        <v>38</v>
      </c>
      <c r="E4466" s="12">
        <f>9*F4466</f>
        <v>30908618.440704007</v>
      </c>
      <c r="F4466" s="12">
        <f>POWER(6080*Systems!D8,2)</f>
        <v>3434290.9378560008</v>
      </c>
      <c r="G4466" s="1" t="s">
        <v>39</v>
      </c>
      <c r="H4466" s="1" t="s">
        <v>47</v>
      </c>
    </row>
    <row r="4467" spans="1:8" ht="16.5">
      <c r="A4467" s="1" t="s">
        <v>5539</v>
      </c>
      <c r="B4467" s="1" t="s">
        <v>26</v>
      </c>
      <c r="C4467" s="1" t="s">
        <v>3034</v>
      </c>
      <c r="D4467" s="1" t="s">
        <v>38</v>
      </c>
      <c r="E4467" s="12">
        <f t="shared" ref="E4467:E4472" si="12">F4467</f>
        <v>9.2903040000000006E-2</v>
      </c>
      <c r="F4467" s="12">
        <f>POWER(Systems!D8,2)</f>
        <v>9.2903040000000006E-2</v>
      </c>
      <c r="G4467" s="1" t="s">
        <v>39</v>
      </c>
      <c r="H4467" s="1" t="s">
        <v>47</v>
      </c>
    </row>
    <row r="4468" spans="1:8" ht="16.5">
      <c r="A4468" s="1" t="s">
        <v>4966</v>
      </c>
      <c r="B4468" s="1" t="s">
        <v>4965</v>
      </c>
      <c r="C4468" s="1" t="s">
        <v>3034</v>
      </c>
      <c r="D4468" s="1" t="s">
        <v>38</v>
      </c>
      <c r="E4468" s="12">
        <f t="shared" si="12"/>
        <v>3434290.9378560008</v>
      </c>
      <c r="F4468" s="12">
        <f>POWER(6080*Systems!D8,2)</f>
        <v>3434290.9378560008</v>
      </c>
      <c r="G4468" s="1" t="s">
        <v>39</v>
      </c>
      <c r="H4468" s="1" t="s">
        <v>47</v>
      </c>
    </row>
    <row r="4469" spans="1:8" ht="16.5">
      <c r="A4469" s="1" t="s">
        <v>5542</v>
      </c>
      <c r="B4469" s="1" t="s">
        <v>5540</v>
      </c>
      <c r="C4469" s="1" t="s">
        <v>3034</v>
      </c>
      <c r="D4469" s="1" t="s">
        <v>38</v>
      </c>
      <c r="E4469" s="12">
        <f t="shared" si="12"/>
        <v>2589998.4703195211</v>
      </c>
      <c r="F4469" s="12">
        <f>POWER(6336000*SI!E3/3937,2)</f>
        <v>2589998.4703195211</v>
      </c>
      <c r="G4469" s="1" t="s">
        <v>39</v>
      </c>
      <c r="H4469" s="1" t="s">
        <v>47</v>
      </c>
    </row>
    <row r="4470" spans="1:8" ht="16.5">
      <c r="A4470" s="1" t="s">
        <v>4596</v>
      </c>
      <c r="B4470" s="1" t="s">
        <v>6969</v>
      </c>
      <c r="C4470" s="1" t="s">
        <v>3034</v>
      </c>
      <c r="D4470" s="1" t="s">
        <v>38</v>
      </c>
      <c r="E4470" s="12">
        <f t="shared" si="12"/>
        <v>2589988.1103360001</v>
      </c>
      <c r="F4470" s="12">
        <f>POWER(5280*Systems!D8,2)</f>
        <v>2589988.1103360001</v>
      </c>
      <c r="G4470" s="1" t="s">
        <v>39</v>
      </c>
      <c r="H4470" s="1" t="s">
        <v>47</v>
      </c>
    </row>
    <row r="4471" spans="1:8" ht="16.5">
      <c r="A4471" s="1" t="s">
        <v>4818</v>
      </c>
      <c r="B4471" s="1" t="s">
        <v>5541</v>
      </c>
      <c r="C4471" s="1" t="s">
        <v>3034</v>
      </c>
      <c r="D4471" s="1" t="s">
        <v>38</v>
      </c>
      <c r="E4471" s="12">
        <f t="shared" si="12"/>
        <v>2697285.7951646033</v>
      </c>
      <c r="F4471" s="12">
        <f>PI()*POWER(6080*Systems!D8/2,2)</f>
        <v>2697285.7951646033</v>
      </c>
      <c r="G4471" s="1" t="s">
        <v>39</v>
      </c>
      <c r="H4471" s="1" t="s">
        <v>47</v>
      </c>
    </row>
    <row r="4472" spans="1:8" ht="16.5">
      <c r="A4472" s="1" t="s">
        <v>4595</v>
      </c>
      <c r="B4472" s="1" t="s">
        <v>6957</v>
      </c>
      <c r="C4472" s="1" t="s">
        <v>3034</v>
      </c>
      <c r="D4472" s="1" t="s">
        <v>38</v>
      </c>
      <c r="E4472" s="12">
        <f t="shared" si="12"/>
        <v>0.83612736000000021</v>
      </c>
      <c r="F4472" s="12">
        <f>POWER(3*Systems!D8,2)</f>
        <v>0.83612736000000021</v>
      </c>
      <c r="G4472" s="1" t="s">
        <v>39</v>
      </c>
      <c r="H4472" s="1" t="s">
        <v>47</v>
      </c>
    </row>
    <row r="4473" spans="1:8" ht="16.5">
      <c r="A4473" s="1" t="s">
        <v>2694</v>
      </c>
      <c r="B4473" s="1" t="s">
        <v>26</v>
      </c>
      <c r="C4473" s="1" t="s">
        <v>3034</v>
      </c>
      <c r="D4473" s="1" t="s">
        <v>38</v>
      </c>
      <c r="E4473" s="12">
        <f>36*F4473</f>
        <v>93239571.972095996</v>
      </c>
      <c r="F4473" s="12">
        <f>POWER(5280*Systems!D8,2)</f>
        <v>2589988.1103360001</v>
      </c>
      <c r="G4473" s="1" t="s">
        <v>39</v>
      </c>
      <c r="H4473" s="1" t="s">
        <v>47</v>
      </c>
    </row>
    <row r="4474" spans="1:8" ht="16.5">
      <c r="A4474" s="1" t="s">
        <v>821</v>
      </c>
      <c r="B4474" s="1" t="s">
        <v>26</v>
      </c>
      <c r="C4474" s="1" t="s">
        <v>3034</v>
      </c>
      <c r="D4474" s="1" t="s">
        <v>38</v>
      </c>
      <c r="E4474" s="12">
        <f>F4474</f>
        <v>716.86014666400001</v>
      </c>
      <c r="F4474" s="12">
        <f>Systems!H9</f>
        <v>716.86014666400001</v>
      </c>
      <c r="G4474" s="1" t="s">
        <v>39</v>
      </c>
      <c r="H4474" s="1" t="s">
        <v>47</v>
      </c>
    </row>
    <row r="4475" spans="1:8" ht="16.5">
      <c r="A4475" s="18" t="s">
        <v>5404</v>
      </c>
      <c r="B4475" s="1" t="s">
        <v>26</v>
      </c>
      <c r="C4475" s="1" t="s">
        <v>2936</v>
      </c>
      <c r="D4475" s="1" t="s">
        <v>32</v>
      </c>
      <c r="E4475" s="16">
        <f>5*F4475</f>
        <v>0.14158423296000003</v>
      </c>
      <c r="F4475" s="16">
        <f>POWER(Systems!D8,3)</f>
        <v>2.8316846592000004E-2</v>
      </c>
      <c r="G4475" s="1" t="s">
        <v>33</v>
      </c>
      <c r="H4475" s="1" t="s">
        <v>47</v>
      </c>
    </row>
    <row r="4476" spans="1:8" ht="16.5">
      <c r="A4476" s="18" t="s">
        <v>5543</v>
      </c>
      <c r="B4476" s="1" t="s">
        <v>5544</v>
      </c>
      <c r="C4476" s="1" t="s">
        <v>2936</v>
      </c>
      <c r="D4476" s="1" t="s">
        <v>32</v>
      </c>
      <c r="E4476" s="25">
        <f>5826*F4476</f>
        <v>9.5471034864000021E-2</v>
      </c>
      <c r="F4476" s="25">
        <f>POWER(Systems!D8/12,3)</f>
        <v>1.6387064000000003E-5</v>
      </c>
      <c r="G4476" s="1" t="s">
        <v>33</v>
      </c>
      <c r="H4476" s="1" t="s">
        <v>47</v>
      </c>
    </row>
    <row r="4477" spans="1:8" ht="16.5">
      <c r="A4477" s="1" t="s">
        <v>5546</v>
      </c>
      <c r="B4477" s="1" t="s">
        <v>5545</v>
      </c>
      <c r="C4477" s="1" t="s">
        <v>2936</v>
      </c>
      <c r="D4477" s="1" t="s">
        <v>32</v>
      </c>
      <c r="E4477" s="12">
        <f>26.25*F4477</f>
        <v>0.115628198985075</v>
      </c>
      <c r="F4477" s="12">
        <f>Systems!T8</f>
        <v>4.40488377086E-3</v>
      </c>
      <c r="G4477" s="1" t="s">
        <v>33</v>
      </c>
      <c r="H4477" s="1" t="s">
        <v>47</v>
      </c>
    </row>
    <row r="4478" spans="1:8" ht="16.5">
      <c r="A4478" s="1" t="s">
        <v>1323</v>
      </c>
      <c r="B4478" s="1" t="s">
        <v>1316</v>
      </c>
      <c r="C4478" s="1" t="s">
        <v>2936</v>
      </c>
      <c r="D4478" s="1" t="s">
        <v>32</v>
      </c>
      <c r="E4478" s="12">
        <f>8*F4478</f>
        <v>3.523907016688E-2</v>
      </c>
      <c r="F4478" s="12">
        <f>Systems!T8</f>
        <v>4.40488377086E-3</v>
      </c>
      <c r="G4478" s="1" t="s">
        <v>33</v>
      </c>
      <c r="H4478" s="1" t="s">
        <v>47</v>
      </c>
    </row>
    <row r="4479" spans="1:8" ht="16.5">
      <c r="A4479" s="1" t="s">
        <v>5547</v>
      </c>
      <c r="B4479" s="1" t="s">
        <v>5548</v>
      </c>
      <c r="C4479" s="1" t="s">
        <v>2936</v>
      </c>
      <c r="D4479" s="1" t="s">
        <v>32</v>
      </c>
      <c r="E4479" s="12">
        <f>8*F4479</f>
        <v>3.523907016688E-2</v>
      </c>
      <c r="F4479" s="12">
        <f>Systems!T8</f>
        <v>4.40488377086E-3</v>
      </c>
      <c r="G4479" s="1" t="s">
        <v>33</v>
      </c>
      <c r="H4479" s="1" t="s">
        <v>47</v>
      </c>
    </row>
    <row r="4480" spans="1:8" ht="16.5">
      <c r="A4480" s="1" t="s">
        <v>1382</v>
      </c>
      <c r="B4480" s="1" t="s">
        <v>26</v>
      </c>
      <c r="C4480" s="1" t="s">
        <v>2936</v>
      </c>
      <c r="D4480" s="1" t="s">
        <v>32</v>
      </c>
      <c r="E4480" s="12">
        <f>F4480/8</f>
        <v>5.506104713575E-4</v>
      </c>
      <c r="F4480" s="12">
        <f>Systems!T8</f>
        <v>4.40488377086E-3</v>
      </c>
      <c r="G4480" s="1" t="s">
        <v>33</v>
      </c>
      <c r="H4480" s="1" t="s">
        <v>47</v>
      </c>
    </row>
    <row r="4481" spans="1:8" ht="16.5">
      <c r="A4481" s="1" t="s">
        <v>1412</v>
      </c>
      <c r="B4481" s="1" t="s">
        <v>26</v>
      </c>
      <c r="C4481" s="1" t="s">
        <v>2936</v>
      </c>
      <c r="D4481" s="1" t="s">
        <v>32</v>
      </c>
      <c r="E4481" s="12">
        <f>F4481/8</f>
        <v>5.506104713575E-4</v>
      </c>
      <c r="F4481" s="12">
        <f>Systems!T8</f>
        <v>4.40488377086E-3</v>
      </c>
      <c r="G4481" s="1" t="s">
        <v>33</v>
      </c>
      <c r="H4481" s="1" t="s">
        <v>47</v>
      </c>
    </row>
    <row r="4482" spans="1:8" ht="16.5">
      <c r="A4482" s="1" t="s">
        <v>1434</v>
      </c>
      <c r="B4482" s="1" t="s">
        <v>104</v>
      </c>
      <c r="C4482" s="1" t="s">
        <v>2936</v>
      </c>
      <c r="D4482" s="1" t="s">
        <v>32</v>
      </c>
      <c r="E4482" s="12">
        <f>128*F4482</f>
        <v>3.6245563637760005</v>
      </c>
      <c r="F4482" s="12">
        <f>POWER(Systems!D8,3)</f>
        <v>2.8316846592000004E-2</v>
      </c>
      <c r="G4482" s="1" t="s">
        <v>33</v>
      </c>
      <c r="H4482" s="1" t="s">
        <v>47</v>
      </c>
    </row>
    <row r="4483" spans="1:8" ht="16.5">
      <c r="A4483" s="1" t="s">
        <v>5549</v>
      </c>
      <c r="B4483" s="1" t="s">
        <v>6960</v>
      </c>
      <c r="C4483" s="1" t="s">
        <v>2936</v>
      </c>
      <c r="D4483" s="1" t="s">
        <v>32</v>
      </c>
      <c r="E4483" s="12">
        <f>F4483</f>
        <v>1.6387064000000003E-5</v>
      </c>
      <c r="F4483" s="12">
        <f>POWER(Systems!D8/12,3)</f>
        <v>1.6387064000000003E-5</v>
      </c>
      <c r="G4483" s="1" t="s">
        <v>33</v>
      </c>
      <c r="H4483" s="1" t="s">
        <v>47</v>
      </c>
    </row>
    <row r="4484" spans="1:8" ht="16.5">
      <c r="A4484" s="1" t="s">
        <v>4589</v>
      </c>
      <c r="B4484" s="1" t="s">
        <v>6977</v>
      </c>
      <c r="C4484" s="1" t="s">
        <v>2936</v>
      </c>
      <c r="D4484" s="1" t="s">
        <v>32</v>
      </c>
      <c r="E4484" s="12">
        <f>F4484</f>
        <v>2.8316846592000004E-2</v>
      </c>
      <c r="F4484" s="12">
        <f>POWER(Systems!D8,3)</f>
        <v>2.8316846592000004E-2</v>
      </c>
      <c r="G4484" s="1" t="s">
        <v>33</v>
      </c>
      <c r="H4484" s="1" t="s">
        <v>47</v>
      </c>
    </row>
    <row r="4485" spans="1:8" ht="16.5">
      <c r="A4485" s="1" t="s">
        <v>4597</v>
      </c>
      <c r="B4485" s="1" t="s">
        <v>6961</v>
      </c>
      <c r="C4485" s="1" t="s">
        <v>2936</v>
      </c>
      <c r="D4485" s="1" t="s">
        <v>32</v>
      </c>
      <c r="E4485" s="12">
        <f>F4485</f>
        <v>0.76455485798400025</v>
      </c>
      <c r="F4485" s="12">
        <f>POWER(3*Systems!D8,3)</f>
        <v>0.76455485798400025</v>
      </c>
      <c r="G4485" s="1" t="s">
        <v>33</v>
      </c>
      <c r="H4485" s="1" t="s">
        <v>47</v>
      </c>
    </row>
    <row r="4486" spans="1:8" ht="16.5">
      <c r="A4486" s="1" t="s">
        <v>4598</v>
      </c>
      <c r="B4486" s="1" t="s">
        <v>6962</v>
      </c>
      <c r="C4486" s="1" t="s">
        <v>2936</v>
      </c>
      <c r="D4486" s="1" t="s">
        <v>32</v>
      </c>
      <c r="E4486" s="12">
        <f>F4486</f>
        <v>4168181825.4405799</v>
      </c>
      <c r="F4486" s="12">
        <f>POWER(5280*Systems!D8,3)</f>
        <v>4168181825.4405799</v>
      </c>
      <c r="G4486" s="1" t="s">
        <v>33</v>
      </c>
      <c r="H4486" s="1" t="s">
        <v>47</v>
      </c>
    </row>
    <row r="4487" spans="1:8" ht="16.5">
      <c r="A4487" s="1" t="s">
        <v>1491</v>
      </c>
      <c r="B4487" s="1" t="s">
        <v>26</v>
      </c>
      <c r="C4487" s="1" t="s">
        <v>2936</v>
      </c>
      <c r="D4487" s="1" t="s">
        <v>32</v>
      </c>
      <c r="E4487" s="12">
        <f>12*11*3*F4487/(12*12*2)</f>
        <v>3.8935664064000008E-2</v>
      </c>
      <c r="F4487" s="12">
        <f>POWER(Systems!D8,3)</f>
        <v>2.8316846592000004E-2</v>
      </c>
      <c r="G4487" s="1" t="s">
        <v>33</v>
      </c>
      <c r="H4487" s="1" t="s">
        <v>47</v>
      </c>
    </row>
    <row r="4488" spans="1:8" ht="16.5">
      <c r="A4488" s="1" t="s">
        <v>5551</v>
      </c>
      <c r="B4488" s="1" t="s">
        <v>5550</v>
      </c>
      <c r="C4488" s="1" t="s">
        <v>2936</v>
      </c>
      <c r="D4488" s="1" t="s">
        <v>32</v>
      </c>
      <c r="E4488" s="12">
        <f>26.25*F4488</f>
        <v>0.115628198985075</v>
      </c>
      <c r="F4488" s="12">
        <f>Systems!T8</f>
        <v>4.40488377086E-3</v>
      </c>
      <c r="G4488" s="1" t="s">
        <v>33</v>
      </c>
      <c r="H4488" s="1" t="s">
        <v>47</v>
      </c>
    </row>
    <row r="4489" spans="1:8" ht="16.5">
      <c r="A4489" s="1" t="s">
        <v>5552</v>
      </c>
      <c r="B4489" s="1" t="s">
        <v>5553</v>
      </c>
      <c r="C4489" s="1" t="s">
        <v>2936</v>
      </c>
      <c r="D4489" s="1" t="s">
        <v>32</v>
      </c>
      <c r="E4489" s="12">
        <f>8*F4489</f>
        <v>3.523907016688E-2</v>
      </c>
      <c r="F4489" s="12">
        <f>Systems!T8</f>
        <v>4.40488377086E-3</v>
      </c>
      <c r="G4489" s="1" t="s">
        <v>33</v>
      </c>
      <c r="H4489" s="1" t="s">
        <v>47</v>
      </c>
    </row>
    <row r="4490" spans="1:8" ht="16.5">
      <c r="A4490" s="1" t="s">
        <v>5555</v>
      </c>
      <c r="B4490" s="1" t="s">
        <v>5554</v>
      </c>
      <c r="C4490" s="1" t="s">
        <v>2936</v>
      </c>
      <c r="D4490" s="1" t="s">
        <v>32</v>
      </c>
      <c r="E4490" s="12">
        <f>2*F4490</f>
        <v>8.8097675417200001E-3</v>
      </c>
      <c r="F4490" s="12">
        <f>Systems!T8</f>
        <v>4.40488377086E-3</v>
      </c>
      <c r="G4490" s="1" t="s">
        <v>33</v>
      </c>
      <c r="H4490" s="1" t="s">
        <v>47</v>
      </c>
    </row>
    <row r="4491" spans="1:8" ht="16.5">
      <c r="A4491" s="1" t="s">
        <v>5556</v>
      </c>
      <c r="B4491" s="1" t="s">
        <v>5557</v>
      </c>
      <c r="C4491" s="1" t="s">
        <v>2936</v>
      </c>
      <c r="D4491" s="1" t="s">
        <v>32</v>
      </c>
      <c r="E4491" s="12">
        <f>F4491/8</f>
        <v>5.506104713575E-4</v>
      </c>
      <c r="F4491" s="12">
        <f>Systems!T8</f>
        <v>4.40488377086E-3</v>
      </c>
      <c r="G4491" s="1" t="s">
        <v>33</v>
      </c>
      <c r="H4491" s="1" t="s">
        <v>47</v>
      </c>
    </row>
    <row r="4492" spans="1:8" ht="16.5">
      <c r="A4492" s="1" t="s">
        <v>5559</v>
      </c>
      <c r="B4492" s="1" t="s">
        <v>5558</v>
      </c>
      <c r="C4492" s="1" t="s">
        <v>2936</v>
      </c>
      <c r="D4492" s="1" t="s">
        <v>32</v>
      </c>
      <c r="E4492" s="12">
        <f>F4492/4</f>
        <v>1.101220942715E-3</v>
      </c>
      <c r="F4492" s="12">
        <f>Systems!T8</f>
        <v>4.40488377086E-3</v>
      </c>
      <c r="G4492" s="1" t="s">
        <v>33</v>
      </c>
      <c r="H4492" s="1" t="s">
        <v>47</v>
      </c>
    </row>
    <row r="4493" spans="1:8" ht="16.5">
      <c r="A4493" s="1" t="s">
        <v>5560</v>
      </c>
      <c r="B4493" s="1" t="s">
        <v>26</v>
      </c>
      <c r="C4493" s="1" t="s">
        <v>2936</v>
      </c>
      <c r="D4493" s="1" t="s">
        <v>32</v>
      </c>
      <c r="E4493" s="12">
        <f>64*F4493</f>
        <v>1.8122781818880003</v>
      </c>
      <c r="F4493" s="12">
        <f>POWER(Systems!D8,3)</f>
        <v>2.8316846592000004E-2</v>
      </c>
      <c r="G4493" s="1" t="s">
        <v>33</v>
      </c>
      <c r="H4493" s="1" t="s">
        <v>47</v>
      </c>
    </row>
    <row r="4494" spans="1:8" ht="16.5">
      <c r="A4494" s="1" t="s">
        <v>1588</v>
      </c>
      <c r="B4494" s="1" t="s">
        <v>521</v>
      </c>
      <c r="C4494" s="1" t="s">
        <v>2936</v>
      </c>
      <c r="D4494" s="1" t="s">
        <v>32</v>
      </c>
      <c r="E4494" s="12">
        <f>F4494</f>
        <v>2.7040596647350146E-2</v>
      </c>
      <c r="F4494" s="12">
        <f>3*POWER(Systems!D8,3)/PI()</f>
        <v>2.7040596647350146E-2</v>
      </c>
      <c r="G4494" s="1" t="s">
        <v>33</v>
      </c>
      <c r="H4494" s="1" t="s">
        <v>47</v>
      </c>
    </row>
    <row r="4495" spans="1:8" ht="16.5">
      <c r="A4495" s="1" t="s">
        <v>523</v>
      </c>
      <c r="B4495" s="1" t="s">
        <v>26</v>
      </c>
      <c r="C4495" s="1" t="s">
        <v>2936</v>
      </c>
      <c r="D4495" s="1" t="s">
        <v>32</v>
      </c>
      <c r="E4495" s="12">
        <f>72*F4495</f>
        <v>0.31715163150191999</v>
      </c>
      <c r="F4495" s="12">
        <f>Systems!T8</f>
        <v>4.40488377086E-3</v>
      </c>
      <c r="G4495" s="1" t="s">
        <v>33</v>
      </c>
      <c r="H4495" s="1" t="s">
        <v>47</v>
      </c>
    </row>
    <row r="4496" spans="1:8" ht="16.5">
      <c r="A4496" s="1" t="s">
        <v>1021</v>
      </c>
      <c r="B4496" s="1" t="s">
        <v>26</v>
      </c>
      <c r="C4496" s="1" t="s">
        <v>2936</v>
      </c>
      <c r="D4496" s="1" t="s">
        <v>32</v>
      </c>
      <c r="E4496" s="12">
        <f>9*F4496</f>
        <v>3.9643953937739999E-2</v>
      </c>
      <c r="F4496" s="12">
        <f>Systems!T8</f>
        <v>4.40488377086E-3</v>
      </c>
      <c r="G4496" s="1" t="s">
        <v>33</v>
      </c>
      <c r="H4496" s="1" t="s">
        <v>47</v>
      </c>
    </row>
    <row r="4497" spans="1:8" ht="16.5">
      <c r="A4497" s="1" t="s">
        <v>818</v>
      </c>
      <c r="B4497" s="1" t="s">
        <v>6963</v>
      </c>
      <c r="C4497" s="1" t="s">
        <v>2936</v>
      </c>
      <c r="D4497" s="1" t="s">
        <v>32</v>
      </c>
      <c r="E4497" s="12">
        <f>F4497</f>
        <v>4.40488377086E-3</v>
      </c>
      <c r="F4497" s="12">
        <f>Systems!T8</f>
        <v>4.40488377086E-3</v>
      </c>
      <c r="G4497" s="1" t="s">
        <v>33</v>
      </c>
      <c r="H4497" s="1" t="s">
        <v>47</v>
      </c>
    </row>
    <row r="4498" spans="1:8" ht="16.5">
      <c r="A4498" s="1" t="s">
        <v>5561</v>
      </c>
      <c r="B4498" s="1" t="s">
        <v>26</v>
      </c>
      <c r="C4498" s="1" t="s">
        <v>2936</v>
      </c>
      <c r="D4498" s="1" t="s">
        <v>32</v>
      </c>
      <c r="E4498" s="12">
        <f>128*F4498/3</f>
        <v>1.2081854545920001</v>
      </c>
      <c r="F4498" s="12">
        <f>POWER(Systems!D8,3)</f>
        <v>2.8316846592000004E-2</v>
      </c>
      <c r="G4498" s="1" t="s">
        <v>33</v>
      </c>
      <c r="H4498" s="1" t="s">
        <v>47</v>
      </c>
    </row>
    <row r="4499" spans="1:8" ht="16.5">
      <c r="A4499" s="1" t="s">
        <v>5562</v>
      </c>
      <c r="B4499" s="1" t="s">
        <v>26</v>
      </c>
      <c r="C4499" s="1" t="s">
        <v>2936</v>
      </c>
      <c r="D4499" s="1" t="s">
        <v>32</v>
      </c>
      <c r="E4499" s="12">
        <f>42*F4499</f>
        <v>1.1893075568640001</v>
      </c>
      <c r="F4499" s="12">
        <f>POWER(Systems!D8,3)</f>
        <v>2.8316846592000004E-2</v>
      </c>
      <c r="G4499" s="1" t="s">
        <v>33</v>
      </c>
      <c r="H4499" s="1" t="s">
        <v>47</v>
      </c>
    </row>
    <row r="4500" spans="1:8" ht="16.5">
      <c r="A4500" s="1" t="s">
        <v>5563</v>
      </c>
      <c r="B4500" s="1" t="s">
        <v>26</v>
      </c>
      <c r="C4500" s="1" t="s">
        <v>2936</v>
      </c>
      <c r="D4500" s="1" t="s">
        <v>32</v>
      </c>
      <c r="E4500" s="12">
        <f>80*F4500/3</f>
        <v>0.75511590912000015</v>
      </c>
      <c r="F4500" s="12">
        <f>POWER(Systems!D8,3)</f>
        <v>2.8316846592000004E-2</v>
      </c>
      <c r="G4500" s="1" t="s">
        <v>33</v>
      </c>
      <c r="H4500" s="1" t="s">
        <v>47</v>
      </c>
    </row>
    <row r="4501" spans="1:8" ht="16.5">
      <c r="A4501" s="1" t="s">
        <v>5564</v>
      </c>
      <c r="B4501" s="1" t="s">
        <v>26</v>
      </c>
      <c r="C4501" s="1" t="s">
        <v>2936</v>
      </c>
      <c r="D4501" s="1" t="s">
        <v>32</v>
      </c>
      <c r="E4501" s="12">
        <f>40*F4501</f>
        <v>1.1326738636800002</v>
      </c>
      <c r="F4501" s="12">
        <f>POWER(Systems!D8,3)</f>
        <v>2.8316846592000004E-2</v>
      </c>
      <c r="G4501" s="1" t="s">
        <v>33</v>
      </c>
      <c r="H4501" s="1" t="s">
        <v>47</v>
      </c>
    </row>
    <row r="4502" spans="1:8" ht="16.5">
      <c r="A4502" s="1" t="s">
        <v>2241</v>
      </c>
      <c r="B4502" s="1" t="s">
        <v>573</v>
      </c>
      <c r="C4502" s="1" t="s">
        <v>2936</v>
      </c>
      <c r="D4502" s="1" t="s">
        <v>32</v>
      </c>
      <c r="E4502" s="12">
        <f>2*F4502</f>
        <v>8.8097675417200001E-3</v>
      </c>
      <c r="F4502" s="12">
        <f>Systems!T8</f>
        <v>4.40488377086E-3</v>
      </c>
      <c r="G4502" s="1" t="s">
        <v>33</v>
      </c>
      <c r="H4502" s="1" t="s">
        <v>47</v>
      </c>
    </row>
    <row r="4503" spans="1:8" ht="16.5">
      <c r="A4503" s="1" t="s">
        <v>2275</v>
      </c>
      <c r="B4503" s="1" t="s">
        <v>6965</v>
      </c>
      <c r="C4503" s="1" t="s">
        <v>2936</v>
      </c>
      <c r="D4503" s="1" t="s">
        <v>32</v>
      </c>
      <c r="E4503" s="12">
        <f>F4503/8</f>
        <v>5.506104713575E-4</v>
      </c>
      <c r="F4503" s="12">
        <f>Systems!T8</f>
        <v>4.40488377086E-3</v>
      </c>
      <c r="G4503" s="1" t="s">
        <v>33</v>
      </c>
      <c r="H4503" s="1" t="s">
        <v>47</v>
      </c>
    </row>
    <row r="4504" spans="1:8" ht="16.5">
      <c r="A4504" s="1" t="s">
        <v>842</v>
      </c>
      <c r="B4504" s="1" t="s">
        <v>6964</v>
      </c>
      <c r="C4504" s="1" t="s">
        <v>2936</v>
      </c>
      <c r="D4504" s="1" t="s">
        <v>32</v>
      </c>
      <c r="E4504" s="12">
        <f>F4504/4</f>
        <v>1.101220942715E-3</v>
      </c>
      <c r="F4504" s="12">
        <f>Systems!T8</f>
        <v>4.40488377086E-3</v>
      </c>
      <c r="G4504" s="1" t="s">
        <v>33</v>
      </c>
      <c r="H4504" s="1" t="s">
        <v>47</v>
      </c>
    </row>
    <row r="4505" spans="1:8" ht="16.5">
      <c r="A4505" s="1" t="s">
        <v>2381</v>
      </c>
      <c r="B4505" s="1" t="s">
        <v>26</v>
      </c>
      <c r="C4505" s="1" t="s">
        <v>2936</v>
      </c>
      <c r="D4505" s="1" t="s">
        <v>32</v>
      </c>
      <c r="E4505" s="12">
        <f>4*8*16*F4505/12</f>
        <v>1.2081854545920001</v>
      </c>
      <c r="F4505" s="12">
        <f>POWER(Systems!D8,3)</f>
        <v>2.8316846592000004E-2</v>
      </c>
      <c r="G4505" s="1" t="s">
        <v>33</v>
      </c>
      <c r="H4505" s="1" t="s">
        <v>47</v>
      </c>
    </row>
    <row r="4506" spans="1:8" ht="16.5">
      <c r="A4506" s="1" t="s">
        <v>5565</v>
      </c>
      <c r="B4506" s="1" t="s">
        <v>26</v>
      </c>
      <c r="C4506" s="1" t="s">
        <v>2936</v>
      </c>
      <c r="D4506" s="1" t="s">
        <v>32</v>
      </c>
      <c r="E4506" s="12">
        <f>12*8*16*F4506/12</f>
        <v>3.6245563637760001</v>
      </c>
      <c r="F4506" s="12">
        <f>POWER(Systems!D8,3)</f>
        <v>2.8316846592000004E-2</v>
      </c>
      <c r="G4506" s="1" t="s">
        <v>33</v>
      </c>
      <c r="H4506" s="1" t="s">
        <v>47</v>
      </c>
    </row>
    <row r="4507" spans="1:8" ht="16.5">
      <c r="A4507" s="1" t="s">
        <v>2557</v>
      </c>
      <c r="B4507" s="1" t="s">
        <v>26</v>
      </c>
      <c r="C4507" s="1" t="s">
        <v>2936</v>
      </c>
      <c r="D4507" s="1" t="s">
        <v>32</v>
      </c>
      <c r="E4507" s="12">
        <f>165*F4507</f>
        <v>4.6722796876800006</v>
      </c>
      <c r="F4507" s="12">
        <f>POWER(Systems!D8,3)</f>
        <v>2.8316846592000004E-2</v>
      </c>
      <c r="G4507" s="1" t="s">
        <v>33</v>
      </c>
      <c r="H4507" s="1" t="s">
        <v>47</v>
      </c>
    </row>
    <row r="4508" spans="1:8" ht="16.5">
      <c r="A4508" s="1" t="s">
        <v>5566</v>
      </c>
      <c r="B4508" s="1" t="s">
        <v>26</v>
      </c>
      <c r="C4508" s="1" t="s">
        <v>2936</v>
      </c>
      <c r="D4508" s="1" t="s">
        <v>32</v>
      </c>
      <c r="E4508" s="12">
        <f>35*F4508</f>
        <v>0.99108963072000011</v>
      </c>
      <c r="F4508" s="12">
        <f>POWER(Systems!D8,3)</f>
        <v>2.8316846592000004E-2</v>
      </c>
      <c r="G4508" s="1" t="s">
        <v>33</v>
      </c>
      <c r="H4508" s="1" t="s">
        <v>47</v>
      </c>
    </row>
    <row r="4509" spans="1:8" ht="16.5">
      <c r="A4509" s="1" t="s">
        <v>5567</v>
      </c>
      <c r="B4509" s="1" t="s">
        <v>26</v>
      </c>
      <c r="C4509" s="1" t="s">
        <v>2936</v>
      </c>
      <c r="D4509" s="1" t="s">
        <v>32</v>
      </c>
      <c r="E4509" s="12">
        <f>12*11*5*F4509/(12*12*8)</f>
        <v>1.6223193360000002E-2</v>
      </c>
      <c r="F4509" s="12">
        <f>POWER(Systems!D8,3)</f>
        <v>2.8316846592000004E-2</v>
      </c>
      <c r="G4509" s="1" t="s">
        <v>33</v>
      </c>
      <c r="H4509" s="1" t="s">
        <v>47</v>
      </c>
    </row>
    <row r="4510" spans="1:8" ht="16.5">
      <c r="A4510" s="1" t="s">
        <v>7520</v>
      </c>
      <c r="B4510" s="1" t="s">
        <v>26</v>
      </c>
      <c r="C4510" s="1" t="s">
        <v>2936</v>
      </c>
      <c r="D4510" s="1" t="s">
        <v>32</v>
      </c>
      <c r="E4510" s="12">
        <f>8*F4510</f>
        <v>3.523907016688E-2</v>
      </c>
      <c r="F4510" s="12">
        <f>Systems!T8</f>
        <v>4.40488377086E-3</v>
      </c>
      <c r="G4510" s="1" t="s">
        <v>33</v>
      </c>
      <c r="H4510" s="1" t="s">
        <v>47</v>
      </c>
    </row>
    <row r="4511" spans="1:8" ht="16.5">
      <c r="A4511" s="1" t="s">
        <v>5568</v>
      </c>
      <c r="B4511" s="1" t="s">
        <v>5569</v>
      </c>
      <c r="C4511" s="1" t="s">
        <v>2935</v>
      </c>
      <c r="D4511" s="1" t="s">
        <v>32</v>
      </c>
      <c r="E4511" s="12">
        <f>F4511*43560.2613609</f>
        <v>1233.4892384640304</v>
      </c>
      <c r="F4511" s="12">
        <f>POWER(Systems!D8,3)</f>
        <v>2.8316846592000004E-2</v>
      </c>
      <c r="G4511" s="1" t="s">
        <v>33</v>
      </c>
      <c r="H4511" s="1" t="s">
        <v>47</v>
      </c>
    </row>
    <row r="4512" spans="1:8" ht="16.5">
      <c r="A4512" s="1" t="s">
        <v>1215</v>
      </c>
      <c r="B4512" s="1" t="s">
        <v>26</v>
      </c>
      <c r="C4512" s="1" t="s">
        <v>2935</v>
      </c>
      <c r="D4512" s="1" t="s">
        <v>32</v>
      </c>
      <c r="E4512" s="12">
        <f>10*F4512</f>
        <v>3.7854117840000007E-2</v>
      </c>
      <c r="F4512" s="12">
        <f>Systems!P8</f>
        <v>3.7854117840000006E-3</v>
      </c>
      <c r="G4512" s="1" t="s">
        <v>33</v>
      </c>
      <c r="H4512" s="1" t="s">
        <v>47</v>
      </c>
    </row>
    <row r="4513" spans="1:8" ht="16.5">
      <c r="A4513" s="1" t="s">
        <v>1257</v>
      </c>
      <c r="B4513" s="1" t="s">
        <v>26</v>
      </c>
      <c r="C4513" s="1" t="s">
        <v>2935</v>
      </c>
      <c r="D4513" s="1" t="s">
        <v>32</v>
      </c>
      <c r="E4513" s="12">
        <f>1050000*F4513</f>
        <v>3974.6823732000007</v>
      </c>
      <c r="F4513" s="12">
        <f>Systems!P8</f>
        <v>3.7854117840000006E-3</v>
      </c>
      <c r="G4513" s="1" t="s">
        <v>33</v>
      </c>
      <c r="H4513" s="1" t="s">
        <v>47</v>
      </c>
    </row>
    <row r="4514" spans="1:8" ht="16.5">
      <c r="A4514" s="15" t="s">
        <v>1264</v>
      </c>
      <c r="B4514" s="1" t="s">
        <v>465</v>
      </c>
      <c r="C4514" s="1" t="s">
        <v>2935</v>
      </c>
      <c r="D4514" s="1" t="s">
        <v>32</v>
      </c>
      <c r="E4514" s="25">
        <f>50*F4514</f>
        <v>0.2273046</v>
      </c>
      <c r="F4514" s="25">
        <f>Systems!P6</f>
        <v>4.5460919999999998E-3</v>
      </c>
      <c r="G4514" s="1" t="s">
        <v>33</v>
      </c>
      <c r="H4514" s="1" t="s">
        <v>47</v>
      </c>
    </row>
    <row r="4515" spans="1:8" ht="16.5">
      <c r="A4515" s="1" t="s">
        <v>5570</v>
      </c>
      <c r="B4515" s="1" t="s">
        <v>5571</v>
      </c>
      <c r="C4515" s="1" t="s">
        <v>2935</v>
      </c>
      <c r="D4515" s="1" t="s">
        <v>32</v>
      </c>
      <c r="E4515" s="12">
        <f>50*F4515</f>
        <v>0.18927058920000003</v>
      </c>
      <c r="F4515" s="12">
        <f>Systems!P8</f>
        <v>3.7854117840000006E-3</v>
      </c>
      <c r="G4515" s="1" t="s">
        <v>33</v>
      </c>
      <c r="H4515" s="1" t="s">
        <v>47</v>
      </c>
    </row>
    <row r="4516" spans="1:8" ht="16.5">
      <c r="A4516" s="1" t="s">
        <v>5573</v>
      </c>
      <c r="B4516" s="1" t="s">
        <v>5572</v>
      </c>
      <c r="C4516" s="1" t="s">
        <v>2935</v>
      </c>
      <c r="D4516" s="1" t="s">
        <v>32</v>
      </c>
      <c r="E4516" s="12">
        <f>31.5*F4516</f>
        <v>0.11924047119600002</v>
      </c>
      <c r="F4516" s="12">
        <f>Systems!P8</f>
        <v>3.7854117840000006E-3</v>
      </c>
      <c r="G4516" s="1" t="s">
        <v>33</v>
      </c>
      <c r="H4516" s="1" t="s">
        <v>47</v>
      </c>
    </row>
    <row r="4517" spans="1:8" ht="16.5">
      <c r="A4517" s="1" t="s">
        <v>5574</v>
      </c>
      <c r="B4517" s="1" t="s">
        <v>5575</v>
      </c>
      <c r="C4517" s="1" t="s">
        <v>2935</v>
      </c>
      <c r="D4517" s="1" t="s">
        <v>32</v>
      </c>
      <c r="E4517" s="12">
        <f>42*F4517</f>
        <v>0.15898729492800001</v>
      </c>
      <c r="F4517" s="12">
        <f>Systems!P8</f>
        <v>3.7854117840000006E-3</v>
      </c>
      <c r="G4517" s="1" t="s">
        <v>33</v>
      </c>
      <c r="H4517" s="1" t="s">
        <v>47</v>
      </c>
    </row>
    <row r="4518" spans="1:8" ht="16.5">
      <c r="A4518" s="1" t="s">
        <v>5576</v>
      </c>
      <c r="B4518" s="1" t="s">
        <v>26</v>
      </c>
      <c r="C4518" s="1" t="s">
        <v>2935</v>
      </c>
      <c r="D4518" s="1" t="s">
        <v>32</v>
      </c>
      <c r="E4518" s="12">
        <f>750*F4518/1000</f>
        <v>7.5000000000000002E-4</v>
      </c>
      <c r="F4518" s="12">
        <f>'Physical Definitions'!E9</f>
        <v>1E-3</v>
      </c>
      <c r="G4518" s="1" t="s">
        <v>33</v>
      </c>
      <c r="H4518" s="1" t="s">
        <v>47</v>
      </c>
    </row>
    <row r="4519" spans="1:8" ht="16.5">
      <c r="A4519" s="1" t="s">
        <v>5577</v>
      </c>
      <c r="B4519" s="1" t="s">
        <v>26</v>
      </c>
      <c r="C4519" s="1" t="s">
        <v>2935</v>
      </c>
      <c r="D4519" s="1" t="s">
        <v>32</v>
      </c>
      <c r="E4519" s="12">
        <f>F4519/5</f>
        <v>7.5708235680000009E-4</v>
      </c>
      <c r="F4519" s="12">
        <f>Systems!P8</f>
        <v>3.7854117840000006E-3</v>
      </c>
      <c r="G4519" s="1" t="s">
        <v>33</v>
      </c>
      <c r="H4519" s="1" t="s">
        <v>47</v>
      </c>
    </row>
    <row r="4520" spans="1:8" ht="16.5">
      <c r="A4520" s="1" t="s">
        <v>1412</v>
      </c>
      <c r="B4520" s="1" t="s">
        <v>26</v>
      </c>
      <c r="C4520" s="1" t="s">
        <v>2935</v>
      </c>
      <c r="D4520" s="1" t="s">
        <v>32</v>
      </c>
      <c r="E4520" s="12">
        <f>F4520/8</f>
        <v>4.7317647300000007E-4</v>
      </c>
      <c r="F4520" s="12">
        <f>Systems!P8</f>
        <v>3.7854117840000006E-3</v>
      </c>
      <c r="G4520" s="1" t="s">
        <v>33</v>
      </c>
      <c r="H4520" s="1" t="s">
        <v>47</v>
      </c>
    </row>
    <row r="4521" spans="1:8" ht="16.5">
      <c r="A4521" s="1" t="s">
        <v>5578</v>
      </c>
      <c r="B4521" s="1" t="s">
        <v>26</v>
      </c>
      <c r="C4521" s="1" t="s">
        <v>2935</v>
      </c>
      <c r="D4521" s="1" t="s">
        <v>32</v>
      </c>
      <c r="E4521" s="12">
        <f>F4521</f>
        <v>2.9573529562500005E-5</v>
      </c>
      <c r="F4521" s="12">
        <f>6*Systems!P8/(16*48)</f>
        <v>2.9573529562500005E-5</v>
      </c>
      <c r="G4521" s="1" t="s">
        <v>33</v>
      </c>
      <c r="H4521" s="1" t="s">
        <v>47</v>
      </c>
    </row>
    <row r="4522" spans="1:8" ht="16.5">
      <c r="A4522" s="1" t="s">
        <v>5579</v>
      </c>
      <c r="B4522" s="1" t="s">
        <v>26</v>
      </c>
      <c r="C4522" s="1" t="s">
        <v>2935</v>
      </c>
      <c r="D4522" s="1" t="s">
        <v>32</v>
      </c>
      <c r="E4522" s="12">
        <f>F4522</f>
        <v>2.4644607968750002E-6</v>
      </c>
      <c r="F4522" s="12">
        <f>3*Systems!P8/(16*48*6)</f>
        <v>2.4644607968750002E-6</v>
      </c>
      <c r="G4522" s="1" t="s">
        <v>33</v>
      </c>
      <c r="H4522" s="1" t="s">
        <v>47</v>
      </c>
    </row>
    <row r="4523" spans="1:8" ht="16.5">
      <c r="A4523" s="1" t="s">
        <v>1468</v>
      </c>
      <c r="B4523" s="1" t="s">
        <v>6966</v>
      </c>
      <c r="C4523" s="1" t="s">
        <v>2935</v>
      </c>
      <c r="D4523" s="1" t="s">
        <v>32</v>
      </c>
      <c r="E4523" s="12">
        <f>F4523/16</f>
        <v>2.3658823650000004E-4</v>
      </c>
      <c r="F4523" s="12">
        <f>Systems!P8</f>
        <v>3.7854117840000006E-3</v>
      </c>
      <c r="G4523" s="1" t="s">
        <v>33</v>
      </c>
      <c r="H4523" s="1" t="s">
        <v>47</v>
      </c>
    </row>
    <row r="4524" spans="1:8" ht="16.5">
      <c r="A4524" s="1" t="s">
        <v>506</v>
      </c>
      <c r="B4524" s="1" t="s">
        <v>26</v>
      </c>
      <c r="C4524" s="1" t="s">
        <v>2935</v>
      </c>
      <c r="D4524" s="1" t="s">
        <v>32</v>
      </c>
      <c r="E4524" s="12">
        <f>F4524/10</f>
        <v>2.9573529562500004E-6</v>
      </c>
      <c r="F4524" s="12">
        <f>Systems!P8/128</f>
        <v>2.9573529562500005E-5</v>
      </c>
      <c r="G4524" s="1" t="s">
        <v>33</v>
      </c>
      <c r="H4524" s="1" t="s">
        <v>47</v>
      </c>
    </row>
    <row r="4525" spans="1:8" ht="16.5">
      <c r="A4525" s="1" t="s">
        <v>5580</v>
      </c>
      <c r="B4525" s="1" t="s">
        <v>508</v>
      </c>
      <c r="C4525" s="1" t="s">
        <v>2935</v>
      </c>
      <c r="D4525" s="1" t="s">
        <v>32</v>
      </c>
      <c r="E4525" s="12">
        <f>F4525/3</f>
        <v>9.8578431875000009E-6</v>
      </c>
      <c r="F4525" s="12">
        <f>Systems!P8/128</f>
        <v>2.9573529562500005E-5</v>
      </c>
      <c r="G4525" s="1" t="s">
        <v>33</v>
      </c>
      <c r="H4525" s="1" t="s">
        <v>47</v>
      </c>
    </row>
    <row r="4526" spans="1:8" ht="16.5">
      <c r="A4526" s="1" t="s">
        <v>5581</v>
      </c>
      <c r="B4526" s="1" t="s">
        <v>509</v>
      </c>
      <c r="C4526" s="1" t="s">
        <v>2935</v>
      </c>
      <c r="D4526" s="1" t="s">
        <v>32</v>
      </c>
      <c r="E4526" s="12">
        <f>F4526/3</f>
        <v>9.8578431875000009E-6</v>
      </c>
      <c r="F4526" s="12">
        <f>Systems!P8/128</f>
        <v>2.9573529562500005E-5</v>
      </c>
      <c r="G4526" s="1" t="s">
        <v>33</v>
      </c>
      <c r="H4526" s="1" t="s">
        <v>47</v>
      </c>
    </row>
    <row r="4527" spans="1:8" ht="16.5">
      <c r="A4527" s="1" t="s">
        <v>1548</v>
      </c>
      <c r="B4527" s="1" t="s">
        <v>6302</v>
      </c>
      <c r="C4527" s="1" t="s">
        <v>2935</v>
      </c>
      <c r="D4527" s="1" t="s">
        <v>32</v>
      </c>
      <c r="E4527" s="12">
        <f>F4527/8</f>
        <v>3.6966911953125006E-6</v>
      </c>
      <c r="F4527" s="12">
        <f>Systems!P8/128</f>
        <v>2.9573529562500005E-5</v>
      </c>
      <c r="G4527" s="1" t="s">
        <v>33</v>
      </c>
      <c r="H4527" s="1" t="s">
        <v>47</v>
      </c>
    </row>
    <row r="4528" spans="1:8" ht="16.5">
      <c r="A4528" s="1" t="s">
        <v>1551</v>
      </c>
      <c r="B4528" s="1" t="s">
        <v>26</v>
      </c>
      <c r="C4528" s="1" t="s">
        <v>2935</v>
      </c>
      <c r="D4528" s="1" t="s">
        <v>32</v>
      </c>
      <c r="E4528" s="12">
        <f>F4528/1024</f>
        <v>3.6966911953125006E-6</v>
      </c>
      <c r="F4528" s="12">
        <f>Systems!P8</f>
        <v>3.7854117840000006E-3</v>
      </c>
      <c r="G4528" s="1" t="s">
        <v>33</v>
      </c>
      <c r="H4528" s="1" t="s">
        <v>47</v>
      </c>
    </row>
    <row r="4529" spans="1:8" ht="16.5">
      <c r="A4529" s="1" t="s">
        <v>1557</v>
      </c>
      <c r="B4529" s="1" t="s">
        <v>26</v>
      </c>
      <c r="C4529" s="1" t="s">
        <v>2935</v>
      </c>
      <c r="D4529" s="1" t="s">
        <v>32</v>
      </c>
      <c r="E4529" s="12">
        <f>F4529/2</f>
        <v>1.4786764781250002E-5</v>
      </c>
      <c r="F4529" s="12">
        <f>Systems!P8/128</f>
        <v>2.9573529562500005E-5</v>
      </c>
      <c r="G4529" s="1" t="s">
        <v>33</v>
      </c>
      <c r="H4529" s="1" t="s">
        <v>47</v>
      </c>
    </row>
    <row r="4530" spans="1:8" ht="16.5">
      <c r="A4530" s="1" t="s">
        <v>1559</v>
      </c>
      <c r="B4530" s="1" t="s">
        <v>26</v>
      </c>
      <c r="C4530" s="1" t="s">
        <v>2935</v>
      </c>
      <c r="D4530" s="1" t="s">
        <v>32</v>
      </c>
      <c r="E4530" s="12">
        <f>F4530/60</f>
        <v>4.9289215937500003E-7</v>
      </c>
      <c r="F4530" s="12">
        <f>Systems!P8/128</f>
        <v>2.9573529562500005E-5</v>
      </c>
      <c r="G4530" s="1" t="s">
        <v>33</v>
      </c>
      <c r="H4530" s="1" t="s">
        <v>47</v>
      </c>
    </row>
    <row r="4531" spans="1:8" ht="16.5">
      <c r="A4531" s="1" t="s">
        <v>5582</v>
      </c>
      <c r="B4531" s="1" t="s">
        <v>5583</v>
      </c>
      <c r="C4531" s="1" t="s">
        <v>2935</v>
      </c>
      <c r="D4531" s="1" t="s">
        <v>32</v>
      </c>
      <c r="E4531" s="12">
        <f>F4531/61440</f>
        <v>6.1611519921875003E-8</v>
      </c>
      <c r="F4531" s="12">
        <f>Systems!P8</f>
        <v>3.7854117840000006E-3</v>
      </c>
      <c r="G4531" s="1" t="s">
        <v>33</v>
      </c>
      <c r="H4531" s="1" t="s">
        <v>47</v>
      </c>
    </row>
    <row r="4532" spans="1:8" ht="16.5">
      <c r="A4532" s="1" t="s">
        <v>5584</v>
      </c>
      <c r="B4532" s="1" t="s">
        <v>26</v>
      </c>
      <c r="C4532" s="1" t="s">
        <v>2935</v>
      </c>
      <c r="D4532" s="1" t="s">
        <v>32</v>
      </c>
      <c r="E4532" s="12">
        <f>0.00000005*F4532</f>
        <v>4.9999999999999998E-8</v>
      </c>
      <c r="F4532" s="12">
        <f>POWER(SI!E3,3)</f>
        <v>1</v>
      </c>
      <c r="G4532" s="1" t="s">
        <v>33</v>
      </c>
      <c r="H4532" s="1" t="s">
        <v>47</v>
      </c>
    </row>
    <row r="4533" spans="1:8" ht="16.5">
      <c r="A4533" s="1" t="s">
        <v>1615</v>
      </c>
      <c r="B4533" s="1" t="s">
        <v>26</v>
      </c>
      <c r="C4533" s="1" t="s">
        <v>2935</v>
      </c>
      <c r="D4533" s="1" t="s">
        <v>32</v>
      </c>
      <c r="E4533" s="12">
        <f>F4533/5</f>
        <v>7.5708235680000009E-4</v>
      </c>
      <c r="F4533" s="12">
        <f>Systems!P8</f>
        <v>3.7854117840000006E-3</v>
      </c>
      <c r="G4533" s="1" t="s">
        <v>33</v>
      </c>
      <c r="H4533" s="1" t="s">
        <v>47</v>
      </c>
    </row>
    <row r="4534" spans="1:8" ht="16.5">
      <c r="A4534" s="1" t="s">
        <v>1021</v>
      </c>
      <c r="B4534" s="1" t="s">
        <v>1617</v>
      </c>
      <c r="C4534" s="1" t="s">
        <v>2935</v>
      </c>
      <c r="D4534" s="1" t="s">
        <v>32</v>
      </c>
      <c r="E4534" s="12">
        <f>9*F4534</f>
        <v>3.4068706056000007E-2</v>
      </c>
      <c r="F4534" s="12">
        <f>Systems!P8</f>
        <v>3.7854117840000006E-3</v>
      </c>
      <c r="G4534" s="1" t="s">
        <v>33</v>
      </c>
      <c r="H4534" s="1" t="s">
        <v>47</v>
      </c>
    </row>
    <row r="4535" spans="1:8" ht="16.5">
      <c r="A4535" s="1" t="s">
        <v>5432</v>
      </c>
      <c r="B4535" s="1" t="s">
        <v>26</v>
      </c>
      <c r="C4535" s="1" t="s">
        <v>2935</v>
      </c>
      <c r="D4535" s="1" t="s">
        <v>32</v>
      </c>
      <c r="E4535" s="12">
        <f>F4535/1024</f>
        <v>3.6966911953125006E-6</v>
      </c>
      <c r="F4535" s="12">
        <f>Systems!P8</f>
        <v>3.7854117840000006E-3</v>
      </c>
      <c r="G4535" s="1" t="s">
        <v>33</v>
      </c>
      <c r="H4535" s="1" t="s">
        <v>47</v>
      </c>
    </row>
    <row r="4536" spans="1:8" ht="16.5">
      <c r="A4536" s="1" t="s">
        <v>4839</v>
      </c>
      <c r="B4536" s="1" t="s">
        <v>4838</v>
      </c>
      <c r="C4536" s="1" t="s">
        <v>2935</v>
      </c>
      <c r="D4536" s="1" t="s">
        <v>32</v>
      </c>
      <c r="E4536" s="12">
        <f>F4536/128</f>
        <v>2.9573529562500005E-5</v>
      </c>
      <c r="F4536" s="12">
        <f>Systems!P8</f>
        <v>3.7854117840000006E-3</v>
      </c>
      <c r="G4536" s="1" t="s">
        <v>33</v>
      </c>
      <c r="H4536" s="1" t="s">
        <v>47</v>
      </c>
    </row>
    <row r="4537" spans="1:8" ht="16.5">
      <c r="A4537" s="1" t="s">
        <v>818</v>
      </c>
      <c r="B4537" s="1" t="s">
        <v>6963</v>
      </c>
      <c r="C4537" s="1" t="s">
        <v>2935</v>
      </c>
      <c r="D4537" s="1" t="s">
        <v>32</v>
      </c>
      <c r="E4537" s="12">
        <f>F4537</f>
        <v>3.7854117840000006E-3</v>
      </c>
      <c r="F4537" s="12">
        <f>Systems!P8</f>
        <v>3.7854117840000006E-3</v>
      </c>
      <c r="G4537" s="1" t="s">
        <v>33</v>
      </c>
      <c r="H4537" s="1" t="s">
        <v>47</v>
      </c>
    </row>
    <row r="4538" spans="1:8" ht="16.5">
      <c r="A4538" s="1" t="s">
        <v>5439</v>
      </c>
      <c r="B4538" s="1" t="s">
        <v>5585</v>
      </c>
      <c r="C4538" s="1" t="s">
        <v>2935</v>
      </c>
      <c r="D4538" s="1" t="s">
        <v>32</v>
      </c>
      <c r="E4538" s="12">
        <f>F4538</f>
        <v>3.7854117840000006E-3</v>
      </c>
      <c r="F4538" s="12">
        <f>Systems!P8</f>
        <v>3.7854117840000006E-3</v>
      </c>
      <c r="G4538" s="1" t="s">
        <v>33</v>
      </c>
      <c r="H4538" s="1" t="s">
        <v>47</v>
      </c>
    </row>
    <row r="4539" spans="1:8" ht="16.5">
      <c r="A4539" s="1" t="s">
        <v>5586</v>
      </c>
      <c r="B4539" s="1" t="s">
        <v>529</v>
      </c>
      <c r="C4539" s="1" t="s">
        <v>2935</v>
      </c>
      <c r="D4539" s="1" t="s">
        <v>32</v>
      </c>
      <c r="E4539" s="12">
        <v>3.7854117840000001E-3</v>
      </c>
      <c r="F4539" s="12">
        <f>Systems!P8</f>
        <v>3.7854117840000006E-3</v>
      </c>
      <c r="G4539" s="1" t="s">
        <v>33</v>
      </c>
      <c r="H4539" s="1" t="s">
        <v>47</v>
      </c>
    </row>
    <row r="4540" spans="1:8" ht="16.5">
      <c r="A4540" s="1" t="s">
        <v>1679</v>
      </c>
      <c r="B4540" s="1" t="s">
        <v>1680</v>
      </c>
      <c r="C4540" s="1" t="s">
        <v>2935</v>
      </c>
      <c r="D4540" s="1" t="s">
        <v>32</v>
      </c>
      <c r="E4540" s="12">
        <f>F4540/32</f>
        <v>1.1829411825000002E-4</v>
      </c>
      <c r="F4540" s="12">
        <f>Systems!P8</f>
        <v>3.7854117840000006E-3</v>
      </c>
      <c r="G4540" s="1" t="s">
        <v>33</v>
      </c>
      <c r="H4540" s="1" t="s">
        <v>47</v>
      </c>
    </row>
    <row r="4541" spans="1:8" ht="16.5">
      <c r="A4541" s="1" t="s">
        <v>534</v>
      </c>
      <c r="B4541" s="1" t="s">
        <v>26</v>
      </c>
      <c r="C4541" s="1" t="s">
        <v>2935</v>
      </c>
      <c r="D4541" s="1" t="s">
        <v>32</v>
      </c>
      <c r="E4541" s="12">
        <f>F4541/32</f>
        <v>1.1829411825000002E-4</v>
      </c>
      <c r="F4541" s="12">
        <f>Systems!P8</f>
        <v>3.7854117840000006E-3</v>
      </c>
      <c r="G4541" s="1" t="s">
        <v>33</v>
      </c>
      <c r="H4541" s="1" t="s">
        <v>47</v>
      </c>
    </row>
    <row r="4542" spans="1:8" ht="16.5">
      <c r="A4542" s="1" t="s">
        <v>1463</v>
      </c>
      <c r="B4542" s="1" t="s">
        <v>239</v>
      </c>
      <c r="C4542" s="1" t="s">
        <v>2935</v>
      </c>
      <c r="D4542" s="1" t="s">
        <v>32</v>
      </c>
      <c r="E4542" s="12">
        <f>63*F4542</f>
        <v>0.23848094239200004</v>
      </c>
      <c r="F4542" s="12">
        <f>Systems!P8</f>
        <v>3.7854117840000006E-3</v>
      </c>
      <c r="G4542" s="1" t="s">
        <v>33</v>
      </c>
      <c r="H4542" s="1" t="s">
        <v>47</v>
      </c>
    </row>
    <row r="4543" spans="1:8" ht="16.5">
      <c r="A4543" s="1" t="s">
        <v>1773</v>
      </c>
      <c r="B4543" s="1" t="s">
        <v>26</v>
      </c>
      <c r="C4543" s="1" t="s">
        <v>2935</v>
      </c>
      <c r="D4543" s="1" t="s">
        <v>32</v>
      </c>
      <c r="E4543" s="12">
        <f>3*F4543/256</f>
        <v>4.4360294343750005E-5</v>
      </c>
      <c r="F4543" s="12">
        <f>Systems!P8</f>
        <v>3.7854117840000006E-3</v>
      </c>
      <c r="G4543" s="1" t="s">
        <v>33</v>
      </c>
      <c r="H4543" s="1" t="s">
        <v>47</v>
      </c>
    </row>
    <row r="4544" spans="1:8" ht="16.5">
      <c r="A4544" s="1" t="s">
        <v>1820</v>
      </c>
      <c r="B4544" s="1" t="s">
        <v>26</v>
      </c>
      <c r="C4544" s="1" t="s">
        <v>2935</v>
      </c>
      <c r="D4544" s="1" t="s">
        <v>32</v>
      </c>
      <c r="E4544" s="12">
        <f>12*F4544</f>
        <v>4.5424941408000005E-2</v>
      </c>
      <c r="F4544" s="12">
        <f>Systems!P8</f>
        <v>3.7854117840000006E-3</v>
      </c>
      <c r="G4544" s="1" t="s">
        <v>33</v>
      </c>
      <c r="H4544" s="1" t="s">
        <v>47</v>
      </c>
    </row>
    <row r="4545" spans="1:8" ht="16.5">
      <c r="A4545" s="1" t="s">
        <v>4456</v>
      </c>
      <c r="B4545" s="1" t="s">
        <v>2830</v>
      </c>
      <c r="C4545" s="1" t="s">
        <v>2935</v>
      </c>
      <c r="D4545" s="1" t="s">
        <v>32</v>
      </c>
      <c r="E4545" s="26">
        <f>F4545</f>
        <v>1E-3</v>
      </c>
      <c r="F4545" s="26">
        <f>'Physical Definitions'!E9</f>
        <v>1E-3</v>
      </c>
      <c r="G4545" s="1" t="s">
        <v>33</v>
      </c>
      <c r="H4545" s="9" t="s">
        <v>47</v>
      </c>
    </row>
    <row r="4546" spans="1:8" ht="16.5">
      <c r="A4546" s="1" t="s">
        <v>554</v>
      </c>
      <c r="B4546" s="1" t="s">
        <v>26</v>
      </c>
      <c r="C4546" s="1" t="s">
        <v>2935</v>
      </c>
      <c r="D4546" s="1" t="s">
        <v>32</v>
      </c>
      <c r="E4546" s="12">
        <f>F4546</f>
        <v>1000000000</v>
      </c>
      <c r="F4546" s="12">
        <f>POWER(1000*SI!E3,3)</f>
        <v>1000000000</v>
      </c>
      <c r="G4546" s="1" t="s">
        <v>33</v>
      </c>
      <c r="H4546" s="1" t="s">
        <v>47</v>
      </c>
    </row>
    <row r="4547" spans="1:8" ht="16.5">
      <c r="A4547" s="1" t="s">
        <v>2084</v>
      </c>
      <c r="B4547" s="1" t="s">
        <v>2951</v>
      </c>
      <c r="C4547" s="1" t="s">
        <v>2935</v>
      </c>
      <c r="D4547" s="1" t="s">
        <v>32</v>
      </c>
      <c r="E4547" s="12">
        <f>F4547/61440</f>
        <v>6.1611519921875003E-8</v>
      </c>
      <c r="F4547" s="12">
        <f>Systems!P8</f>
        <v>3.7854117840000006E-3</v>
      </c>
      <c r="G4547" s="1" t="s">
        <v>33</v>
      </c>
      <c r="H4547" s="1" t="s">
        <v>47</v>
      </c>
    </row>
    <row r="4548" spans="1:8" ht="16.5">
      <c r="A4548" s="1" t="s">
        <v>957</v>
      </c>
      <c r="B4548" s="1" t="s">
        <v>6968</v>
      </c>
      <c r="C4548" s="1" t="s">
        <v>2935</v>
      </c>
      <c r="D4548" s="1" t="s">
        <v>32</v>
      </c>
      <c r="E4548" s="12">
        <f>F4548/128</f>
        <v>2.9573529562500005E-5</v>
      </c>
      <c r="F4548" s="12">
        <f>Systems!P8</f>
        <v>3.7854117840000006E-3</v>
      </c>
      <c r="G4548" s="1" t="s">
        <v>33</v>
      </c>
      <c r="H4548" s="1" t="s">
        <v>47</v>
      </c>
    </row>
    <row r="4549" spans="1:8" ht="16.5">
      <c r="A4549" s="1" t="s">
        <v>2271</v>
      </c>
      <c r="B4549" s="1" t="s">
        <v>26</v>
      </c>
      <c r="C4549" s="1" t="s">
        <v>2935</v>
      </c>
      <c r="D4549" s="1" t="s">
        <v>32</v>
      </c>
      <c r="E4549" s="12">
        <f>F4549/48</f>
        <v>6.1611519921875006E-7</v>
      </c>
      <c r="F4549" s="12">
        <f>Systems!P8/128</f>
        <v>2.9573529562500005E-5</v>
      </c>
      <c r="G4549" s="1" t="s">
        <v>33</v>
      </c>
      <c r="H4549" s="1" t="s">
        <v>47</v>
      </c>
    </row>
    <row r="4550" spans="1:8" ht="16.5">
      <c r="A4550" s="1" t="s">
        <v>2275</v>
      </c>
      <c r="B4550" s="1" t="s">
        <v>6965</v>
      </c>
      <c r="C4550" s="1" t="s">
        <v>2935</v>
      </c>
      <c r="D4550" s="1" t="s">
        <v>32</v>
      </c>
      <c r="E4550" s="12">
        <f>F4550/8</f>
        <v>4.7317647300000007E-4</v>
      </c>
      <c r="F4550" s="12">
        <f>Systems!P8</f>
        <v>3.7854117840000006E-3</v>
      </c>
      <c r="G4550" s="1" t="s">
        <v>33</v>
      </c>
      <c r="H4550" s="1" t="s">
        <v>47</v>
      </c>
    </row>
    <row r="4551" spans="1:8" ht="16.5">
      <c r="A4551" s="1" t="s">
        <v>5587</v>
      </c>
      <c r="B4551" s="1" t="s">
        <v>26</v>
      </c>
      <c r="C4551" s="1" t="s">
        <v>2935</v>
      </c>
      <c r="D4551" s="1" t="s">
        <v>32</v>
      </c>
      <c r="E4551" s="12">
        <f>126*F4551</f>
        <v>0.47696188478400009</v>
      </c>
      <c r="F4551" s="12">
        <f>Systems!P8</f>
        <v>3.7854117840000006E-3</v>
      </c>
      <c r="G4551" s="1" t="s">
        <v>33</v>
      </c>
      <c r="H4551" s="1" t="s">
        <v>47</v>
      </c>
    </row>
    <row r="4552" spans="1:8" ht="16.5">
      <c r="A4552" s="1" t="s">
        <v>2292</v>
      </c>
      <c r="B4552" s="1" t="s">
        <v>26</v>
      </c>
      <c r="C4552" s="1" t="s">
        <v>2935</v>
      </c>
      <c r="D4552" s="1" t="s">
        <v>32</v>
      </c>
      <c r="E4552" s="12">
        <f>F4552/128</f>
        <v>2.9573529562500005E-5</v>
      </c>
      <c r="F4552" s="12">
        <f>Systems!P8</f>
        <v>3.7854117840000006E-3</v>
      </c>
      <c r="G4552" s="1" t="s">
        <v>33</v>
      </c>
      <c r="H4552" s="1" t="s">
        <v>47</v>
      </c>
    </row>
    <row r="4553" spans="1:8" ht="16.5">
      <c r="A4553" s="1" t="s">
        <v>5588</v>
      </c>
      <c r="B4553" s="1" t="s">
        <v>26</v>
      </c>
      <c r="C4553" s="1" t="s">
        <v>2935</v>
      </c>
      <c r="D4553" s="1" t="s">
        <v>32</v>
      </c>
      <c r="E4553" s="12">
        <f>84*F4553</f>
        <v>0.31797458985600002</v>
      </c>
      <c r="F4553" s="12">
        <f>Systems!P8</f>
        <v>3.7854117840000006E-3</v>
      </c>
      <c r="G4553" s="1" t="s">
        <v>33</v>
      </c>
      <c r="H4553" s="1" t="s">
        <v>47</v>
      </c>
    </row>
    <row r="4554" spans="1:8" ht="16.5">
      <c r="A4554" s="1" t="s">
        <v>842</v>
      </c>
      <c r="B4554" s="1" t="s">
        <v>6964</v>
      </c>
      <c r="C4554" s="1" t="s">
        <v>2935</v>
      </c>
      <c r="D4554" s="1" t="s">
        <v>32</v>
      </c>
      <c r="E4554" s="12">
        <f>F4554/4</f>
        <v>9.4635294600000015E-4</v>
      </c>
      <c r="F4554" s="12">
        <f>Systems!P8</f>
        <v>3.7854117840000006E-3</v>
      </c>
      <c r="G4554" s="1" t="s">
        <v>33</v>
      </c>
      <c r="H4554" s="1" t="s">
        <v>47</v>
      </c>
    </row>
    <row r="4555" spans="1:8" ht="16.5">
      <c r="A4555" s="1" t="s">
        <v>2395</v>
      </c>
      <c r="B4555" s="1" t="s">
        <v>26</v>
      </c>
      <c r="C4555" s="1" t="s">
        <v>2935</v>
      </c>
      <c r="D4555" s="1" t="s">
        <v>32</v>
      </c>
      <c r="E4555" s="12">
        <f>F4555/32</f>
        <v>1.1829411825000002E-4</v>
      </c>
      <c r="F4555" s="12">
        <f>Systems!P8</f>
        <v>3.7854117840000006E-3</v>
      </c>
      <c r="G4555" s="1" t="s">
        <v>33</v>
      </c>
      <c r="H4555" s="1" t="s">
        <v>47</v>
      </c>
    </row>
    <row r="4556" spans="1:8" ht="16.5">
      <c r="A4556" s="1" t="s">
        <v>2426</v>
      </c>
      <c r="B4556" s="1" t="s">
        <v>589</v>
      </c>
      <c r="C4556" s="1" t="s">
        <v>2935</v>
      </c>
      <c r="D4556" s="1" t="s">
        <v>32</v>
      </c>
      <c r="E4556" s="12">
        <f>F4556/24</f>
        <v>1.2322303984375001E-6</v>
      </c>
      <c r="F4556" s="12">
        <f>Systems!P8/128</f>
        <v>2.9573529562500005E-5</v>
      </c>
      <c r="G4556" s="1" t="s">
        <v>33</v>
      </c>
      <c r="H4556" s="1" t="s">
        <v>47</v>
      </c>
    </row>
    <row r="4557" spans="1:8" ht="16.5">
      <c r="A4557" s="1" t="s">
        <v>2450</v>
      </c>
      <c r="B4557" s="1" t="s">
        <v>26</v>
      </c>
      <c r="C4557" s="1" t="s">
        <v>2935</v>
      </c>
      <c r="D4557" s="1" t="s">
        <v>32</v>
      </c>
      <c r="E4557" s="12">
        <f>13.5*F4557</f>
        <v>3.9924264909375006E-4</v>
      </c>
      <c r="F4557" s="12">
        <f>Systems!P8/128</f>
        <v>2.9573529562500005E-5</v>
      </c>
      <c r="G4557" s="1" t="s">
        <v>33</v>
      </c>
      <c r="H4557" s="1" t="s">
        <v>47</v>
      </c>
    </row>
    <row r="4558" spans="1:8" ht="16.5">
      <c r="A4558" s="1" t="s">
        <v>2508</v>
      </c>
      <c r="B4558" s="1" t="s">
        <v>26</v>
      </c>
      <c r="C4558" s="1" t="s">
        <v>2935</v>
      </c>
      <c r="D4558" s="1" t="s">
        <v>32</v>
      </c>
      <c r="E4558" s="12">
        <f>F4558</f>
        <v>2.9573529562500005E-5</v>
      </c>
      <c r="F4558" s="12">
        <f>Systems!P8/128</f>
        <v>2.9573529562500005E-5</v>
      </c>
      <c r="G4558" s="1" t="s">
        <v>33</v>
      </c>
      <c r="H4558" s="1" t="s">
        <v>47</v>
      </c>
    </row>
    <row r="4559" spans="1:8" ht="16.5">
      <c r="A4559" s="1" t="s">
        <v>2535</v>
      </c>
      <c r="B4559" s="1" t="s">
        <v>26</v>
      </c>
      <c r="C4559" s="1" t="s">
        <v>2935</v>
      </c>
      <c r="D4559" s="1" t="s">
        <v>32</v>
      </c>
      <c r="E4559" s="12">
        <f>3*F4559</f>
        <v>8.872058868750001E-5</v>
      </c>
      <c r="F4559" s="12">
        <f>Systems!P8/128</f>
        <v>2.9573529562500005E-5</v>
      </c>
      <c r="G4559" s="1" t="s">
        <v>33</v>
      </c>
      <c r="H4559" s="1" t="s">
        <v>47</v>
      </c>
    </row>
    <row r="4560" spans="1:8" ht="16.5">
      <c r="A4560" s="1" t="s">
        <v>2549</v>
      </c>
      <c r="B4560" s="1" t="s">
        <v>26</v>
      </c>
      <c r="C4560" s="1" t="s">
        <v>2935</v>
      </c>
      <c r="D4560" s="1" t="s">
        <v>32</v>
      </c>
      <c r="E4560" s="12">
        <f>F4560/20</f>
        <v>1.8927058920000002E-4</v>
      </c>
      <c r="F4560" s="12">
        <f>Systems!P8</f>
        <v>3.7854117840000006E-3</v>
      </c>
      <c r="G4560" s="1" t="s">
        <v>33</v>
      </c>
      <c r="H4560" s="1" t="s">
        <v>47</v>
      </c>
    </row>
    <row r="4561" spans="1:8" ht="16.5">
      <c r="A4561" s="1" t="s">
        <v>2594</v>
      </c>
      <c r="B4561" s="1" t="s">
        <v>26</v>
      </c>
      <c r="C4561" s="1" t="s">
        <v>2935</v>
      </c>
      <c r="D4561" s="1" t="s">
        <v>32</v>
      </c>
      <c r="E4561" s="12">
        <f>F4561/2</f>
        <v>1.4786764781250002E-5</v>
      </c>
      <c r="F4561" s="12">
        <f>Systems!P8/128</f>
        <v>2.9573529562500005E-5</v>
      </c>
      <c r="G4561" s="1" t="s">
        <v>33</v>
      </c>
      <c r="H4561" s="1" t="s">
        <v>47</v>
      </c>
    </row>
    <row r="4562" spans="1:8" ht="16.5">
      <c r="A4562" s="1" t="s">
        <v>2626</v>
      </c>
      <c r="B4562" s="1" t="s">
        <v>26</v>
      </c>
      <c r="C4562" s="1" t="s">
        <v>2935</v>
      </c>
      <c r="D4562" s="1" t="s">
        <v>32</v>
      </c>
      <c r="E4562" s="12">
        <f>5*F4562</f>
        <v>1.4786764781250003E-4</v>
      </c>
      <c r="F4562" s="12">
        <f>Systems!P8/128</f>
        <v>2.9573529562500005E-5</v>
      </c>
      <c r="G4562" s="1" t="s">
        <v>33</v>
      </c>
      <c r="H4562" s="1" t="s">
        <v>47</v>
      </c>
    </row>
    <row r="4563" spans="1:8" ht="16.5">
      <c r="A4563" s="1" t="s">
        <v>2627</v>
      </c>
      <c r="B4563" s="1" t="s">
        <v>26</v>
      </c>
      <c r="C4563" s="1" t="s">
        <v>2935</v>
      </c>
      <c r="D4563" s="1" t="s">
        <v>32</v>
      </c>
      <c r="E4563" s="12">
        <f>F4563/6</f>
        <v>4.9289215937500005E-6</v>
      </c>
      <c r="F4563" s="12">
        <f>Systems!P8/128</f>
        <v>2.9573529562500005E-5</v>
      </c>
      <c r="G4563" s="1" t="s">
        <v>33</v>
      </c>
      <c r="H4563" s="1" t="s">
        <v>47</v>
      </c>
    </row>
    <row r="4564" spans="1:8" ht="16.5">
      <c r="A4564" s="1" t="s">
        <v>5589</v>
      </c>
      <c r="B4564" s="1" t="s">
        <v>26</v>
      </c>
      <c r="C4564" s="1" t="s">
        <v>2935</v>
      </c>
      <c r="D4564" s="1" t="s">
        <v>32</v>
      </c>
      <c r="E4564" s="12">
        <f>5*F4564</f>
        <v>5.0000000000000013E-6</v>
      </c>
      <c r="F4564" s="12">
        <f>POWER('Physical Definitions'!E22,3)</f>
        <v>1.0000000000000002E-6</v>
      </c>
      <c r="G4564" s="1" t="s">
        <v>33</v>
      </c>
      <c r="H4564" s="1" t="s">
        <v>47</v>
      </c>
    </row>
    <row r="4565" spans="1:8" ht="16.5">
      <c r="A4565" s="1" t="s">
        <v>2632</v>
      </c>
      <c r="B4565" s="1" t="s">
        <v>26</v>
      </c>
      <c r="C4565" s="1" t="s">
        <v>2935</v>
      </c>
      <c r="D4565" s="1" t="s">
        <v>32</v>
      </c>
      <c r="E4565" s="12">
        <f>F4565/10</f>
        <v>3.7854117840000005E-4</v>
      </c>
      <c r="F4565" s="12">
        <f>Systems!P8</f>
        <v>3.7854117840000006E-3</v>
      </c>
      <c r="G4565" s="1" t="s">
        <v>33</v>
      </c>
      <c r="H4565" s="1" t="s">
        <v>47</v>
      </c>
    </row>
    <row r="4566" spans="1:8" ht="16.5">
      <c r="A4566" s="1" t="s">
        <v>2639</v>
      </c>
      <c r="B4566" s="1" t="s">
        <v>26</v>
      </c>
      <c r="C4566" s="1" t="s">
        <v>2935</v>
      </c>
      <c r="D4566" s="1" t="s">
        <v>32</v>
      </c>
      <c r="E4566" s="12">
        <f>84*F4566</f>
        <v>0.31797458985600002</v>
      </c>
      <c r="F4566" s="12">
        <f>Systems!P8</f>
        <v>3.7854117840000006E-3</v>
      </c>
      <c r="G4566" s="1" t="s">
        <v>33</v>
      </c>
      <c r="H4566" s="1" t="s">
        <v>47</v>
      </c>
    </row>
    <row r="4567" spans="1:8" ht="16.5">
      <c r="A4567" s="1" t="s">
        <v>2658</v>
      </c>
      <c r="B4567" s="1" t="s">
        <v>26</v>
      </c>
      <c r="C4567" s="1" t="s">
        <v>2935</v>
      </c>
      <c r="D4567" s="1" t="s">
        <v>32</v>
      </c>
      <c r="E4567" s="12">
        <f>42*F4567</f>
        <v>0.15898729492800001</v>
      </c>
      <c r="F4567" s="12">
        <f>Systems!P8</f>
        <v>3.7854117840000006E-3</v>
      </c>
      <c r="G4567" s="1" t="s">
        <v>33</v>
      </c>
      <c r="H4567" s="1" t="s">
        <v>47</v>
      </c>
    </row>
    <row r="4568" spans="1:8" ht="16.5">
      <c r="A4568" s="1" t="s">
        <v>5590</v>
      </c>
      <c r="B4568" s="1" t="s">
        <v>26</v>
      </c>
      <c r="C4568" s="1" t="s">
        <v>2935</v>
      </c>
      <c r="D4568" s="1" t="s">
        <v>32</v>
      </c>
      <c r="E4568" s="12">
        <f>35*F4568</f>
        <v>0.99108963072000011</v>
      </c>
      <c r="F4568" s="12">
        <f>POWER(Systems!D8,3)</f>
        <v>2.8316846592000004E-2</v>
      </c>
      <c r="G4568" s="1" t="s">
        <v>33</v>
      </c>
      <c r="H4568" s="1" t="s">
        <v>47</v>
      </c>
    </row>
    <row r="4569" spans="1:8" ht="16.5">
      <c r="A4569" s="1" t="s">
        <v>2720</v>
      </c>
      <c r="B4569" s="1" t="s">
        <v>26</v>
      </c>
      <c r="C4569" s="1" t="s">
        <v>2935</v>
      </c>
      <c r="D4569" s="1" t="s">
        <v>32</v>
      </c>
      <c r="E4569" s="12">
        <f>252*F4569</f>
        <v>0.95392376956800018</v>
      </c>
      <c r="F4569" s="12">
        <f>Systems!P8</f>
        <v>3.7854117840000006E-3</v>
      </c>
      <c r="G4569" s="1" t="s">
        <v>33</v>
      </c>
      <c r="H4569" s="1" t="s">
        <v>47</v>
      </c>
    </row>
    <row r="4570" spans="1:8" ht="16.5">
      <c r="A4570" s="1" t="s">
        <v>5591</v>
      </c>
      <c r="B4570" s="1" t="s">
        <v>26</v>
      </c>
      <c r="C4570" s="1" t="s">
        <v>2935</v>
      </c>
      <c r="D4570" s="1" t="s">
        <v>32</v>
      </c>
      <c r="E4570" s="12">
        <f>252*F4570</f>
        <v>0.95392376956800018</v>
      </c>
      <c r="F4570" s="12">
        <f>Systems!P8</f>
        <v>3.7854117840000006E-3</v>
      </c>
      <c r="G4570" s="1" t="s">
        <v>33</v>
      </c>
      <c r="H4570" s="1" t="s">
        <v>47</v>
      </c>
    </row>
    <row r="4571" spans="1:8" ht="16.5">
      <c r="A4571" s="1" t="s">
        <v>411</v>
      </c>
      <c r="B4571" s="1" t="s">
        <v>986</v>
      </c>
      <c r="C4571" s="1" t="s">
        <v>2935</v>
      </c>
      <c r="D4571" s="1" t="s">
        <v>32</v>
      </c>
      <c r="E4571" s="12">
        <f>252*F4571</f>
        <v>0.95392376956800018</v>
      </c>
      <c r="F4571" s="12">
        <f>Systems!P8</f>
        <v>3.7854117840000006E-3</v>
      </c>
      <c r="G4571" s="1" t="s">
        <v>33</v>
      </c>
      <c r="H4571" s="1" t="s">
        <v>47</v>
      </c>
    </row>
    <row r="4572" spans="1:8" ht="16.5">
      <c r="A4572" s="1" t="s">
        <v>5592</v>
      </c>
      <c r="B4572" s="1" t="s">
        <v>26</v>
      </c>
      <c r="C4572" s="1" t="s">
        <v>2935</v>
      </c>
      <c r="D4572" s="1" t="s">
        <v>32</v>
      </c>
      <c r="E4572" s="12">
        <f>16*F4572</f>
        <v>4.7317647300000007E-4</v>
      </c>
      <c r="F4572" s="12">
        <f>Systems!P8/128</f>
        <v>2.9573529562500005E-5</v>
      </c>
      <c r="G4572" s="1" t="s">
        <v>33</v>
      </c>
      <c r="H4572" s="1" t="s">
        <v>47</v>
      </c>
    </row>
    <row r="4573" spans="1:8" ht="16.5">
      <c r="A4573" s="1" t="s">
        <v>5440</v>
      </c>
      <c r="B4573" s="1" t="s">
        <v>26</v>
      </c>
      <c r="C4573" s="1" t="s">
        <v>2935</v>
      </c>
      <c r="D4573" s="1" t="s">
        <v>32</v>
      </c>
      <c r="E4573" s="12">
        <f>5*F4573/2</f>
        <v>7.3933823906250013E-5</v>
      </c>
      <c r="F4573" s="12">
        <f>Systems!P8/128</f>
        <v>2.9573529562500005E-5</v>
      </c>
      <c r="G4573" s="1" t="s">
        <v>33</v>
      </c>
      <c r="H4573" s="1" t="s">
        <v>47</v>
      </c>
    </row>
    <row r="4574" spans="1:8">
      <c r="A4574" s="15" t="s">
        <v>1250</v>
      </c>
      <c r="B4574" s="1" t="s">
        <v>459</v>
      </c>
      <c r="C4574" s="1" t="s">
        <v>17</v>
      </c>
      <c r="D4574" s="1" t="s">
        <v>20</v>
      </c>
      <c r="E4574" s="16">
        <f>500*F4574</f>
        <v>226.79618500000001</v>
      </c>
      <c r="F4574" s="16">
        <f>Systems!L8</f>
        <v>0.45359237000000002</v>
      </c>
      <c r="G4574" s="1" t="s">
        <v>23</v>
      </c>
      <c r="H4574" s="1" t="s">
        <v>47</v>
      </c>
    </row>
    <row r="4575" spans="1:8">
      <c r="A4575" s="1" t="s">
        <v>5593</v>
      </c>
      <c r="B4575" s="1" t="s">
        <v>26</v>
      </c>
      <c r="C4575" s="1" t="s">
        <v>17</v>
      </c>
      <c r="D4575" s="1" t="s">
        <v>20</v>
      </c>
      <c r="E4575" s="12">
        <f>F4575/96</f>
        <v>3.8879346000000002E-3</v>
      </c>
      <c r="F4575" s="12">
        <f>Systems!L5</f>
        <v>0.37324172160000002</v>
      </c>
      <c r="G4575" s="1" t="s">
        <v>23</v>
      </c>
      <c r="H4575" s="1" t="s">
        <v>47</v>
      </c>
    </row>
    <row r="4576" spans="1:8">
      <c r="A4576" s="1" t="s">
        <v>5594</v>
      </c>
      <c r="B4576" s="1" t="s">
        <v>26</v>
      </c>
      <c r="C4576" s="1" t="s">
        <v>17</v>
      </c>
      <c r="D4576" s="1" t="s">
        <v>20</v>
      </c>
      <c r="E4576" s="12">
        <f>0.00000000001*F4576</f>
        <v>1E-14</v>
      </c>
      <c r="F4576" s="12">
        <f>'Physical Definitions'!E26</f>
        <v>1E-3</v>
      </c>
      <c r="G4576" s="1" t="s">
        <v>23</v>
      </c>
      <c r="H4576" s="1" t="s">
        <v>47</v>
      </c>
    </row>
    <row r="4577" spans="1:8">
      <c r="A4577" s="1" t="s">
        <v>4857</v>
      </c>
      <c r="B4577" s="1" t="s">
        <v>4858</v>
      </c>
      <c r="C4577" s="1" t="s">
        <v>17</v>
      </c>
      <c r="D4577" s="1" t="s">
        <v>20</v>
      </c>
      <c r="E4577" s="12">
        <f>75*F4577</f>
        <v>34.019427749999998</v>
      </c>
      <c r="F4577" s="12">
        <f>Systems!L8</f>
        <v>0.45359237000000002</v>
      </c>
      <c r="G4577" s="1" t="s">
        <v>23</v>
      </c>
      <c r="H4577" s="1" t="s">
        <v>47</v>
      </c>
    </row>
    <row r="4578" spans="1:8">
      <c r="A4578" s="1" t="s">
        <v>1664</v>
      </c>
      <c r="B4578" s="1" t="s">
        <v>26</v>
      </c>
      <c r="C4578" s="1" t="s">
        <v>17</v>
      </c>
      <c r="D4578" s="1" t="s">
        <v>20</v>
      </c>
      <c r="E4578" s="12">
        <f>F4578</f>
        <v>14.593902937206362</v>
      </c>
      <c r="F4578" s="12">
        <f>Systems!L8*'Physical Definitions'!E13*POWER(SI!E4,2)/Systems!D8</f>
        <v>14.593902937206362</v>
      </c>
      <c r="G4578" s="1" t="s">
        <v>23</v>
      </c>
      <c r="H4578" s="1" t="s">
        <v>47</v>
      </c>
    </row>
    <row r="4579" spans="1:8">
      <c r="A4579" s="1" t="s">
        <v>1761</v>
      </c>
      <c r="B4579" s="1" t="s">
        <v>1760</v>
      </c>
      <c r="C4579" s="1" t="s">
        <v>17</v>
      </c>
      <c r="D4579" s="1" t="s">
        <v>20</v>
      </c>
      <c r="E4579" s="12">
        <f>112*F4579</f>
        <v>50.802345440000003</v>
      </c>
      <c r="F4579" s="12">
        <f>Systems!L8</f>
        <v>0.45359237000000002</v>
      </c>
      <c r="G4579" s="1" t="s">
        <v>23</v>
      </c>
      <c r="H4579" s="1" t="s">
        <v>47</v>
      </c>
    </row>
    <row r="4580" spans="1:8">
      <c r="A4580" s="1" t="s">
        <v>4461</v>
      </c>
      <c r="B4580" s="1" t="s">
        <v>4462</v>
      </c>
      <c r="C4580" s="1" t="s">
        <v>17</v>
      </c>
      <c r="D4580" s="1" t="s">
        <v>20</v>
      </c>
      <c r="E4580" s="12">
        <f>100*F4580</f>
        <v>45.359237</v>
      </c>
      <c r="F4580" s="12">
        <f>Systems!L8</f>
        <v>0.45359237000000002</v>
      </c>
      <c r="G4580" s="1" t="s">
        <v>23</v>
      </c>
      <c r="H4580" s="1" t="s">
        <v>47</v>
      </c>
    </row>
    <row r="4581" spans="1:8">
      <c r="A4581" s="1" t="s">
        <v>4464</v>
      </c>
      <c r="B4581" s="1" t="s">
        <v>4463</v>
      </c>
      <c r="C4581" s="1" t="s">
        <v>17</v>
      </c>
      <c r="D4581" s="1" t="s">
        <v>20</v>
      </c>
      <c r="E4581" s="12">
        <f>100*F4581</f>
        <v>45.359237</v>
      </c>
      <c r="F4581" s="12">
        <f>Systems!L8</f>
        <v>0.45359237000000002</v>
      </c>
      <c r="G4581" s="1" t="s">
        <v>23</v>
      </c>
      <c r="H4581" s="1" t="s">
        <v>47</v>
      </c>
    </row>
    <row r="4582" spans="1:8">
      <c r="A4582" s="1" t="s">
        <v>1820</v>
      </c>
      <c r="B4582" s="1" t="s">
        <v>26</v>
      </c>
      <c r="C4582" s="1" t="s">
        <v>17</v>
      </c>
      <c r="D4582" s="1" t="s">
        <v>20</v>
      </c>
      <c r="E4582" s="12">
        <f>100*F4582</f>
        <v>45.359237</v>
      </c>
      <c r="F4582" s="12">
        <f>Systems!L8</f>
        <v>0.45359237000000002</v>
      </c>
      <c r="G4582" s="1" t="s">
        <v>23</v>
      </c>
      <c r="H4582" s="1" t="s">
        <v>47</v>
      </c>
    </row>
    <row r="4583" spans="1:8">
      <c r="A4583" s="1" t="s">
        <v>1850</v>
      </c>
      <c r="B4583" s="1" t="s">
        <v>265</v>
      </c>
      <c r="C4583" s="1" t="s">
        <v>17</v>
      </c>
      <c r="D4583" s="1" t="s">
        <v>20</v>
      </c>
      <c r="E4583" s="12">
        <f>1000*F4583</f>
        <v>453.59237000000002</v>
      </c>
      <c r="F4583" s="12">
        <f>Systems!L8</f>
        <v>0.45359237000000002</v>
      </c>
      <c r="G4583" s="1" t="s">
        <v>23</v>
      </c>
      <c r="H4583" s="1" t="s">
        <v>47</v>
      </c>
    </row>
    <row r="4584" spans="1:8">
      <c r="A4584" s="1" t="s">
        <v>2007</v>
      </c>
      <c r="B4584" s="1" t="s">
        <v>26</v>
      </c>
      <c r="C4584" s="1" t="s">
        <v>17</v>
      </c>
      <c r="D4584" s="1" t="s">
        <v>20</v>
      </c>
      <c r="E4584" s="12">
        <f>2*F4584</f>
        <v>5.6699046250000003E-2</v>
      </c>
      <c r="F4584" s="12">
        <f>Systems!L8/16</f>
        <v>2.8349523125000001E-2</v>
      </c>
      <c r="G4584" s="1" t="s">
        <v>23</v>
      </c>
      <c r="H4584" s="1" t="s">
        <v>47</v>
      </c>
    </row>
    <row r="4585" spans="1:8">
      <c r="A4585" s="1" t="s">
        <v>957</v>
      </c>
      <c r="B4585" s="1" t="s">
        <v>6968</v>
      </c>
      <c r="C4585" s="1" t="s">
        <v>17</v>
      </c>
      <c r="D4585" s="1" t="s">
        <v>20</v>
      </c>
      <c r="E4585" s="12">
        <f>F4585/16</f>
        <v>2.8349523125000001E-2</v>
      </c>
      <c r="F4585" s="12">
        <f>Systems!L8</f>
        <v>0.45359237000000002</v>
      </c>
      <c r="G4585" s="1" t="s">
        <v>23</v>
      </c>
      <c r="H4585" s="1" t="s">
        <v>47</v>
      </c>
    </row>
    <row r="4586" spans="1:8">
      <c r="A4586" s="1" t="s">
        <v>819</v>
      </c>
      <c r="B4586" s="1" t="s">
        <v>6967</v>
      </c>
      <c r="C4586" s="1" t="s">
        <v>17</v>
      </c>
      <c r="D4586" s="1" t="s">
        <v>20</v>
      </c>
      <c r="E4586" s="12">
        <f>F4586</f>
        <v>0.45359237000000002</v>
      </c>
      <c r="F4586" s="12">
        <f>Systems!L8</f>
        <v>0.45359237000000002</v>
      </c>
      <c r="G4586" s="1" t="s">
        <v>23</v>
      </c>
      <c r="H4586" s="1" t="s">
        <v>47</v>
      </c>
    </row>
    <row r="4587" spans="1:8">
      <c r="A4587" s="1" t="s">
        <v>5595</v>
      </c>
      <c r="B4587" s="1" t="s">
        <v>26</v>
      </c>
      <c r="C4587" s="1" t="s">
        <v>17</v>
      </c>
      <c r="D4587" s="1" t="s">
        <v>20</v>
      </c>
      <c r="E4587" s="12">
        <f>560*F4587</f>
        <v>254.01172720000002</v>
      </c>
      <c r="F4587" s="12">
        <f>Systems!L8</f>
        <v>0.45359237000000002</v>
      </c>
      <c r="G4587" s="1" t="s">
        <v>23</v>
      </c>
      <c r="H4587" s="1" t="s">
        <v>47</v>
      </c>
    </row>
    <row r="4588" spans="1:8">
      <c r="A4588" s="1" t="s">
        <v>5596</v>
      </c>
      <c r="B4588" s="1" t="s">
        <v>26</v>
      </c>
      <c r="C4588" s="1" t="s">
        <v>17</v>
      </c>
      <c r="D4588" s="1" t="s">
        <v>20</v>
      </c>
      <c r="E4588" s="12">
        <f>500*F4588</f>
        <v>226.79618500000001</v>
      </c>
      <c r="F4588" s="12">
        <f>Systems!L8</f>
        <v>0.45359237000000002</v>
      </c>
      <c r="G4588" s="1" t="s">
        <v>23</v>
      </c>
      <c r="H4588" s="1" t="s">
        <v>47</v>
      </c>
    </row>
    <row r="4589" spans="1:8">
      <c r="A4589" s="1" t="s">
        <v>4416</v>
      </c>
      <c r="B4589" s="1" t="s">
        <v>5483</v>
      </c>
      <c r="C4589" s="1" t="s">
        <v>17</v>
      </c>
      <c r="D4589" s="1" t="s">
        <v>20</v>
      </c>
      <c r="E4589" s="12">
        <f>F4589/288</f>
        <v>1.2959782E-3</v>
      </c>
      <c r="F4589" s="12">
        <f>Systems!L5</f>
        <v>0.37324172160000002</v>
      </c>
      <c r="G4589" s="1" t="s">
        <v>23</v>
      </c>
      <c r="H4589" s="1" t="s">
        <v>47</v>
      </c>
    </row>
    <row r="4590" spans="1:8">
      <c r="A4590" s="1" t="s">
        <v>5598</v>
      </c>
      <c r="B4590" s="1" t="s">
        <v>5597</v>
      </c>
      <c r="C4590" s="1" t="s">
        <v>17</v>
      </c>
      <c r="D4590" s="1" t="s">
        <v>20</v>
      </c>
      <c r="E4590" s="12">
        <f>2000*F4590</f>
        <v>907.18474000000003</v>
      </c>
      <c r="F4590" s="12">
        <f>Systems!L8</f>
        <v>0.45359237000000002</v>
      </c>
      <c r="G4590" s="1" t="s">
        <v>23</v>
      </c>
      <c r="H4590" s="1" t="s">
        <v>47</v>
      </c>
    </row>
    <row r="4591" spans="1:8">
      <c r="A4591" s="1" t="s">
        <v>596</v>
      </c>
      <c r="B4591" s="1" t="s">
        <v>26</v>
      </c>
      <c r="C4591" s="1" t="s">
        <v>17</v>
      </c>
      <c r="D4591" s="1" t="s">
        <v>20</v>
      </c>
      <c r="E4591" s="12">
        <f>F4591</f>
        <v>175.12683524647636</v>
      </c>
      <c r="F4591" s="12">
        <f>12*Systems!L8*'Physical Definitions'!E13*POWER(SI!E4,2)/Systems!D8</f>
        <v>175.12683524647636</v>
      </c>
      <c r="G4591" s="1" t="s">
        <v>23</v>
      </c>
      <c r="H4591" s="1" t="s">
        <v>47</v>
      </c>
    </row>
    <row r="4592" spans="1:8">
      <c r="A4592" s="1" t="s">
        <v>221</v>
      </c>
      <c r="B4592" s="1" t="s">
        <v>6988</v>
      </c>
      <c r="C4592" s="1" t="s">
        <v>17</v>
      </c>
      <c r="D4592" s="1" t="s">
        <v>20</v>
      </c>
      <c r="E4592" s="12">
        <f>F4592</f>
        <v>14.593902937206362</v>
      </c>
      <c r="F4592" s="12">
        <f>Systems!L8*'Physical Definitions'!E13*POWER(SI!E4,2)/Systems!D8</f>
        <v>14.593902937206362</v>
      </c>
      <c r="G4592" s="1" t="s">
        <v>23</v>
      </c>
      <c r="H4592" s="1" t="s">
        <v>47</v>
      </c>
    </row>
    <row r="4593" spans="1:8">
      <c r="A4593" s="1" t="s">
        <v>5599</v>
      </c>
      <c r="B4593" s="1" t="s">
        <v>5600</v>
      </c>
      <c r="C4593" s="1" t="s">
        <v>17</v>
      </c>
      <c r="D4593" s="1" t="s">
        <v>20</v>
      </c>
      <c r="E4593" s="12">
        <f>F4593/4</f>
        <v>0.11339809250000001</v>
      </c>
      <c r="F4593" s="12">
        <f>Systems!L8</f>
        <v>0.45359237000000002</v>
      </c>
      <c r="G4593" s="1" t="s">
        <v>23</v>
      </c>
      <c r="H4593" s="1" t="s">
        <v>47</v>
      </c>
    </row>
    <row r="4594" spans="1:8">
      <c r="A4594" s="1" t="s">
        <v>5488</v>
      </c>
      <c r="B4594" s="1" t="s">
        <v>2996</v>
      </c>
      <c r="C4594" s="1" t="s">
        <v>17</v>
      </c>
      <c r="D4594" s="1" t="s">
        <v>20</v>
      </c>
      <c r="E4594" s="12">
        <f>(3000/87.5)*0.000001*F4594</f>
        <v>3.4285714285714284E-5</v>
      </c>
      <c r="F4594" s="12">
        <f>SI!E2</f>
        <v>1</v>
      </c>
      <c r="G4594" s="1" t="s">
        <v>23</v>
      </c>
      <c r="H4594" s="1" t="s">
        <v>47</v>
      </c>
    </row>
    <row r="4595" spans="1:8">
      <c r="A4595" s="1" t="s">
        <v>5490</v>
      </c>
      <c r="B4595" s="1" t="s">
        <v>26</v>
      </c>
      <c r="C4595" s="1" t="s">
        <v>17</v>
      </c>
      <c r="D4595" s="1" t="s">
        <v>20</v>
      </c>
      <c r="E4595" s="12">
        <f>42*F4595</f>
        <v>1219.0402457856001</v>
      </c>
      <c r="F4595" s="12">
        <f>POWER(Systems!D8,3)*'Physical Measurements'!E17</f>
        <v>29.024767756800003</v>
      </c>
      <c r="G4595" s="1" t="s">
        <v>23</v>
      </c>
      <c r="H4595" s="1" t="s">
        <v>47</v>
      </c>
    </row>
    <row r="4596" spans="1:8">
      <c r="A4596" s="1" t="s">
        <v>5601</v>
      </c>
      <c r="B4596" s="1" t="s">
        <v>26</v>
      </c>
      <c r="C4596" s="1" t="s">
        <v>17</v>
      </c>
      <c r="D4596" s="1" t="s">
        <v>20</v>
      </c>
      <c r="E4596" s="12">
        <f>2000*F4596</f>
        <v>907.18474000000003</v>
      </c>
      <c r="F4596" s="12">
        <f>Systems!L8</f>
        <v>0.45359237000000002</v>
      </c>
      <c r="G4596" s="1" t="s">
        <v>23</v>
      </c>
      <c r="H4596" s="1" t="s">
        <v>47</v>
      </c>
    </row>
    <row r="4597" spans="1:8">
      <c r="A4597" s="248"/>
      <c r="B4597" s="248"/>
      <c r="C4597" s="248"/>
      <c r="D4597" s="248"/>
      <c r="E4597" s="250"/>
      <c r="F4597" s="250"/>
      <c r="G4597" s="249"/>
      <c r="H4597" s="248"/>
    </row>
    <row r="4598" spans="1:8">
      <c r="A4598" s="1" t="s">
        <v>1448</v>
      </c>
      <c r="B4598" s="1" t="s">
        <v>26</v>
      </c>
      <c r="C4598" s="1" t="s">
        <v>3033</v>
      </c>
      <c r="D4598" s="1" t="s">
        <v>19</v>
      </c>
      <c r="E4598" s="12">
        <f>F4598/4</f>
        <v>0.2</v>
      </c>
      <c r="F4598" s="12">
        <f>Systems!D182</f>
        <v>0.8</v>
      </c>
      <c r="G4598" s="1" t="s">
        <v>14</v>
      </c>
      <c r="H4598" s="1" t="s">
        <v>496</v>
      </c>
    </row>
    <row r="4599" spans="1:8">
      <c r="A4599" s="1" t="s">
        <v>1945</v>
      </c>
      <c r="B4599" s="1" t="s">
        <v>26</v>
      </c>
      <c r="C4599" s="1" t="s">
        <v>3033</v>
      </c>
      <c r="D4599" s="1" t="s">
        <v>19</v>
      </c>
      <c r="E4599" s="12">
        <f>6280*F4599</f>
        <v>5024</v>
      </c>
      <c r="F4599" s="12">
        <f>Systems!D182</f>
        <v>0.8</v>
      </c>
      <c r="G4599" s="1" t="s">
        <v>14</v>
      </c>
      <c r="H4599" s="1" t="s">
        <v>496</v>
      </c>
    </row>
    <row r="4600" spans="1:8">
      <c r="A4600" s="1" t="s">
        <v>2044</v>
      </c>
      <c r="B4600" s="1" t="s">
        <v>26</v>
      </c>
      <c r="C4600" s="1" t="s">
        <v>3033</v>
      </c>
      <c r="D4600" s="1" t="s">
        <v>19</v>
      </c>
      <c r="E4600" s="12">
        <f>6280*F4600</f>
        <v>5024</v>
      </c>
      <c r="F4600" s="12">
        <f>Systems!D182</f>
        <v>0.8</v>
      </c>
      <c r="G4600" s="1" t="s">
        <v>14</v>
      </c>
      <c r="H4600" s="1" t="s">
        <v>496</v>
      </c>
    </row>
    <row r="4601" spans="1:8">
      <c r="A4601" s="1" t="s">
        <v>933</v>
      </c>
      <c r="B4601" s="1" t="s">
        <v>26</v>
      </c>
      <c r="C4601" s="1" t="s">
        <v>3033</v>
      </c>
      <c r="D4601" s="1" t="s">
        <v>19</v>
      </c>
      <c r="E4601" s="12">
        <f>F4601/3</f>
        <v>0.26666666666666666</v>
      </c>
      <c r="F4601" s="12">
        <f>Systems!D182</f>
        <v>0.8</v>
      </c>
      <c r="G4601" s="1" t="s">
        <v>14</v>
      </c>
      <c r="H4601" s="1" t="s">
        <v>496</v>
      </c>
    </row>
    <row r="4602" spans="1:8">
      <c r="A4602" s="1" t="s">
        <v>2306</v>
      </c>
      <c r="B4602" s="1" t="s">
        <v>26</v>
      </c>
      <c r="C4602" s="1" t="s">
        <v>3033</v>
      </c>
      <c r="D4602" s="1" t="s">
        <v>19</v>
      </c>
      <c r="E4602" s="12">
        <f>F4602/36</f>
        <v>2.2222222222222223E-2</v>
      </c>
      <c r="F4602" s="12">
        <f>Systems!D182</f>
        <v>0.8</v>
      </c>
      <c r="G4602" s="1" t="s">
        <v>14</v>
      </c>
      <c r="H4602" s="1" t="s">
        <v>496</v>
      </c>
    </row>
    <row r="4603" spans="1:8">
      <c r="A4603" s="1" t="s">
        <v>821</v>
      </c>
      <c r="B4603" s="1" t="s">
        <v>26</v>
      </c>
      <c r="C4603" s="1" t="s">
        <v>3033</v>
      </c>
      <c r="D4603" s="1" t="s">
        <v>19</v>
      </c>
      <c r="E4603" s="12">
        <f>F4603</f>
        <v>0.8</v>
      </c>
      <c r="F4603" s="12">
        <f>Systems!D182</f>
        <v>0.8</v>
      </c>
      <c r="G4603" s="1" t="s">
        <v>14</v>
      </c>
      <c r="H4603" s="1" t="s">
        <v>496</v>
      </c>
    </row>
    <row r="4604" spans="1:8" ht="16.5">
      <c r="A4604" s="1" t="s">
        <v>4513</v>
      </c>
      <c r="B4604" s="1" t="s">
        <v>26</v>
      </c>
      <c r="C4604" s="1" t="s">
        <v>3034</v>
      </c>
      <c r="D4604" s="1" t="s">
        <v>38</v>
      </c>
      <c r="E4604" s="12">
        <f>F4604</f>
        <v>0.64000000000000012</v>
      </c>
      <c r="F4604" s="12">
        <f>Systems!H182</f>
        <v>0.64000000000000012</v>
      </c>
      <c r="G4604" s="1" t="s">
        <v>39</v>
      </c>
      <c r="H4604" s="1" t="s">
        <v>496</v>
      </c>
    </row>
    <row r="4605" spans="1:8" ht="16.5">
      <c r="A4605" s="1" t="s">
        <v>4514</v>
      </c>
      <c r="B4605" s="1" t="s">
        <v>26</v>
      </c>
      <c r="C4605" s="1" t="s">
        <v>2936</v>
      </c>
      <c r="D4605" s="1" t="s">
        <v>32</v>
      </c>
      <c r="E4605" s="12">
        <f>F4605</f>
        <v>0.51200000000000012</v>
      </c>
      <c r="F4605" s="12">
        <f>Systems!T182</f>
        <v>0.51200000000000012</v>
      </c>
      <c r="G4605" s="1" t="s">
        <v>33</v>
      </c>
      <c r="H4605" s="1" t="s">
        <v>496</v>
      </c>
    </row>
    <row r="4606" spans="1:8" ht="16.5">
      <c r="A4606" s="1" t="s">
        <v>1018</v>
      </c>
      <c r="B4606" s="1" t="s">
        <v>26</v>
      </c>
      <c r="C4606" s="1" t="s">
        <v>2935</v>
      </c>
      <c r="D4606" s="1" t="s">
        <v>32</v>
      </c>
      <c r="E4606" s="12">
        <f>F4606</f>
        <v>1.6136999999999999E-2</v>
      </c>
      <c r="F4606" s="12">
        <f>Systems!P182</f>
        <v>1.6136999999999999E-2</v>
      </c>
      <c r="G4606" s="1" t="s">
        <v>33</v>
      </c>
      <c r="H4606" s="1" t="s">
        <v>496</v>
      </c>
    </row>
    <row r="4607" spans="1:8">
      <c r="A4607" s="1" t="s">
        <v>1018</v>
      </c>
      <c r="B4607" s="1" t="s">
        <v>26</v>
      </c>
      <c r="C4607" s="1" t="s">
        <v>17</v>
      </c>
      <c r="D4607" s="1" t="s">
        <v>20</v>
      </c>
      <c r="E4607" s="12">
        <f>25*F4607</f>
        <v>12.5</v>
      </c>
      <c r="F4607" s="12">
        <f>Systems!L182</f>
        <v>0.5</v>
      </c>
      <c r="G4607" s="1" t="s">
        <v>23</v>
      </c>
      <c r="H4607" s="1" t="s">
        <v>496</v>
      </c>
    </row>
    <row r="4608" spans="1:8">
      <c r="A4608" s="1" t="s">
        <v>1246</v>
      </c>
      <c r="B4608" s="1" t="s">
        <v>26</v>
      </c>
      <c r="C4608" s="1" t="s">
        <v>17</v>
      </c>
      <c r="D4608" s="1" t="s">
        <v>20</v>
      </c>
      <c r="E4608" s="12">
        <f>125*F4608</f>
        <v>62.5</v>
      </c>
      <c r="F4608" s="12">
        <f>Systems!L182</f>
        <v>0.5</v>
      </c>
      <c r="G4608" s="1" t="s">
        <v>23</v>
      </c>
      <c r="H4608" s="1" t="s">
        <v>496</v>
      </c>
    </row>
    <row r="4609" spans="1:8">
      <c r="A4609" s="1" t="s">
        <v>1358</v>
      </c>
      <c r="B4609" s="1" t="s">
        <v>26</v>
      </c>
      <c r="C4609" s="1" t="s">
        <v>17</v>
      </c>
      <c r="D4609" s="1" t="s">
        <v>20</v>
      </c>
      <c r="E4609" s="12">
        <f>250*F4609</f>
        <v>125</v>
      </c>
      <c r="F4609" s="12">
        <f>Systems!L182</f>
        <v>0.5</v>
      </c>
      <c r="G4609" s="1" t="s">
        <v>23</v>
      </c>
      <c r="H4609" s="1" t="s">
        <v>496</v>
      </c>
    </row>
    <row r="4610" spans="1:8">
      <c r="A4610" s="1" t="s">
        <v>820</v>
      </c>
      <c r="B4610" s="1" t="s">
        <v>26</v>
      </c>
      <c r="C4610" s="1" t="s">
        <v>17</v>
      </c>
      <c r="D4610" s="1" t="s">
        <v>20</v>
      </c>
      <c r="E4610" s="12">
        <f>F4610</f>
        <v>0.5</v>
      </c>
      <c r="F4610" s="12">
        <f>Systems!L182</f>
        <v>0.5</v>
      </c>
      <c r="G4610" s="1" t="s">
        <v>23</v>
      </c>
      <c r="H4610" s="1" t="s">
        <v>496</v>
      </c>
    </row>
    <row r="4611" spans="1:8">
      <c r="A4611" s="1" t="s">
        <v>2174</v>
      </c>
      <c r="B4611" s="1" t="s">
        <v>26</v>
      </c>
      <c r="C4611" s="1" t="s">
        <v>17</v>
      </c>
      <c r="D4611" s="1" t="s">
        <v>20</v>
      </c>
      <c r="E4611" s="12">
        <f>F4611/16</f>
        <v>3.125E-2</v>
      </c>
      <c r="F4611" s="12">
        <f>Systems!L182</f>
        <v>0.5</v>
      </c>
      <c r="G4611" s="1" t="s">
        <v>23</v>
      </c>
      <c r="H4611" s="1" t="s">
        <v>496</v>
      </c>
    </row>
    <row r="4612" spans="1:8">
      <c r="A4612" s="1" t="s">
        <v>2357</v>
      </c>
      <c r="B4612" s="1" t="s">
        <v>26</v>
      </c>
      <c r="C4612" s="1" t="s">
        <v>17</v>
      </c>
      <c r="D4612" s="1" t="s">
        <v>20</v>
      </c>
      <c r="E4612" s="12">
        <f>100*F4612</f>
        <v>50</v>
      </c>
      <c r="F4612" s="12">
        <f>Systems!L182</f>
        <v>0.5</v>
      </c>
      <c r="G4612" s="1" t="s">
        <v>23</v>
      </c>
      <c r="H4612" s="1" t="s">
        <v>496</v>
      </c>
    </row>
    <row r="4613" spans="1:8">
      <c r="A4613" s="1" t="s">
        <v>2416</v>
      </c>
      <c r="B4613" s="1" t="s">
        <v>26</v>
      </c>
      <c r="C4613" s="1" t="s">
        <v>17</v>
      </c>
      <c r="D4613" s="1" t="s">
        <v>20</v>
      </c>
      <c r="E4613" s="12">
        <f>125*F4613</f>
        <v>62.5</v>
      </c>
      <c r="F4613" s="12">
        <f>Systems!L182</f>
        <v>0.5</v>
      </c>
      <c r="G4613" s="1" t="s">
        <v>23</v>
      </c>
      <c r="H4613" s="1" t="s">
        <v>496</v>
      </c>
    </row>
    <row r="4614" spans="1:8">
      <c r="A4614" s="1" t="s">
        <v>2682</v>
      </c>
      <c r="B4614" s="1" t="s">
        <v>26</v>
      </c>
      <c r="C4614" s="1" t="s">
        <v>17</v>
      </c>
      <c r="D4614" s="1" t="s">
        <v>20</v>
      </c>
      <c r="E4614" s="12">
        <f>2000*F4614</f>
        <v>1000</v>
      </c>
      <c r="F4614" s="12">
        <f>Systems!L182</f>
        <v>0.5</v>
      </c>
      <c r="G4614" s="1" t="s">
        <v>23</v>
      </c>
      <c r="H4614" s="1" t="s">
        <v>496</v>
      </c>
    </row>
    <row r="4615" spans="1:8">
      <c r="A4615" s="248"/>
      <c r="B4615" s="248"/>
      <c r="C4615" s="248"/>
      <c r="D4615" s="248"/>
      <c r="E4615" s="250"/>
      <c r="F4615" s="250"/>
      <c r="G4615" s="248"/>
      <c r="H4615" s="248"/>
    </row>
    <row r="4616" spans="1:8">
      <c r="A4616" s="27" t="s">
        <v>5603</v>
      </c>
      <c r="B4616" s="1" t="s">
        <v>26</v>
      </c>
      <c r="C4616" s="1" t="s">
        <v>3033</v>
      </c>
      <c r="D4616" s="1" t="s">
        <v>19</v>
      </c>
      <c r="E4616" s="26">
        <f>4*F4616</f>
        <v>1.2192000000000001</v>
      </c>
      <c r="F4616" s="26">
        <f>Systems!D190</f>
        <v>0.30480000000000002</v>
      </c>
      <c r="G4616" s="1" t="s">
        <v>14</v>
      </c>
      <c r="H4616" s="1" t="s">
        <v>549</v>
      </c>
    </row>
    <row r="4617" spans="1:8">
      <c r="A4617" s="27" t="s">
        <v>1345</v>
      </c>
      <c r="B4617" s="1" t="s">
        <v>26</v>
      </c>
      <c r="C4617" s="1" t="s">
        <v>3033</v>
      </c>
      <c r="D4617" s="1" t="s">
        <v>19</v>
      </c>
      <c r="E4617" s="26">
        <f>9*F4617</f>
        <v>2.7432000000000003</v>
      </c>
      <c r="F4617" s="26">
        <f>Systems!D190</f>
        <v>0.30480000000000002</v>
      </c>
      <c r="G4617" s="1" t="s">
        <v>14</v>
      </c>
      <c r="H4617" s="1" t="s">
        <v>549</v>
      </c>
    </row>
    <row r="4618" spans="1:8">
      <c r="A4618" s="27" t="s">
        <v>1380</v>
      </c>
      <c r="B4618" s="1" t="s">
        <v>26</v>
      </c>
      <c r="C4618" s="1" t="s">
        <v>3033</v>
      </c>
      <c r="D4618" s="1" t="s">
        <v>19</v>
      </c>
      <c r="E4618" s="26">
        <f>12*F4618</f>
        <v>3.6576000000000004</v>
      </c>
      <c r="F4618" s="26">
        <f>Systems!D190</f>
        <v>0.30480000000000002</v>
      </c>
      <c r="G4618" s="1" t="s">
        <v>14</v>
      </c>
      <c r="H4618" s="1" t="s">
        <v>549</v>
      </c>
    </row>
    <row r="4619" spans="1:8">
      <c r="A4619" s="27" t="s">
        <v>5604</v>
      </c>
      <c r="B4619" s="1" t="s">
        <v>26</v>
      </c>
      <c r="C4619" s="1" t="s">
        <v>3033</v>
      </c>
      <c r="D4619" s="1" t="s">
        <v>19</v>
      </c>
      <c r="E4619" s="26">
        <f>8*F4619</f>
        <v>2.4384000000000001</v>
      </c>
      <c r="F4619" s="26">
        <f>Systems!D190</f>
        <v>0.30480000000000002</v>
      </c>
      <c r="G4619" s="1" t="s">
        <v>14</v>
      </c>
      <c r="H4619" s="1" t="s">
        <v>549</v>
      </c>
    </row>
    <row r="4620" spans="1:8">
      <c r="A4620" s="27" t="s">
        <v>1669</v>
      </c>
      <c r="B4620" s="1" t="s">
        <v>26</v>
      </c>
      <c r="C4620" s="1" t="s">
        <v>3033</v>
      </c>
      <c r="D4620" s="1" t="s">
        <v>19</v>
      </c>
      <c r="E4620" s="26">
        <f>12*F4620</f>
        <v>3.6576000000000004</v>
      </c>
      <c r="F4620" s="26">
        <f>Systems!D190</f>
        <v>0.30480000000000002</v>
      </c>
      <c r="G4620" s="1" t="s">
        <v>14</v>
      </c>
      <c r="H4620" s="1" t="s">
        <v>549</v>
      </c>
    </row>
    <row r="4621" spans="1:8">
      <c r="A4621" t="s">
        <v>5605</v>
      </c>
      <c r="B4621" s="1" t="s">
        <v>26</v>
      </c>
      <c r="C4621" s="1" t="s">
        <v>3033</v>
      </c>
      <c r="D4621" s="1" t="s">
        <v>19</v>
      </c>
      <c r="E4621" s="11">
        <f>F4621/36</f>
        <v>8.4666666666666675E-3</v>
      </c>
      <c r="F4621" s="11">
        <f>Systems!D190</f>
        <v>0.30480000000000002</v>
      </c>
      <c r="G4621" s="1" t="s">
        <v>14</v>
      </c>
      <c r="H4621" s="1" t="s">
        <v>549</v>
      </c>
    </row>
    <row r="4622" spans="1:8">
      <c r="A4622" s="27" t="s">
        <v>1704</v>
      </c>
      <c r="B4622" s="1" t="s">
        <v>26</v>
      </c>
      <c r="C4622" s="1" t="s">
        <v>3033</v>
      </c>
      <c r="D4622" s="1" t="s">
        <v>19</v>
      </c>
      <c r="E4622" s="26">
        <f>16*F4622</f>
        <v>4.8768000000000002</v>
      </c>
      <c r="F4622" s="26">
        <f>Systems!D190</f>
        <v>0.30480000000000002</v>
      </c>
      <c r="G4622" s="1" t="s">
        <v>14</v>
      </c>
      <c r="H4622" s="1" t="s">
        <v>549</v>
      </c>
    </row>
    <row r="4623" spans="1:8">
      <c r="A4623" s="27" t="s">
        <v>1705</v>
      </c>
      <c r="B4623" s="1" t="s">
        <v>26</v>
      </c>
      <c r="C4623" s="1" t="s">
        <v>3033</v>
      </c>
      <c r="D4623" s="1" t="s">
        <v>19</v>
      </c>
      <c r="E4623" s="26">
        <f>16*F4623</f>
        <v>4.8768000000000002</v>
      </c>
      <c r="F4623" s="26">
        <f>Systems!D190</f>
        <v>0.30480000000000002</v>
      </c>
      <c r="G4623" s="1" t="s">
        <v>14</v>
      </c>
      <c r="H4623" s="1" t="s">
        <v>549</v>
      </c>
    </row>
    <row r="4624" spans="1:8">
      <c r="A4624" s="27" t="s">
        <v>5606</v>
      </c>
      <c r="B4624" s="1" t="s">
        <v>26</v>
      </c>
      <c r="C4624" s="1" t="s">
        <v>3033</v>
      </c>
      <c r="D4624" s="1" t="s">
        <v>19</v>
      </c>
      <c r="E4624" s="26">
        <f>16*F4624</f>
        <v>4.8768000000000002</v>
      </c>
      <c r="F4624" s="26">
        <f>Systems!D190</f>
        <v>0.30480000000000002</v>
      </c>
      <c r="G4624" s="1" t="s">
        <v>14</v>
      </c>
      <c r="H4624" s="1" t="s">
        <v>549</v>
      </c>
    </row>
    <row r="4625" spans="1:8">
      <c r="A4625" s="27" t="s">
        <v>1765</v>
      </c>
      <c r="B4625" s="1" t="s">
        <v>26</v>
      </c>
      <c r="C4625" s="1" t="s">
        <v>3033</v>
      </c>
      <c r="D4625" s="1" t="s">
        <v>19</v>
      </c>
      <c r="E4625" s="26">
        <f>16*F4625</f>
        <v>4.8768000000000002</v>
      </c>
      <c r="F4625" s="26">
        <f>Systems!D190</f>
        <v>0.30480000000000002</v>
      </c>
      <c r="G4625" s="1" t="s">
        <v>14</v>
      </c>
      <c r="H4625" s="1" t="s">
        <v>549</v>
      </c>
    </row>
    <row r="4626" spans="1:8">
      <c r="A4626" s="1" t="s">
        <v>1940</v>
      </c>
      <c r="B4626" s="1" t="s">
        <v>26</v>
      </c>
      <c r="C4626" s="1" t="s">
        <v>3033</v>
      </c>
      <c r="D4626" s="1" t="s">
        <v>19</v>
      </c>
      <c r="E4626" s="12">
        <f>81*F4626</f>
        <v>2.0574000000000003</v>
      </c>
      <c r="F4626" s="12">
        <f>Systems!D6/12</f>
        <v>2.5400000000000002E-2</v>
      </c>
      <c r="G4626" s="1" t="s">
        <v>14</v>
      </c>
      <c r="H4626" s="1" t="s">
        <v>549</v>
      </c>
    </row>
    <row r="4627" spans="1:8">
      <c r="A4627" s="27" t="s">
        <v>2079</v>
      </c>
      <c r="B4627" s="1" t="s">
        <v>26</v>
      </c>
      <c r="C4627" s="1" t="s">
        <v>3033</v>
      </c>
      <c r="D4627" s="1" t="s">
        <v>19</v>
      </c>
      <c r="E4627" s="26">
        <f>27000*F4627</f>
        <v>8229.6</v>
      </c>
      <c r="F4627" s="26">
        <f>Systems!D190</f>
        <v>0.30480000000000002</v>
      </c>
      <c r="G4627" s="1" t="s">
        <v>14</v>
      </c>
      <c r="H4627" s="1" t="s">
        <v>549</v>
      </c>
    </row>
    <row r="4628" spans="1:8">
      <c r="A4628" t="s">
        <v>2096</v>
      </c>
      <c r="B4628" s="1" t="s">
        <v>26</v>
      </c>
      <c r="C4628" s="1" t="s">
        <v>3033</v>
      </c>
      <c r="D4628" s="1" t="s">
        <v>19</v>
      </c>
      <c r="E4628" s="11">
        <f>F4628/4</f>
        <v>7.6200000000000004E-2</v>
      </c>
      <c r="F4628" s="11">
        <f>Systems!D190</f>
        <v>0.30480000000000002</v>
      </c>
      <c r="G4628" s="1" t="s">
        <v>14</v>
      </c>
      <c r="H4628" s="1" t="s">
        <v>549</v>
      </c>
    </row>
    <row r="4629" spans="1:8">
      <c r="A4629" t="s">
        <v>2098</v>
      </c>
      <c r="B4629" s="1" t="s">
        <v>26</v>
      </c>
      <c r="C4629" s="1" t="s">
        <v>3033</v>
      </c>
      <c r="D4629" s="1" t="s">
        <v>19</v>
      </c>
      <c r="E4629" s="11">
        <f>F4629/4</f>
        <v>7.6200000000000004E-2</v>
      </c>
      <c r="F4629" s="11">
        <f>Systems!D190</f>
        <v>0.30480000000000002</v>
      </c>
      <c r="G4629" s="1" t="s">
        <v>14</v>
      </c>
      <c r="H4629" s="1" t="s">
        <v>549</v>
      </c>
    </row>
    <row r="4630" spans="1:8">
      <c r="A4630" s="27" t="s">
        <v>2114</v>
      </c>
      <c r="B4630" s="1" t="s">
        <v>26</v>
      </c>
      <c r="C4630" s="1" t="s">
        <v>3033</v>
      </c>
      <c r="D4630" s="1" t="s">
        <v>19</v>
      </c>
      <c r="E4630" s="26">
        <f>27000*F4630</f>
        <v>8229.6</v>
      </c>
      <c r="F4630" s="26">
        <f>Systems!D190</f>
        <v>0.30480000000000002</v>
      </c>
      <c r="G4630" s="1" t="s">
        <v>14</v>
      </c>
      <c r="H4630" s="1" t="s">
        <v>549</v>
      </c>
    </row>
    <row r="4631" spans="1:8">
      <c r="A4631" s="27" t="s">
        <v>2118</v>
      </c>
      <c r="B4631" s="1" t="s">
        <v>26</v>
      </c>
      <c r="C4631" s="1" t="s">
        <v>3033</v>
      </c>
      <c r="D4631" s="1" t="s">
        <v>19</v>
      </c>
      <c r="E4631" s="26">
        <f>27*F4631</f>
        <v>8.2295999999999996</v>
      </c>
      <c r="F4631" s="26">
        <f>Systems!D190</f>
        <v>0.30480000000000002</v>
      </c>
      <c r="G4631" s="1" t="s">
        <v>14</v>
      </c>
      <c r="H4631" s="1" t="s">
        <v>549</v>
      </c>
    </row>
    <row r="4632" spans="1:8">
      <c r="A4632" s="27" t="s">
        <v>2129</v>
      </c>
      <c r="B4632" s="1" t="s">
        <v>26</v>
      </c>
      <c r="C4632" s="1" t="s">
        <v>3033</v>
      </c>
      <c r="D4632" s="1" t="s">
        <v>19</v>
      </c>
      <c r="E4632" s="26">
        <f>27*F4632</f>
        <v>8.2295999999999996</v>
      </c>
      <c r="F4632" s="26">
        <f>Systems!D190</f>
        <v>0.30480000000000002</v>
      </c>
      <c r="G4632" s="1" t="s">
        <v>14</v>
      </c>
      <c r="H4632" s="1" t="s">
        <v>549</v>
      </c>
    </row>
    <row r="4633" spans="1:8">
      <c r="A4633" t="s">
        <v>1023</v>
      </c>
      <c r="B4633" s="1" t="s">
        <v>26</v>
      </c>
      <c r="C4633" s="1" t="s">
        <v>3033</v>
      </c>
      <c r="D4633" s="1" t="s">
        <v>19</v>
      </c>
      <c r="E4633" s="26">
        <f>F4633</f>
        <v>0.30480000000000002</v>
      </c>
      <c r="F4633" s="26">
        <f>Systems!D190</f>
        <v>0.30480000000000002</v>
      </c>
      <c r="G4633" s="1" t="s">
        <v>14</v>
      </c>
      <c r="H4633" s="1" t="s">
        <v>549</v>
      </c>
    </row>
    <row r="4634" spans="1:8">
      <c r="A4634" s="27" t="s">
        <v>2222</v>
      </c>
      <c r="B4634" s="1" t="s">
        <v>26</v>
      </c>
      <c r="C4634" s="1" t="s">
        <v>3033</v>
      </c>
      <c r="D4634" s="1" t="s">
        <v>19</v>
      </c>
      <c r="E4634" s="26">
        <f>F4634</f>
        <v>0.30480000000000002</v>
      </c>
      <c r="F4634" s="26">
        <f>Systems!D190</f>
        <v>0.30480000000000002</v>
      </c>
      <c r="G4634" s="1" t="s">
        <v>14</v>
      </c>
      <c r="H4634" s="1" t="s">
        <v>549</v>
      </c>
    </row>
    <row r="4635" spans="1:8">
      <c r="A4635" s="1" t="s">
        <v>2382</v>
      </c>
      <c r="B4635" s="1" t="s">
        <v>26</v>
      </c>
      <c r="C4635" s="1" t="s">
        <v>3033</v>
      </c>
      <c r="D4635" s="1" t="s">
        <v>19</v>
      </c>
      <c r="E4635" s="12">
        <f>F4635</f>
        <v>6.1722000000000001</v>
      </c>
      <c r="F4635" s="12">
        <f>81*Systems!D6/4</f>
        <v>6.1722000000000001</v>
      </c>
      <c r="G4635" s="1" t="s">
        <v>14</v>
      </c>
      <c r="H4635" s="1" t="s">
        <v>549</v>
      </c>
    </row>
    <row r="4636" spans="1:8">
      <c r="A4636" s="27" t="s">
        <v>2664</v>
      </c>
      <c r="B4636" s="1" t="s">
        <v>26</v>
      </c>
      <c r="C4636" s="1" t="s">
        <v>3033</v>
      </c>
      <c r="D4636" s="1" t="s">
        <v>19</v>
      </c>
      <c r="E4636" s="26">
        <f>27000*F4636</f>
        <v>8229.6</v>
      </c>
      <c r="F4636" s="26">
        <f>Systems!D190</f>
        <v>0.30480000000000002</v>
      </c>
      <c r="G4636" s="1" t="s">
        <v>14</v>
      </c>
      <c r="H4636" s="1" t="s">
        <v>549</v>
      </c>
    </row>
    <row r="4637" spans="1:8">
      <c r="A4637" s="27" t="s">
        <v>2704</v>
      </c>
      <c r="B4637" s="1" t="s">
        <v>26</v>
      </c>
      <c r="C4637" s="1" t="s">
        <v>3033</v>
      </c>
      <c r="D4637" s="1" t="s">
        <v>19</v>
      </c>
      <c r="E4637" s="26">
        <f>3*F4637</f>
        <v>0.9144000000000001</v>
      </c>
      <c r="F4637" s="26">
        <f>Systems!D190</f>
        <v>0.30480000000000002</v>
      </c>
      <c r="G4637" s="1" t="s">
        <v>14</v>
      </c>
      <c r="H4637" s="1" t="s">
        <v>549</v>
      </c>
    </row>
    <row r="4638" spans="1:8">
      <c r="A4638" s="27" t="s">
        <v>2705</v>
      </c>
      <c r="B4638" s="1" t="s">
        <v>26</v>
      </c>
      <c r="C4638" s="1" t="s">
        <v>3033</v>
      </c>
      <c r="D4638" s="1" t="s">
        <v>19</v>
      </c>
      <c r="E4638" s="26">
        <f>3*F4638</f>
        <v>0.9144000000000001</v>
      </c>
      <c r="F4638" s="26">
        <f>Systems!D190</f>
        <v>0.30480000000000002</v>
      </c>
      <c r="G4638" s="1" t="s">
        <v>14</v>
      </c>
      <c r="H4638" s="1" t="s">
        <v>549</v>
      </c>
    </row>
    <row r="4639" spans="1:8">
      <c r="A4639" s="27" t="s">
        <v>2730</v>
      </c>
      <c r="B4639" s="1" t="s">
        <v>26</v>
      </c>
      <c r="C4639" s="1" t="s">
        <v>3033</v>
      </c>
      <c r="D4639" s="1" t="s">
        <v>19</v>
      </c>
      <c r="E4639" s="26">
        <f>27000*F4639</f>
        <v>8229.6</v>
      </c>
      <c r="F4639" s="26">
        <f>Systems!D190</f>
        <v>0.30480000000000002</v>
      </c>
      <c r="G4639" s="1" t="s">
        <v>14</v>
      </c>
      <c r="H4639" s="1" t="s">
        <v>549</v>
      </c>
    </row>
    <row r="4640" spans="1:8">
      <c r="A4640" s="27" t="s">
        <v>5607</v>
      </c>
      <c r="B4640" s="1" t="s">
        <v>26</v>
      </c>
      <c r="C4640" s="1" t="s">
        <v>3033</v>
      </c>
      <c r="D4640" s="1" t="s">
        <v>19</v>
      </c>
      <c r="E4640" s="26">
        <f>4*F4640</f>
        <v>1.2192000000000001</v>
      </c>
      <c r="F4640" s="26">
        <f>Systems!D190</f>
        <v>0.30480000000000002</v>
      </c>
      <c r="G4640" s="1" t="s">
        <v>14</v>
      </c>
      <c r="H4640" s="1" t="s">
        <v>549</v>
      </c>
    </row>
    <row r="4641" spans="1:8">
      <c r="A4641" s="27" t="s">
        <v>2733</v>
      </c>
      <c r="B4641" s="1" t="s">
        <v>26</v>
      </c>
      <c r="C4641" s="1" t="s">
        <v>3033</v>
      </c>
      <c r="D4641" s="1" t="s">
        <v>19</v>
      </c>
      <c r="E4641" s="26">
        <f>4*F4641</f>
        <v>1.2192000000000001</v>
      </c>
      <c r="F4641" s="26">
        <f>Systems!D190</f>
        <v>0.30480000000000002</v>
      </c>
      <c r="G4641" s="1" t="s">
        <v>14</v>
      </c>
      <c r="H4641" s="1" t="s">
        <v>549</v>
      </c>
    </row>
    <row r="4642" spans="1:8">
      <c r="A4642" s="27" t="s">
        <v>2761</v>
      </c>
      <c r="B4642" s="1" t="s">
        <v>26</v>
      </c>
      <c r="C4642" s="1" t="s">
        <v>3033</v>
      </c>
      <c r="D4642" s="1" t="s">
        <v>19</v>
      </c>
      <c r="E4642" s="26">
        <f>8*F4642</f>
        <v>2.4384000000000001</v>
      </c>
      <c r="F4642" s="26">
        <f>Systems!D190</f>
        <v>0.30480000000000002</v>
      </c>
      <c r="G4642" s="1" t="s">
        <v>14</v>
      </c>
      <c r="H4642" s="1" t="s">
        <v>549</v>
      </c>
    </row>
    <row r="4643" spans="1:8" ht="16.5">
      <c r="A4643" s="1" t="s">
        <v>5608</v>
      </c>
      <c r="B4643" s="1" t="s">
        <v>26</v>
      </c>
      <c r="C4643" s="1" t="s">
        <v>3034</v>
      </c>
      <c r="D4643" s="1" t="s">
        <v>38</v>
      </c>
      <c r="E4643" s="12">
        <f>25600*F4643</f>
        <v>36530961.776640005</v>
      </c>
      <c r="F4643" s="12">
        <f>Systems!H190</f>
        <v>1426.9906944000002</v>
      </c>
      <c r="G4643" s="1" t="s">
        <v>39</v>
      </c>
      <c r="H4643" s="1" t="s">
        <v>549</v>
      </c>
    </row>
    <row r="4644" spans="1:8" ht="16.5">
      <c r="A4644" s="1" t="s">
        <v>5609</v>
      </c>
      <c r="B4644" s="1" t="s">
        <v>26</v>
      </c>
      <c r="C4644" s="1" t="s">
        <v>3034</v>
      </c>
      <c r="D4644" s="1" t="s">
        <v>38</v>
      </c>
      <c r="E4644" s="12">
        <f>4*F4644</f>
        <v>5707.9627776000007</v>
      </c>
      <c r="F4644" s="12">
        <f>Systems!H190</f>
        <v>1426.9906944000002</v>
      </c>
      <c r="G4644" s="1" t="s">
        <v>39</v>
      </c>
      <c r="H4644" s="1" t="s">
        <v>549</v>
      </c>
    </row>
    <row r="4645" spans="1:8" ht="16.5">
      <c r="A4645" s="1" t="s">
        <v>5610</v>
      </c>
      <c r="B4645" s="1" t="s">
        <v>26</v>
      </c>
      <c r="C4645" s="1" t="s">
        <v>3034</v>
      </c>
      <c r="D4645" s="1" t="s">
        <v>38</v>
      </c>
      <c r="E4645" s="12">
        <f>F4645</f>
        <v>856.1944166400001</v>
      </c>
      <c r="F4645" s="12">
        <f>Systems!H191</f>
        <v>856.1944166400001</v>
      </c>
      <c r="G4645" s="1" t="s">
        <v>39</v>
      </c>
      <c r="H4645" s="1" t="s">
        <v>549</v>
      </c>
    </row>
    <row r="4646" spans="1:8" ht="16.5">
      <c r="A4646" s="1" t="s">
        <v>5611</v>
      </c>
      <c r="B4646" s="1" t="s">
        <v>26</v>
      </c>
      <c r="C4646" s="1" t="s">
        <v>3034</v>
      </c>
      <c r="D4646" s="1" t="s">
        <v>38</v>
      </c>
      <c r="E4646" s="12">
        <f>F4646</f>
        <v>1426.9906944000002</v>
      </c>
      <c r="F4646" s="12">
        <f>Systems!H190</f>
        <v>1426.9906944000002</v>
      </c>
      <c r="G4646" s="1" t="s">
        <v>39</v>
      </c>
      <c r="H4646" s="1" t="s">
        <v>549</v>
      </c>
    </row>
    <row r="4647" spans="1:8" ht="16.5">
      <c r="A4647" s="1" t="s">
        <v>5612</v>
      </c>
      <c r="B4647" s="1" t="s">
        <v>26</v>
      </c>
      <c r="C4647" s="1" t="s">
        <v>3034</v>
      </c>
      <c r="D4647" s="1" t="s">
        <v>38</v>
      </c>
      <c r="E4647" s="12">
        <f>104*F4647</f>
        <v>89044.219330560009</v>
      </c>
      <c r="F4647" s="12">
        <f>Systems!H191</f>
        <v>856.1944166400001</v>
      </c>
      <c r="G4647" s="1" t="s">
        <v>39</v>
      </c>
      <c r="H4647" s="1" t="s">
        <v>549</v>
      </c>
    </row>
    <row r="4648" spans="1:8" ht="16.5">
      <c r="A4648" s="1" t="s">
        <v>5613</v>
      </c>
      <c r="B4648" s="1" t="s">
        <v>26</v>
      </c>
      <c r="C4648" s="1" t="s">
        <v>3034</v>
      </c>
      <c r="D4648" s="1" t="s">
        <v>38</v>
      </c>
      <c r="E4648" s="12">
        <f>256*F4648</f>
        <v>365309.61776640004</v>
      </c>
      <c r="F4648" s="12">
        <f>Systems!H190</f>
        <v>1426.9906944000002</v>
      </c>
      <c r="G4648" s="1" t="s">
        <v>39</v>
      </c>
      <c r="H4648" s="1" t="s">
        <v>549</v>
      </c>
    </row>
    <row r="4649" spans="1:8" ht="16.5">
      <c r="A4649" s="1" t="s">
        <v>5614</v>
      </c>
      <c r="B4649" s="1" t="s">
        <v>26</v>
      </c>
      <c r="C4649" s="1" t="s">
        <v>3034</v>
      </c>
      <c r="D4649" s="1" t="s">
        <v>38</v>
      </c>
      <c r="E4649" s="12">
        <f>256*F4649</f>
        <v>365309.61776640004</v>
      </c>
      <c r="F4649" s="12">
        <f>Systems!H190</f>
        <v>1426.9906944000002</v>
      </c>
      <c r="G4649" s="1" t="s">
        <v>39</v>
      </c>
      <c r="H4649" s="1" t="s">
        <v>549</v>
      </c>
    </row>
    <row r="4650" spans="1:8" ht="16.5">
      <c r="A4650" s="1" t="s">
        <v>5615</v>
      </c>
      <c r="B4650" s="1" t="s">
        <v>26</v>
      </c>
      <c r="C4650" s="1" t="s">
        <v>3034</v>
      </c>
      <c r="D4650" s="1" t="s">
        <v>38</v>
      </c>
      <c r="E4650" s="12">
        <f>25600*F4650</f>
        <v>36530961.776640005</v>
      </c>
      <c r="F4650" s="12">
        <f>Systems!H190</f>
        <v>1426.9906944000002</v>
      </c>
      <c r="G4650" s="1" t="s">
        <v>39</v>
      </c>
      <c r="H4650" s="1" t="s">
        <v>549</v>
      </c>
    </row>
    <row r="4651" spans="1:8" ht="16.5">
      <c r="A4651" s="1" t="s">
        <v>5616</v>
      </c>
      <c r="B4651" s="1" t="s">
        <v>26</v>
      </c>
      <c r="C4651" s="1" t="s">
        <v>3034</v>
      </c>
      <c r="D4651" s="1" t="s">
        <v>38</v>
      </c>
      <c r="E4651" s="12">
        <f>936*F4651</f>
        <v>801397.97397504013</v>
      </c>
      <c r="F4651" s="12">
        <f>Systems!H191</f>
        <v>856.1944166400001</v>
      </c>
      <c r="G4651" s="1" t="s">
        <v>39</v>
      </c>
      <c r="H4651" s="1" t="s">
        <v>549</v>
      </c>
    </row>
    <row r="4652" spans="1:8" ht="16.5">
      <c r="A4652" s="1" t="s">
        <v>5617</v>
      </c>
      <c r="B4652" s="1" t="s">
        <v>26</v>
      </c>
      <c r="C4652" s="1" t="s">
        <v>3034</v>
      </c>
      <c r="D4652" s="1" t="s">
        <v>38</v>
      </c>
      <c r="E4652" s="12">
        <f>936*F4652</f>
        <v>801397.97397504013</v>
      </c>
      <c r="F4652" s="12">
        <f>Systems!H191</f>
        <v>856.1944166400001</v>
      </c>
      <c r="G4652" s="1" t="s">
        <v>39</v>
      </c>
      <c r="H4652" s="1" t="s">
        <v>549</v>
      </c>
    </row>
    <row r="4653" spans="1:8" ht="16.5">
      <c r="A4653" s="1" t="s">
        <v>5618</v>
      </c>
      <c r="B4653" s="1" t="s">
        <v>26</v>
      </c>
      <c r="C4653" s="1" t="s">
        <v>3034</v>
      </c>
      <c r="D4653" s="1" t="s">
        <v>38</v>
      </c>
      <c r="E4653" s="12">
        <f>1248*F4653</f>
        <v>1068530.6319667201</v>
      </c>
      <c r="F4653" s="12">
        <f>Systems!H191</f>
        <v>856.1944166400001</v>
      </c>
      <c r="G4653" s="1" t="s">
        <v>39</v>
      </c>
      <c r="H4653" s="1" t="s">
        <v>549</v>
      </c>
    </row>
    <row r="4654" spans="1:8" ht="16.5">
      <c r="A4654" s="1" t="s">
        <v>5619</v>
      </c>
      <c r="B4654" s="1" t="s">
        <v>26</v>
      </c>
      <c r="C4654" s="1" t="s">
        <v>3034</v>
      </c>
      <c r="D4654" s="1" t="s">
        <v>38</v>
      </c>
      <c r="E4654" s="12">
        <f>1248*F4654</f>
        <v>1068530.6319667201</v>
      </c>
      <c r="F4654" s="12">
        <f>Systems!H191</f>
        <v>856.1944166400001</v>
      </c>
      <c r="G4654" s="1" t="s">
        <v>39</v>
      </c>
      <c r="H4654" s="1" t="s">
        <v>549</v>
      </c>
    </row>
    <row r="4655" spans="1:8" ht="16.5">
      <c r="A4655" s="1" t="s">
        <v>5620</v>
      </c>
      <c r="B4655" s="1" t="s">
        <v>26</v>
      </c>
      <c r="C4655" s="1" t="s">
        <v>3034</v>
      </c>
      <c r="D4655" s="1" t="s">
        <v>38</v>
      </c>
      <c r="E4655" s="12">
        <f>12800*F4655</f>
        <v>18265480.888320003</v>
      </c>
      <c r="F4655" s="12">
        <f>Systems!H190</f>
        <v>1426.9906944000002</v>
      </c>
      <c r="G4655" s="1" t="s">
        <v>39</v>
      </c>
      <c r="H4655" s="1" t="s">
        <v>549</v>
      </c>
    </row>
    <row r="4656" spans="1:8" ht="16.5">
      <c r="A4656" s="1" t="s">
        <v>5621</v>
      </c>
      <c r="B4656" s="1" t="s">
        <v>26</v>
      </c>
      <c r="C4656" s="1" t="s">
        <v>3034</v>
      </c>
      <c r="D4656" s="1" t="s">
        <v>38</v>
      </c>
      <c r="E4656" s="12">
        <f>12800*F4656</f>
        <v>18265480.888320003</v>
      </c>
      <c r="F4656" s="12">
        <f>Systems!H190</f>
        <v>1426.9906944000002</v>
      </c>
      <c r="G4656" s="1" t="s">
        <v>39</v>
      </c>
      <c r="H4656" s="1" t="s">
        <v>549</v>
      </c>
    </row>
    <row r="4657" spans="1:8" ht="16.5">
      <c r="A4657" s="1" t="s">
        <v>5622</v>
      </c>
      <c r="B4657" s="1" t="s">
        <v>26</v>
      </c>
      <c r="C4657" s="1" t="s">
        <v>3034</v>
      </c>
      <c r="D4657" s="1" t="s">
        <v>38</v>
      </c>
      <c r="E4657" s="12">
        <f>64*F4657</f>
        <v>91327.404441600011</v>
      </c>
      <c r="F4657" s="12">
        <f>Systems!H190</f>
        <v>1426.9906944000002</v>
      </c>
      <c r="G4657" s="1" t="s">
        <v>39</v>
      </c>
      <c r="H4657" s="1" t="s">
        <v>549</v>
      </c>
    </row>
    <row r="4658" spans="1:8" ht="16.5">
      <c r="A4658" s="1" t="s">
        <v>5623</v>
      </c>
      <c r="B4658" s="1" t="s">
        <v>26</v>
      </c>
      <c r="C4658" s="1" t="s">
        <v>3034</v>
      </c>
      <c r="D4658" s="1" t="s">
        <v>38</v>
      </c>
      <c r="E4658" s="12">
        <f>64*F4658</f>
        <v>91327.404441600011</v>
      </c>
      <c r="F4658" s="12">
        <f>Systems!H190</f>
        <v>1426.9906944000002</v>
      </c>
      <c r="G4658" s="1" t="s">
        <v>39</v>
      </c>
      <c r="H4658" s="1" t="s">
        <v>549</v>
      </c>
    </row>
    <row r="4659" spans="1:8" ht="16.5">
      <c r="A4659" s="1" t="s">
        <v>2481</v>
      </c>
      <c r="B4659" s="1" t="s">
        <v>26</v>
      </c>
      <c r="C4659" s="1" t="s">
        <v>3034</v>
      </c>
      <c r="D4659" s="1" t="s">
        <v>38</v>
      </c>
      <c r="E4659" s="12">
        <f>78*F4659</f>
        <v>66783.164497920006</v>
      </c>
      <c r="F4659" s="12">
        <f>Systems!H191</f>
        <v>856.1944166400001</v>
      </c>
      <c r="G4659" s="1" t="s">
        <v>39</v>
      </c>
      <c r="H4659" s="1" t="s">
        <v>549</v>
      </c>
    </row>
    <row r="4660" spans="1:8" ht="16.5">
      <c r="A4660" s="1" t="s">
        <v>2498</v>
      </c>
      <c r="B4660" s="1" t="s">
        <v>26</v>
      </c>
      <c r="C4660" s="1" t="s">
        <v>3034</v>
      </c>
      <c r="D4660" s="1" t="s">
        <v>38</v>
      </c>
      <c r="E4660" s="12">
        <f>26*F4660</f>
        <v>22261.054832640002</v>
      </c>
      <c r="F4660" s="12">
        <f>Systems!H191</f>
        <v>856.1944166400001</v>
      </c>
      <c r="G4660" s="1" t="s">
        <v>39</v>
      </c>
      <c r="H4660" s="1" t="s">
        <v>549</v>
      </c>
    </row>
    <row r="4661" spans="1:8" ht="16.5">
      <c r="A4661" s="1" t="s">
        <v>2559</v>
      </c>
      <c r="B4661" s="1" t="s">
        <v>26</v>
      </c>
      <c r="C4661" s="1" t="s">
        <v>3034</v>
      </c>
      <c r="D4661" s="1" t="s">
        <v>38</v>
      </c>
      <c r="E4661" s="12">
        <f>3240*F4661</f>
        <v>2709.0526464000009</v>
      </c>
      <c r="F4661" s="12">
        <f>POWER(3*Systems!D6,2)</f>
        <v>0.83612736000000021</v>
      </c>
      <c r="G4661" s="1" t="s">
        <v>39</v>
      </c>
      <c r="H4661" s="1" t="s">
        <v>549</v>
      </c>
    </row>
    <row r="4662" spans="1:8" ht="16.5">
      <c r="A4662" s="1" t="s">
        <v>2597</v>
      </c>
      <c r="B4662" s="1" t="s">
        <v>26</v>
      </c>
      <c r="C4662" s="1" t="s">
        <v>3034</v>
      </c>
      <c r="D4662" s="1" t="s">
        <v>38</v>
      </c>
      <c r="E4662" s="12">
        <f>936*F4662</f>
        <v>801397.97397504013</v>
      </c>
      <c r="F4662" s="12">
        <f>Systems!H191</f>
        <v>856.1944166400001</v>
      </c>
      <c r="G4662" s="1" t="s">
        <v>39</v>
      </c>
      <c r="H4662" s="1" t="s">
        <v>549</v>
      </c>
    </row>
    <row r="4663" spans="1:8" ht="16.5">
      <c r="A4663" s="1" t="s">
        <v>2698</v>
      </c>
      <c r="B4663" s="1" t="s">
        <v>26</v>
      </c>
      <c r="C4663" s="1" t="s">
        <v>3034</v>
      </c>
      <c r="D4663" s="1" t="s">
        <v>38</v>
      </c>
      <c r="E4663" s="12">
        <f>1024*F4663</f>
        <v>1461238.4710656002</v>
      </c>
      <c r="F4663" s="12">
        <f>Systems!H190</f>
        <v>1426.9906944000002</v>
      </c>
      <c r="G4663" s="1" t="s">
        <v>39</v>
      </c>
      <c r="H4663" s="1" t="s">
        <v>549</v>
      </c>
    </row>
    <row r="4664" spans="1:8" ht="16.5">
      <c r="A4664" s="1" t="s">
        <v>5624</v>
      </c>
      <c r="B4664" s="1" t="s">
        <v>26</v>
      </c>
      <c r="C4664" s="1" t="s">
        <v>3034</v>
      </c>
      <c r="D4664" s="1" t="s">
        <v>38</v>
      </c>
      <c r="E4664" s="12">
        <f>1248*F4664</f>
        <v>1068530.6319667201</v>
      </c>
      <c r="F4664" s="12">
        <f>Systems!H191</f>
        <v>856.1944166400001</v>
      </c>
      <c r="G4664" s="1" t="s">
        <v>39</v>
      </c>
      <c r="H4664" s="1" t="s">
        <v>549</v>
      </c>
    </row>
    <row r="4665" spans="1:8" ht="16.5">
      <c r="A4665" s="1" t="s">
        <v>5625</v>
      </c>
      <c r="B4665" s="1" t="s">
        <v>26</v>
      </c>
      <c r="C4665" s="1" t="s">
        <v>3034</v>
      </c>
      <c r="D4665" s="1" t="s">
        <v>38</v>
      </c>
      <c r="E4665" s="12">
        <f>1248*F4665</f>
        <v>1068530.6319667201</v>
      </c>
      <c r="F4665" s="12">
        <f>Systems!H191</f>
        <v>856.1944166400001</v>
      </c>
      <c r="G4665" s="1" t="s">
        <v>39</v>
      </c>
      <c r="H4665" s="1" t="s">
        <v>549</v>
      </c>
    </row>
    <row r="4666" spans="1:8" ht="16.5">
      <c r="A4666" s="1" t="s">
        <v>2699</v>
      </c>
      <c r="B4666" s="1" t="s">
        <v>26</v>
      </c>
      <c r="C4666" s="1" t="s">
        <v>3034</v>
      </c>
      <c r="D4666" s="1" t="s">
        <v>38</v>
      </c>
      <c r="E4666" s="12">
        <f>1024*F4666</f>
        <v>1461238.4710656002</v>
      </c>
      <c r="F4666" s="12">
        <f>Systems!H190</f>
        <v>1426.9906944000002</v>
      </c>
      <c r="G4666" s="1" t="s">
        <v>39</v>
      </c>
      <c r="H4666" s="1" t="s">
        <v>549</v>
      </c>
    </row>
    <row r="4667" spans="1:8" ht="16.5">
      <c r="A4667" s="1" t="s">
        <v>2726</v>
      </c>
      <c r="B4667" s="1" t="s">
        <v>26</v>
      </c>
      <c r="C4667" s="1" t="s">
        <v>3034</v>
      </c>
      <c r="D4667" s="1" t="s">
        <v>38</v>
      </c>
      <c r="E4667" s="12">
        <f>16*F4667</f>
        <v>22831.851110400003</v>
      </c>
      <c r="F4667" s="12">
        <f>Systems!H190</f>
        <v>1426.9906944000002</v>
      </c>
      <c r="G4667" s="1" t="s">
        <v>39</v>
      </c>
      <c r="H4667" s="1" t="s">
        <v>549</v>
      </c>
    </row>
    <row r="4668" spans="1:8" ht="16.5">
      <c r="A4668" s="1" t="s">
        <v>2727</v>
      </c>
      <c r="B4668" s="1" t="s">
        <v>26</v>
      </c>
      <c r="C4668" s="1" t="s">
        <v>3034</v>
      </c>
      <c r="D4668" s="1" t="s">
        <v>38</v>
      </c>
      <c r="E4668" s="12">
        <f>16*F4668</f>
        <v>22831.851110400003</v>
      </c>
      <c r="F4668" s="12">
        <f>Systems!H190</f>
        <v>1426.9906944000002</v>
      </c>
      <c r="G4668" s="1" t="s">
        <v>39</v>
      </c>
      <c r="H4668" s="1" t="s">
        <v>549</v>
      </c>
    </row>
    <row r="4669" spans="1:8" ht="16.5">
      <c r="A4669" s="1" t="s">
        <v>5626</v>
      </c>
      <c r="B4669" s="1" t="s">
        <v>26</v>
      </c>
      <c r="C4669" s="1" t="s">
        <v>3034</v>
      </c>
      <c r="D4669" s="1" t="s">
        <v>38</v>
      </c>
      <c r="E4669" s="12">
        <f>1248*F4669</f>
        <v>1068530.6319667201</v>
      </c>
      <c r="F4669" s="12">
        <f>Systems!H191</f>
        <v>856.1944166400001</v>
      </c>
      <c r="G4669" s="1" t="s">
        <v>39</v>
      </c>
      <c r="H4669" s="1" t="s">
        <v>549</v>
      </c>
    </row>
    <row r="4670" spans="1:8" ht="16.5">
      <c r="A4670" s="1" t="s">
        <v>5627</v>
      </c>
      <c r="B4670" s="1" t="s">
        <v>26</v>
      </c>
      <c r="C4670" s="1" t="s">
        <v>2936</v>
      </c>
      <c r="D4670" s="1" t="s">
        <v>32</v>
      </c>
      <c r="E4670" s="12">
        <f>F4670</f>
        <v>2.8316846592000004E-2</v>
      </c>
      <c r="F4670" s="12">
        <f>Systems!T190</f>
        <v>2.8316846592000004E-2</v>
      </c>
      <c r="G4670" s="1" t="s">
        <v>33</v>
      </c>
      <c r="H4670" s="1" t="s">
        <v>549</v>
      </c>
    </row>
    <row r="4671" spans="1:8" ht="16.5">
      <c r="A4671" s="1" t="s">
        <v>1740</v>
      </c>
      <c r="B4671" s="1" t="s">
        <v>26</v>
      </c>
      <c r="C4671" s="1" t="s">
        <v>2935</v>
      </c>
      <c r="D4671" s="1" t="s">
        <v>32</v>
      </c>
      <c r="E4671" s="12">
        <f>F4671</f>
        <v>7.047814033376E-2</v>
      </c>
      <c r="F4671" s="12">
        <f>Systems!P191</f>
        <v>7.047814033376E-2</v>
      </c>
      <c r="G4671" s="1" t="s">
        <v>33</v>
      </c>
      <c r="H4671" s="1" t="s">
        <v>549</v>
      </c>
    </row>
    <row r="4672" spans="1:8">
      <c r="A4672" s="1" t="s">
        <v>2875</v>
      </c>
      <c r="B4672" s="1" t="s">
        <v>26</v>
      </c>
      <c r="C4672" s="1" t="s">
        <v>17</v>
      </c>
      <c r="D4672" s="1" t="s">
        <v>20</v>
      </c>
      <c r="E4672" s="12">
        <f>F4672</f>
        <v>0.45359233799999998</v>
      </c>
      <c r="F4672" s="12">
        <f>Systems!L190</f>
        <v>0.45359233799999998</v>
      </c>
      <c r="G4672" s="1" t="s">
        <v>23</v>
      </c>
      <c r="H4672" s="1" t="s">
        <v>549</v>
      </c>
    </row>
    <row r="4673" spans="1:8">
      <c r="A4673" s="248"/>
      <c r="B4673" s="248"/>
      <c r="C4673" s="248"/>
      <c r="D4673" s="248"/>
      <c r="E4673" s="250"/>
      <c r="F4673" s="250"/>
      <c r="G4673" s="248"/>
      <c r="H4673" s="248"/>
    </row>
    <row r="4674" spans="1:8">
      <c r="A4674" s="1" t="s">
        <v>1222</v>
      </c>
      <c r="B4674" s="1" t="s">
        <v>26</v>
      </c>
      <c r="C4674" s="1" t="s">
        <v>3033</v>
      </c>
      <c r="D4674" s="1" t="s">
        <v>19</v>
      </c>
      <c r="E4674" s="12">
        <f>9*F4674/4</f>
        <v>0.71099999999999997</v>
      </c>
      <c r="F4674" s="12">
        <f>Systems!D183</f>
        <v>0.316</v>
      </c>
      <c r="G4674" s="1" t="s">
        <v>14</v>
      </c>
      <c r="H4674" s="1" t="s">
        <v>440</v>
      </c>
    </row>
    <row r="4675" spans="1:8">
      <c r="A4675" s="1" t="s">
        <v>1904</v>
      </c>
      <c r="B4675" s="1" t="s">
        <v>26</v>
      </c>
      <c r="C4675" s="1" t="s">
        <v>3033</v>
      </c>
      <c r="D4675" s="1" t="s">
        <v>19</v>
      </c>
      <c r="E4675" s="12">
        <f>6*F4675</f>
        <v>1.8959999999999999</v>
      </c>
      <c r="F4675" s="12">
        <f>Systems!D183</f>
        <v>0.316</v>
      </c>
      <c r="G4675" s="1" t="s">
        <v>14</v>
      </c>
      <c r="H4675" s="1" t="s">
        <v>440</v>
      </c>
    </row>
    <row r="4676" spans="1:8">
      <c r="A4676" s="1" t="s">
        <v>1967</v>
      </c>
      <c r="B4676" s="1" t="s">
        <v>26</v>
      </c>
      <c r="C4676" s="1" t="s">
        <v>3033</v>
      </c>
      <c r="D4676" s="1" t="s">
        <v>19</v>
      </c>
      <c r="E4676" s="12">
        <f>2*F4676/290</f>
        <v>2.179310344827586E-3</v>
      </c>
      <c r="F4676" s="12">
        <f>Systems!D183</f>
        <v>0.316</v>
      </c>
      <c r="G4676" s="1" t="s">
        <v>14</v>
      </c>
      <c r="H4676" s="1" t="s">
        <v>440</v>
      </c>
    </row>
    <row r="4677" spans="1:8">
      <c r="A4677" s="1" t="s">
        <v>2207</v>
      </c>
      <c r="B4677" s="1" t="s">
        <v>26</v>
      </c>
      <c r="C4677" s="1" t="s">
        <v>3033</v>
      </c>
      <c r="D4677" s="1" t="s">
        <v>19</v>
      </c>
      <c r="E4677" s="12">
        <f>10*F4677/87</f>
        <v>3.6321839080459772E-2</v>
      </c>
      <c r="F4677" s="12">
        <f>Systems!D183</f>
        <v>0.316</v>
      </c>
      <c r="G4677" s="1" t="s">
        <v>14</v>
      </c>
      <c r="H4677" s="1" t="s">
        <v>440</v>
      </c>
    </row>
    <row r="4678" spans="1:8">
      <c r="A4678" s="1" t="s">
        <v>844</v>
      </c>
      <c r="B4678" s="1" t="s">
        <v>26</v>
      </c>
      <c r="C4678" s="1" t="s">
        <v>3033</v>
      </c>
      <c r="D4678" s="1" t="s">
        <v>19</v>
      </c>
      <c r="E4678" s="12">
        <f>F4678</f>
        <v>0.316</v>
      </c>
      <c r="F4678" s="12">
        <f>Systems!D183</f>
        <v>0.316</v>
      </c>
      <c r="G4678" s="1" t="s">
        <v>14</v>
      </c>
      <c r="H4678" s="1" t="s">
        <v>440</v>
      </c>
    </row>
    <row r="4679" spans="1:8" ht="16.5">
      <c r="A4679" s="1" t="s">
        <v>1483</v>
      </c>
      <c r="B4679" s="1" t="s">
        <v>26</v>
      </c>
      <c r="C4679" s="1" t="s">
        <v>3034</v>
      </c>
      <c r="D4679" s="1" t="s">
        <v>38</v>
      </c>
      <c r="E4679" s="12">
        <f>35970*F4679</f>
        <v>3591.8203199999998</v>
      </c>
      <c r="F4679" s="12">
        <f>POWER(Systems!D183,2)</f>
        <v>9.9856E-2</v>
      </c>
      <c r="G4679" s="1" t="s">
        <v>39</v>
      </c>
      <c r="H4679" s="1" t="s">
        <v>440</v>
      </c>
    </row>
    <row r="4680" spans="1:8" ht="16.5">
      <c r="A4680" s="1" t="s">
        <v>1542</v>
      </c>
      <c r="B4680" s="1" t="s">
        <v>26</v>
      </c>
      <c r="C4680" s="1" t="s">
        <v>3034</v>
      </c>
      <c r="D4680" s="1" t="s">
        <v>38</v>
      </c>
      <c r="E4680" s="12">
        <f>7000*F4680</f>
        <v>698.99199999999996</v>
      </c>
      <c r="F4680" s="12">
        <f>POWER(Systems!D183,2)</f>
        <v>9.9856E-2</v>
      </c>
      <c r="G4680" s="1" t="s">
        <v>39</v>
      </c>
      <c r="H4680" s="1" t="s">
        <v>440</v>
      </c>
    </row>
    <row r="4681" spans="1:8" ht="16.5">
      <c r="A4681" s="1" t="s">
        <v>1565</v>
      </c>
      <c r="B4681" s="1" t="s">
        <v>26</v>
      </c>
      <c r="C4681" s="1" t="s">
        <v>3034</v>
      </c>
      <c r="D4681" s="1" t="s">
        <v>38</v>
      </c>
      <c r="E4681" s="12">
        <f>7000*F4681</f>
        <v>698.99199999999996</v>
      </c>
      <c r="F4681" s="12">
        <f>POWER(Systems!D183,2)</f>
        <v>9.9856E-2</v>
      </c>
      <c r="G4681" s="1" t="s">
        <v>39</v>
      </c>
      <c r="H4681" s="1" t="s">
        <v>440</v>
      </c>
    </row>
    <row r="4682" spans="1:8" ht="16.5">
      <c r="A4682" s="1" t="s">
        <v>1928</v>
      </c>
      <c r="B4682" s="1" t="s">
        <v>26</v>
      </c>
      <c r="C4682" s="1" t="s">
        <v>3034</v>
      </c>
      <c r="D4682" s="1" t="s">
        <v>38</v>
      </c>
      <c r="E4682" s="12">
        <f>57600*F4682</f>
        <v>5751.7056000000002</v>
      </c>
      <c r="F4682" s="12">
        <f>Systems!H183</f>
        <v>9.9856E-2</v>
      </c>
      <c r="G4682" s="1" t="s">
        <v>39</v>
      </c>
      <c r="H4682" s="1" t="s">
        <v>440</v>
      </c>
    </row>
    <row r="4683" spans="1:8" ht="16.5">
      <c r="A4683" s="1" t="s">
        <v>2101</v>
      </c>
      <c r="B4683" s="1" t="s">
        <v>26</v>
      </c>
      <c r="C4683" s="1" t="s">
        <v>3034</v>
      </c>
      <c r="D4683" s="1" t="s">
        <v>38</v>
      </c>
      <c r="E4683" s="12">
        <f>8000*F4683</f>
        <v>798.84799999999996</v>
      </c>
      <c r="F4683" s="12">
        <f>Systems!H183</f>
        <v>9.9856E-2</v>
      </c>
      <c r="G4683" s="1" t="s">
        <v>39</v>
      </c>
      <c r="H4683" s="1" t="s">
        <v>440</v>
      </c>
    </row>
    <row r="4684" spans="1:8" ht="16.5">
      <c r="A4684" s="1" t="s">
        <v>2366</v>
      </c>
      <c r="B4684" s="1" t="s">
        <v>26</v>
      </c>
      <c r="C4684" s="1" t="s">
        <v>3034</v>
      </c>
      <c r="D4684" s="1" t="s">
        <v>38</v>
      </c>
      <c r="E4684" s="12">
        <f>25000*F4684</f>
        <v>2496.4</v>
      </c>
      <c r="F4684" s="12">
        <f>Systems!H183</f>
        <v>9.9856E-2</v>
      </c>
      <c r="G4684" s="1" t="s">
        <v>39</v>
      </c>
      <c r="H4684" s="1" t="s">
        <v>440</v>
      </c>
    </row>
    <row r="4685" spans="1:8" ht="16.5">
      <c r="A4685" s="1" t="s">
        <v>5628</v>
      </c>
      <c r="B4685" s="1" t="s">
        <v>26</v>
      </c>
      <c r="C4685" s="1" t="s">
        <v>3034</v>
      </c>
      <c r="D4685" s="1" t="s">
        <v>38</v>
      </c>
      <c r="E4685" s="12">
        <f>36*F4685</f>
        <v>3.5948159999999998</v>
      </c>
      <c r="F4685" s="12">
        <f>POWER(Systems!D183,2)</f>
        <v>9.9856E-2</v>
      </c>
      <c r="G4685" s="1" t="s">
        <v>39</v>
      </c>
      <c r="H4685" s="1" t="s">
        <v>440</v>
      </c>
    </row>
    <row r="4686" spans="1:8" ht="16.5">
      <c r="A4686" s="1" t="s">
        <v>5629</v>
      </c>
      <c r="B4686" s="1" t="s">
        <v>26</v>
      </c>
      <c r="C4686" s="1" t="s">
        <v>3034</v>
      </c>
      <c r="D4686" s="1" t="s">
        <v>38</v>
      </c>
      <c r="E4686" s="12">
        <f>F4686</f>
        <v>9.9856E-2</v>
      </c>
      <c r="F4686" s="12">
        <f>POWER(Systems!D183,2)</f>
        <v>9.9856E-2</v>
      </c>
      <c r="G4686" s="1" t="s">
        <v>39</v>
      </c>
      <c r="H4686" s="1" t="s">
        <v>440</v>
      </c>
    </row>
    <row r="4687" spans="1:8" ht="16.5">
      <c r="A4687" s="1" t="s">
        <v>5077</v>
      </c>
      <c r="B4687" s="1" t="s">
        <v>26</v>
      </c>
      <c r="C4687" s="1" t="s">
        <v>2936</v>
      </c>
      <c r="D4687" s="1" t="s">
        <v>32</v>
      </c>
      <c r="E4687" s="12">
        <f>F4687</f>
        <v>3.1554496000000001E-2</v>
      </c>
      <c r="F4687" s="12">
        <f>Systems!T183</f>
        <v>3.1554496000000001E-2</v>
      </c>
      <c r="G4687" s="1" t="s">
        <v>33</v>
      </c>
      <c r="H4687" s="1" t="s">
        <v>440</v>
      </c>
    </row>
    <row r="4688" spans="1:8" ht="16.5">
      <c r="A4688" s="1" t="s">
        <v>2437</v>
      </c>
      <c r="B4688" s="1" t="s">
        <v>26</v>
      </c>
      <c r="C4688" s="1" t="s">
        <v>2935</v>
      </c>
      <c r="D4688" s="1" t="s">
        <v>32</v>
      </c>
      <c r="E4688" s="12">
        <f>F4688/4</f>
        <v>0.32</v>
      </c>
      <c r="F4688" s="12">
        <f>Systems!L183</f>
        <v>1.28</v>
      </c>
      <c r="G4688" s="1" t="s">
        <v>33</v>
      </c>
      <c r="H4688" s="1" t="s">
        <v>440</v>
      </c>
    </row>
    <row r="4689" spans="1:8">
      <c r="A4689" s="1" t="s">
        <v>1179</v>
      </c>
      <c r="B4689" s="1" t="s">
        <v>26</v>
      </c>
      <c r="C4689" s="1" t="s">
        <v>17</v>
      </c>
      <c r="D4689" s="1" t="s">
        <v>20</v>
      </c>
      <c r="E4689" s="12">
        <f>40*F4689</f>
        <v>51.2</v>
      </c>
      <c r="F4689" s="12">
        <f>Systems!L183</f>
        <v>1.28</v>
      </c>
      <c r="G4689" s="1" t="s">
        <v>23</v>
      </c>
      <c r="H4689" s="1" t="s">
        <v>440</v>
      </c>
    </row>
    <row r="4690" spans="1:8">
      <c r="A4690" s="1" t="s">
        <v>1548</v>
      </c>
      <c r="B4690" s="1" t="s">
        <v>26</v>
      </c>
      <c r="C4690" s="1" t="s">
        <v>17</v>
      </c>
      <c r="D4690" s="1" t="s">
        <v>20</v>
      </c>
      <c r="E4690" s="12">
        <f>F4690/400</f>
        <v>3.2000000000000002E-3</v>
      </c>
      <c r="F4690" s="12">
        <f>Systems!L183</f>
        <v>1.28</v>
      </c>
      <c r="G4690" s="1" t="s">
        <v>23</v>
      </c>
      <c r="H4690" s="1" t="s">
        <v>440</v>
      </c>
    </row>
    <row r="4691" spans="1:8">
      <c r="A4691" s="1" t="s">
        <v>1552</v>
      </c>
      <c r="B4691" s="1" t="s">
        <v>26</v>
      </c>
      <c r="C4691" s="1" t="s">
        <v>17</v>
      </c>
      <c r="D4691" s="1" t="s">
        <v>20</v>
      </c>
      <c r="E4691" s="12">
        <f>F4691/400</f>
        <v>3.2000000000000002E-3</v>
      </c>
      <c r="F4691" s="12">
        <f>Systems!L183</f>
        <v>1.28</v>
      </c>
      <c r="G4691" s="1" t="s">
        <v>23</v>
      </c>
      <c r="H4691" s="1" t="s">
        <v>440</v>
      </c>
    </row>
    <row r="4692" spans="1:8">
      <c r="A4692" s="1" t="s">
        <v>1014</v>
      </c>
      <c r="B4692" s="1" t="s">
        <v>26</v>
      </c>
      <c r="C4692" s="1" t="s">
        <v>17</v>
      </c>
      <c r="D4692" s="1" t="s">
        <v>20</v>
      </c>
      <c r="E4692" s="12">
        <f>F4692/4</f>
        <v>0.32</v>
      </c>
      <c r="F4692" s="12">
        <f>Systems!L183</f>
        <v>1.28</v>
      </c>
      <c r="G4692" s="1" t="s">
        <v>23</v>
      </c>
      <c r="H4692" s="1" t="s">
        <v>440</v>
      </c>
    </row>
    <row r="4693" spans="1:8">
      <c r="A4693" s="1" t="s">
        <v>834</v>
      </c>
      <c r="B4693" s="8" t="s">
        <v>26</v>
      </c>
      <c r="C4693" s="1" t="s">
        <v>17</v>
      </c>
      <c r="D4693" s="1" t="s">
        <v>20</v>
      </c>
      <c r="E4693" s="12">
        <f>F4693</f>
        <v>1.28</v>
      </c>
      <c r="F4693" s="12">
        <f>Systems!L183</f>
        <v>1.28</v>
      </c>
      <c r="G4693" s="1" t="s">
        <v>23</v>
      </c>
      <c r="H4693" s="1" t="s">
        <v>440</v>
      </c>
    </row>
    <row r="4694" spans="1:8">
      <c r="A4694" s="1" t="s">
        <v>2693</v>
      </c>
      <c r="B4694" s="1" t="s">
        <v>26</v>
      </c>
      <c r="C4694" s="1" t="s">
        <v>17</v>
      </c>
      <c r="D4694" s="1" t="s">
        <v>20</v>
      </c>
      <c r="E4694" s="12">
        <f>100*F4694</f>
        <v>128</v>
      </c>
      <c r="F4694" s="12">
        <f>Systems!L183</f>
        <v>1.28</v>
      </c>
      <c r="G4694" s="1" t="s">
        <v>23</v>
      </c>
      <c r="H4694" s="1" t="s">
        <v>440</v>
      </c>
    </row>
    <row r="4695" spans="1:8">
      <c r="A4695" s="3"/>
      <c r="B4695" s="3"/>
      <c r="C4695" s="3"/>
      <c r="D4695" s="3"/>
      <c r="E4695" s="13"/>
      <c r="F4695" s="13"/>
      <c r="G4695" s="3"/>
      <c r="H4695" s="3"/>
    </row>
  </sheetData>
  <sortState xmlns:xlrd2="http://schemas.microsoft.com/office/spreadsheetml/2017/richdata2" ref="A4476:L4573">
    <sortCondition ref="C4476:C4573"/>
  </sortState>
  <dataConsolidate/>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B9780-72F2-45A3-AEC7-2CDD8A8D5421}">
  <sheetPr codeName="Sheet15"/>
  <dimension ref="A1:H61"/>
  <sheetViews>
    <sheetView workbookViewId="0">
      <selection activeCell="A12" sqref="A12"/>
    </sheetView>
  </sheetViews>
  <sheetFormatPr defaultRowHeight="14.4"/>
  <cols>
    <col min="1" max="1" width="25.68359375" customWidth="1"/>
    <col min="2" max="2" width="16.62890625" customWidth="1"/>
    <col min="3" max="3" width="24.1015625" customWidth="1"/>
    <col min="4" max="4" width="19.3671875" customWidth="1"/>
    <col min="5" max="5" width="22.26171875" style="36" customWidth="1"/>
    <col min="6" max="6" width="19.62890625" customWidth="1"/>
    <col min="7" max="7" width="19" customWidth="1"/>
    <col min="8" max="8" width="9.7890625" customWidth="1"/>
  </cols>
  <sheetData>
    <row r="1" spans="1:8">
      <c r="A1" s="2" t="s">
        <v>11</v>
      </c>
      <c r="B1" s="2" t="s">
        <v>1</v>
      </c>
      <c r="C1" s="2" t="s">
        <v>2</v>
      </c>
      <c r="D1" s="2" t="s">
        <v>3</v>
      </c>
      <c r="E1" s="35" t="s">
        <v>4</v>
      </c>
      <c r="F1" s="128" t="s">
        <v>937</v>
      </c>
      <c r="G1" s="2" t="s">
        <v>0</v>
      </c>
      <c r="H1" s="2" t="s">
        <v>5</v>
      </c>
    </row>
    <row r="2" spans="1:8" ht="72">
      <c r="A2" s="1" t="s">
        <v>85</v>
      </c>
      <c r="B2" s="1" t="s">
        <v>86</v>
      </c>
      <c r="C2" s="1" t="s">
        <v>4249</v>
      </c>
      <c r="D2" s="1" t="s">
        <v>2842</v>
      </c>
      <c r="E2" s="259">
        <f>1*F2</f>
        <v>1</v>
      </c>
      <c r="F2" s="12">
        <f>1/SI!E14</f>
        <v>1</v>
      </c>
      <c r="G2" s="1" t="s">
        <v>1079</v>
      </c>
      <c r="H2" s="1" t="s">
        <v>562</v>
      </c>
    </row>
    <row r="3" spans="1:8">
      <c r="A3" s="1" t="s">
        <v>88</v>
      </c>
      <c r="B3" s="1" t="s">
        <v>89</v>
      </c>
      <c r="C3" s="1" t="s">
        <v>4250</v>
      </c>
      <c r="D3" s="1" t="s">
        <v>2842</v>
      </c>
      <c r="E3" s="259">
        <f>F3</f>
        <v>1</v>
      </c>
      <c r="F3" s="12">
        <f>'Derived Units'!E2/SI!E14</f>
        <v>1</v>
      </c>
      <c r="G3" s="1" t="s">
        <v>1079</v>
      </c>
      <c r="H3" s="1" t="s">
        <v>42</v>
      </c>
    </row>
    <row r="4" spans="1:8" ht="88.5" customHeight="1">
      <c r="A4" s="1" t="s">
        <v>150</v>
      </c>
      <c r="B4" s="1" t="s">
        <v>152</v>
      </c>
      <c r="C4" s="1" t="s">
        <v>4250</v>
      </c>
      <c r="D4" s="1" t="s">
        <v>2842</v>
      </c>
      <c r="E4" s="259">
        <f>'Physical Definitions'!E34*F4</f>
        <v>37000000000</v>
      </c>
      <c r="F4" s="12">
        <f>1/SI!E4</f>
        <v>1</v>
      </c>
      <c r="G4" s="1" t="s">
        <v>1079</v>
      </c>
      <c r="H4" s="1" t="s">
        <v>58</v>
      </c>
    </row>
    <row r="5" spans="1:8">
      <c r="A5" s="1" t="s">
        <v>6032</v>
      </c>
      <c r="B5" s="1" t="s">
        <v>1472</v>
      </c>
      <c r="C5" s="1" t="s">
        <v>155</v>
      </c>
      <c r="D5" s="1" t="s">
        <v>2842</v>
      </c>
      <c r="E5" s="259">
        <f>F5</f>
        <v>1</v>
      </c>
      <c r="F5" s="12">
        <f>1/SI!E4</f>
        <v>1</v>
      </c>
      <c r="G5" s="1" t="s">
        <v>1079</v>
      </c>
      <c r="H5" s="1" t="s">
        <v>58</v>
      </c>
    </row>
    <row r="6" spans="1:8">
      <c r="A6" s="1" t="s">
        <v>6032</v>
      </c>
      <c r="B6" s="1" t="s">
        <v>1472</v>
      </c>
      <c r="C6" s="1" t="s">
        <v>155</v>
      </c>
      <c r="D6" s="1" t="s">
        <v>2842</v>
      </c>
      <c r="E6" s="259">
        <f>F6</f>
        <v>1</v>
      </c>
      <c r="F6" s="12">
        <f>1/SI!E4</f>
        <v>1</v>
      </c>
      <c r="G6" s="1" t="s">
        <v>1079</v>
      </c>
      <c r="H6" s="1" t="s">
        <v>46</v>
      </c>
    </row>
    <row r="7" spans="1:8">
      <c r="A7" s="1" t="s">
        <v>524</v>
      </c>
      <c r="B7" s="1" t="s">
        <v>26</v>
      </c>
      <c r="C7" s="1" t="s">
        <v>4251</v>
      </c>
      <c r="D7" s="1" t="s">
        <v>2842</v>
      </c>
      <c r="E7" s="259">
        <f>F7</f>
        <v>2.7777777777777779E-13</v>
      </c>
      <c r="F7" s="12">
        <f>1/('Physical Definitions'!E5*1000000000*SI!E14)</f>
        <v>2.7777777777777779E-13</v>
      </c>
      <c r="G7" s="1" t="s">
        <v>1079</v>
      </c>
      <c r="H7" s="1" t="s">
        <v>1148</v>
      </c>
    </row>
    <row r="8" spans="1:8" ht="43.2">
      <c r="A8" s="1" t="s">
        <v>199</v>
      </c>
      <c r="B8" s="1" t="s">
        <v>26</v>
      </c>
      <c r="C8" s="1" t="s">
        <v>4252</v>
      </c>
      <c r="D8" s="1" t="s">
        <v>2842</v>
      </c>
      <c r="E8" s="259">
        <f>1*F8</f>
        <v>1</v>
      </c>
      <c r="F8" s="12">
        <f>1/SI!E4</f>
        <v>1</v>
      </c>
      <c r="G8" s="1" t="s">
        <v>1079</v>
      </c>
      <c r="H8" s="1" t="s">
        <v>562</v>
      </c>
    </row>
    <row r="9" spans="1:8">
      <c r="A9" s="1" t="s">
        <v>206</v>
      </c>
      <c r="B9" s="1" t="s">
        <v>209</v>
      </c>
      <c r="C9" s="1" t="s">
        <v>155</v>
      </c>
      <c r="D9" s="1" t="s">
        <v>2842</v>
      </c>
      <c r="E9" s="259">
        <f>1000000000000*F9</f>
        <v>1000000000000</v>
      </c>
      <c r="F9" s="12">
        <f>1/SI!E4</f>
        <v>1</v>
      </c>
      <c r="G9" s="1" t="s">
        <v>1079</v>
      </c>
      <c r="H9" s="1" t="s">
        <v>982</v>
      </c>
    </row>
    <row r="10" spans="1:8">
      <c r="A10" s="1" t="s">
        <v>236</v>
      </c>
      <c r="B10" s="1" t="s">
        <v>237</v>
      </c>
      <c r="C10" s="1" t="s">
        <v>155</v>
      </c>
      <c r="D10" s="1" t="s">
        <v>2842</v>
      </c>
      <c r="E10" s="259">
        <f>F10</f>
        <v>1</v>
      </c>
      <c r="F10" s="12">
        <f>1/SI!E4</f>
        <v>1</v>
      </c>
      <c r="G10" s="1" t="s">
        <v>1079</v>
      </c>
      <c r="H10" s="1" t="s">
        <v>42</v>
      </c>
    </row>
    <row r="11" spans="1:8">
      <c r="A11" s="1" t="s">
        <v>7465</v>
      </c>
      <c r="B11" s="1" t="s">
        <v>26</v>
      </c>
      <c r="C11" s="1" t="s">
        <v>4253</v>
      </c>
      <c r="D11" s="1" t="s">
        <v>2842</v>
      </c>
      <c r="E11" s="259">
        <f>13.32*F11</f>
        <v>13.32</v>
      </c>
      <c r="F11" s="12">
        <f>1/SI!E4</f>
        <v>1</v>
      </c>
      <c r="G11" s="1" t="s">
        <v>1079</v>
      </c>
      <c r="H11" s="1" t="s">
        <v>58</v>
      </c>
    </row>
    <row r="12" spans="1:8" ht="43.2">
      <c r="A12" s="1" t="s">
        <v>298</v>
      </c>
      <c r="B12" s="1" t="s">
        <v>26</v>
      </c>
      <c r="C12" s="1" t="s">
        <v>4254</v>
      </c>
      <c r="D12" s="1" t="s">
        <v>2842</v>
      </c>
      <c r="E12" s="259">
        <f>(100000/6)*F12</f>
        <v>16666.666666666668</v>
      </c>
      <c r="F12" s="12">
        <f>1/SI!E4</f>
        <v>1</v>
      </c>
      <c r="G12" s="1" t="s">
        <v>1079</v>
      </c>
      <c r="H12" s="1" t="s">
        <v>562</v>
      </c>
    </row>
    <row r="13" spans="1:8">
      <c r="A13" s="1" t="s">
        <v>560</v>
      </c>
      <c r="B13" s="1" t="s">
        <v>561</v>
      </c>
      <c r="C13" s="1" t="s">
        <v>4255</v>
      </c>
      <c r="D13" s="1" t="s">
        <v>2842</v>
      </c>
      <c r="E13" s="259">
        <f>1000000*F13</f>
        <v>1000000</v>
      </c>
      <c r="F13" s="12">
        <f>1/SI!E4</f>
        <v>1</v>
      </c>
      <c r="G13" s="1" t="s">
        <v>1079</v>
      </c>
      <c r="H13" s="1" t="s">
        <v>562</v>
      </c>
    </row>
    <row r="14" spans="1:8">
      <c r="A14" s="1" t="s">
        <v>6033</v>
      </c>
      <c r="B14" s="1" t="s">
        <v>2247</v>
      </c>
      <c r="C14" s="1" t="s">
        <v>155</v>
      </c>
      <c r="D14" s="1" t="s">
        <v>2842</v>
      </c>
      <c r="E14" s="259">
        <v>3.1688087799999999E-9</v>
      </c>
      <c r="F14" s="12">
        <f>1/('Physical Definitions'!E8*SI!E14)</f>
        <v>3.1688087814028947E-8</v>
      </c>
      <c r="G14" s="1" t="s">
        <v>1079</v>
      </c>
      <c r="H14" s="1" t="s">
        <v>1148</v>
      </c>
    </row>
    <row r="15" spans="1:8">
      <c r="A15" s="1" t="s">
        <v>6034</v>
      </c>
      <c r="B15" s="1" t="s">
        <v>2248</v>
      </c>
      <c r="C15" s="1" t="s">
        <v>155</v>
      </c>
      <c r="D15" s="1" t="s">
        <v>2842</v>
      </c>
      <c r="E15" s="259">
        <v>1.1574074074099999E-6</v>
      </c>
      <c r="F15" s="12">
        <f>1/('Physical Definitions'!E6*SI!E14)</f>
        <v>1.1574074074074073E-5</v>
      </c>
      <c r="G15" s="1" t="s">
        <v>1079</v>
      </c>
      <c r="H15" s="1" t="s">
        <v>1148</v>
      </c>
    </row>
    <row r="16" spans="1:8">
      <c r="A16" s="1" t="s">
        <v>584</v>
      </c>
      <c r="B16" s="1" t="s">
        <v>26</v>
      </c>
      <c r="C16" s="1" t="s">
        <v>4250</v>
      </c>
      <c r="D16" s="1" t="s">
        <v>2842</v>
      </c>
      <c r="E16" s="259">
        <f>F16</f>
        <v>1</v>
      </c>
      <c r="F16" s="12">
        <f>1/SI!E4</f>
        <v>1</v>
      </c>
      <c r="G16" s="1" t="s">
        <v>1079</v>
      </c>
      <c r="H16" s="1" t="s">
        <v>982</v>
      </c>
    </row>
    <row r="17" spans="1:8">
      <c r="A17" s="1" t="s">
        <v>6035</v>
      </c>
      <c r="B17" s="1" t="s">
        <v>6305</v>
      </c>
      <c r="C17" s="1" t="s">
        <v>155</v>
      </c>
      <c r="D17" s="1" t="s">
        <v>2842</v>
      </c>
      <c r="E17" s="259">
        <f>F17</f>
        <v>1</v>
      </c>
      <c r="F17" s="12">
        <f>1/SI!E4</f>
        <v>1</v>
      </c>
      <c r="G17" s="1" t="s">
        <v>1079</v>
      </c>
      <c r="H17" s="1" t="s">
        <v>42</v>
      </c>
    </row>
    <row r="18" spans="1:8">
      <c r="A18" s="1" t="s">
        <v>369</v>
      </c>
      <c r="B18" s="1" t="s">
        <v>26</v>
      </c>
      <c r="C18" s="1" t="s">
        <v>4250</v>
      </c>
      <c r="D18" s="1" t="s">
        <v>2842</v>
      </c>
      <c r="E18" s="259">
        <f>1000000*F18</f>
        <v>1000000</v>
      </c>
      <c r="F18" s="12">
        <f>1/SI!E4</f>
        <v>1</v>
      </c>
      <c r="G18" s="1" t="s">
        <v>1079</v>
      </c>
      <c r="H18" s="1" t="s">
        <v>982</v>
      </c>
    </row>
    <row r="19" spans="1:8" ht="57.6">
      <c r="A19" s="1" t="s">
        <v>6036</v>
      </c>
      <c r="B19" s="1" t="s">
        <v>597</v>
      </c>
      <c r="C19" s="1" t="s">
        <v>4256</v>
      </c>
      <c r="D19" s="1" t="s">
        <v>2842</v>
      </c>
      <c r="E19" s="259">
        <f>1E-36*F19</f>
        <v>9.9999999999999994E-37</v>
      </c>
      <c r="F19" s="12">
        <f>1/SI!E4</f>
        <v>1</v>
      </c>
      <c r="G19" s="1" t="s">
        <v>1079</v>
      </c>
      <c r="H19" s="1" t="s">
        <v>982</v>
      </c>
    </row>
    <row r="20" spans="1:8">
      <c r="A20" s="1" t="s">
        <v>394</v>
      </c>
      <c r="B20" s="1" t="s">
        <v>26</v>
      </c>
      <c r="C20" s="1" t="s">
        <v>4250</v>
      </c>
      <c r="D20" s="1" t="s">
        <v>2842</v>
      </c>
      <c r="E20" s="259">
        <f>0.00000000363*37000000000*F20</f>
        <v>134.31</v>
      </c>
      <c r="F20" s="166">
        <f>1/SI!E4</f>
        <v>1</v>
      </c>
      <c r="G20" s="1" t="s">
        <v>1079</v>
      </c>
      <c r="H20" s="1" t="s">
        <v>982</v>
      </c>
    </row>
    <row r="21" spans="1:8">
      <c r="A21" t="s">
        <v>3133</v>
      </c>
      <c r="B21" t="s">
        <v>3153</v>
      </c>
      <c r="C21" s="1" t="s">
        <v>155</v>
      </c>
      <c r="D21" s="1" t="s">
        <v>2842</v>
      </c>
      <c r="E21" s="170">
        <f>1E+24*F21</f>
        <v>9.9999999999999998E+23</v>
      </c>
      <c r="F21" s="170">
        <f>1/SI!E4</f>
        <v>1</v>
      </c>
      <c r="G21" s="1" t="s">
        <v>1079</v>
      </c>
      <c r="H21" s="1" t="s">
        <v>42</v>
      </c>
    </row>
    <row r="22" spans="1:8">
      <c r="A22" t="s">
        <v>3134</v>
      </c>
      <c r="B22" t="s">
        <v>3154</v>
      </c>
      <c r="C22" s="1" t="s">
        <v>155</v>
      </c>
      <c r="D22" s="1" t="s">
        <v>2842</v>
      </c>
      <c r="E22" s="170">
        <f>1E+21*F22</f>
        <v>1E+21</v>
      </c>
      <c r="F22" s="170">
        <f>1/SI!E4</f>
        <v>1</v>
      </c>
      <c r="G22" s="1" t="s">
        <v>1079</v>
      </c>
      <c r="H22" s="1" t="s">
        <v>42</v>
      </c>
    </row>
    <row r="23" spans="1:8">
      <c r="A23" t="s">
        <v>3135</v>
      </c>
      <c r="B23" t="s">
        <v>3155</v>
      </c>
      <c r="C23" s="1" t="s">
        <v>155</v>
      </c>
      <c r="D23" s="1" t="s">
        <v>2842</v>
      </c>
      <c r="E23" s="170">
        <f>1000000000000000000*F23</f>
        <v>1E+18</v>
      </c>
      <c r="F23" s="170">
        <f>1/SI!E4</f>
        <v>1</v>
      </c>
      <c r="G23" s="1" t="s">
        <v>1079</v>
      </c>
      <c r="H23" s="1" t="s">
        <v>42</v>
      </c>
    </row>
    <row r="24" spans="1:8">
      <c r="A24" t="s">
        <v>3136</v>
      </c>
      <c r="B24" t="s">
        <v>3156</v>
      </c>
      <c r="C24" s="1" t="s">
        <v>155</v>
      </c>
      <c r="D24" s="1" t="s">
        <v>2842</v>
      </c>
      <c r="E24" s="170">
        <f>1000000000000000*F24</f>
        <v>1000000000000000</v>
      </c>
      <c r="F24" s="170">
        <f>1/SI!E4</f>
        <v>1</v>
      </c>
      <c r="G24" s="1" t="s">
        <v>1079</v>
      </c>
      <c r="H24" s="1" t="s">
        <v>42</v>
      </c>
    </row>
    <row r="25" spans="1:8">
      <c r="A25" t="s">
        <v>3137</v>
      </c>
      <c r="B25" t="s">
        <v>3157</v>
      </c>
      <c r="C25" s="1" t="s">
        <v>155</v>
      </c>
      <c r="D25" s="1" t="s">
        <v>2842</v>
      </c>
      <c r="E25" s="170">
        <f>1000000000000*F25</f>
        <v>1000000000000</v>
      </c>
      <c r="F25" s="170">
        <f>1/SI!E4</f>
        <v>1</v>
      </c>
      <c r="G25" s="1" t="s">
        <v>1079</v>
      </c>
      <c r="H25" s="1" t="s">
        <v>42</v>
      </c>
    </row>
    <row r="26" spans="1:8">
      <c r="A26" t="s">
        <v>3138</v>
      </c>
      <c r="B26" t="s">
        <v>3158</v>
      </c>
      <c r="C26" s="1" t="s">
        <v>155</v>
      </c>
      <c r="D26" s="1" t="s">
        <v>2842</v>
      </c>
      <c r="E26" s="170">
        <f>1000000000*F26</f>
        <v>1000000000</v>
      </c>
      <c r="F26" s="170">
        <f>1/SI!E4</f>
        <v>1</v>
      </c>
      <c r="G26" s="1" t="s">
        <v>1079</v>
      </c>
      <c r="H26" s="1" t="s">
        <v>42</v>
      </c>
    </row>
    <row r="27" spans="1:8">
      <c r="A27" t="s">
        <v>3139</v>
      </c>
      <c r="B27" t="s">
        <v>3159</v>
      </c>
      <c r="C27" s="1" t="s">
        <v>155</v>
      </c>
      <c r="D27" s="1" t="s">
        <v>2842</v>
      </c>
      <c r="E27" s="170">
        <f>1000000*F27</f>
        <v>1000000</v>
      </c>
      <c r="F27" s="170">
        <f>1/SI!E4</f>
        <v>1</v>
      </c>
      <c r="G27" s="1" t="s">
        <v>1079</v>
      </c>
      <c r="H27" s="1" t="s">
        <v>42</v>
      </c>
    </row>
    <row r="28" spans="1:8">
      <c r="A28" t="s">
        <v>3140</v>
      </c>
      <c r="B28" t="s">
        <v>3160</v>
      </c>
      <c r="C28" s="1" t="s">
        <v>155</v>
      </c>
      <c r="D28" s="1" t="s">
        <v>2842</v>
      </c>
      <c r="E28" s="170">
        <f>1000*F28</f>
        <v>1000</v>
      </c>
      <c r="F28" s="170">
        <f>1/SI!E4</f>
        <v>1</v>
      </c>
      <c r="G28" s="1" t="s">
        <v>1079</v>
      </c>
      <c r="H28" s="1" t="s">
        <v>42</v>
      </c>
    </row>
    <row r="29" spans="1:8">
      <c r="A29" t="s">
        <v>3141</v>
      </c>
      <c r="B29" t="s">
        <v>3161</v>
      </c>
      <c r="C29" s="1" t="s">
        <v>155</v>
      </c>
      <c r="D29" s="1" t="s">
        <v>2842</v>
      </c>
      <c r="E29" s="170">
        <f>100*F29</f>
        <v>100</v>
      </c>
      <c r="F29" s="170">
        <f>1/SI!E4</f>
        <v>1</v>
      </c>
      <c r="G29" s="1" t="s">
        <v>1079</v>
      </c>
      <c r="H29" s="1" t="s">
        <v>42</v>
      </c>
    </row>
    <row r="30" spans="1:8">
      <c r="A30" t="s">
        <v>3142</v>
      </c>
      <c r="B30" t="s">
        <v>3162</v>
      </c>
      <c r="C30" s="1" t="s">
        <v>155</v>
      </c>
      <c r="D30" s="1" t="s">
        <v>2842</v>
      </c>
      <c r="E30" s="170">
        <f>10*F30</f>
        <v>10</v>
      </c>
      <c r="F30" s="170">
        <f>1/SI!E4</f>
        <v>1</v>
      </c>
      <c r="G30" s="1" t="s">
        <v>1079</v>
      </c>
      <c r="H30" s="1" t="s">
        <v>42</v>
      </c>
    </row>
    <row r="31" spans="1:8">
      <c r="A31" t="s">
        <v>3143</v>
      </c>
      <c r="B31" t="s">
        <v>3163</v>
      </c>
      <c r="C31" s="1" t="s">
        <v>155</v>
      </c>
      <c r="D31" s="1" t="s">
        <v>2842</v>
      </c>
      <c r="E31" s="170">
        <f>0.1*F31</f>
        <v>0.1</v>
      </c>
      <c r="F31" s="170">
        <f>1/SI!E4</f>
        <v>1</v>
      </c>
      <c r="G31" s="1" t="s">
        <v>1079</v>
      </c>
      <c r="H31" s="1" t="s">
        <v>42</v>
      </c>
    </row>
    <row r="32" spans="1:8">
      <c r="A32" t="s">
        <v>3144</v>
      </c>
      <c r="B32" t="s">
        <v>3164</v>
      </c>
      <c r="C32" s="1" t="s">
        <v>155</v>
      </c>
      <c r="D32" s="1" t="s">
        <v>2842</v>
      </c>
      <c r="E32" s="170">
        <f>0.01*F32</f>
        <v>0.01</v>
      </c>
      <c r="F32" s="170">
        <f>1/SI!E4</f>
        <v>1</v>
      </c>
      <c r="G32" s="1" t="s">
        <v>1079</v>
      </c>
      <c r="H32" s="1" t="s">
        <v>42</v>
      </c>
    </row>
    <row r="33" spans="1:8">
      <c r="A33" t="s">
        <v>3145</v>
      </c>
      <c r="B33" t="s">
        <v>3165</v>
      </c>
      <c r="C33" s="1" t="s">
        <v>155</v>
      </c>
      <c r="D33" s="1" t="s">
        <v>2842</v>
      </c>
      <c r="E33" s="170">
        <f>0.001*F33</f>
        <v>1E-3</v>
      </c>
      <c r="F33" s="170">
        <f>1/SI!E4</f>
        <v>1</v>
      </c>
      <c r="G33" s="1" t="s">
        <v>1079</v>
      </c>
      <c r="H33" s="1" t="s">
        <v>42</v>
      </c>
    </row>
    <row r="34" spans="1:8">
      <c r="A34" t="s">
        <v>3146</v>
      </c>
      <c r="B34" t="s">
        <v>3192</v>
      </c>
      <c r="C34" s="1" t="s">
        <v>155</v>
      </c>
      <c r="D34" s="1" t="s">
        <v>2842</v>
      </c>
      <c r="E34" s="170">
        <f>0.000001*F34</f>
        <v>9.9999999999999995E-7</v>
      </c>
      <c r="F34" s="170">
        <f>1/SI!E4</f>
        <v>1</v>
      </c>
      <c r="G34" s="1" t="s">
        <v>1079</v>
      </c>
      <c r="H34" s="1" t="s">
        <v>42</v>
      </c>
    </row>
    <row r="35" spans="1:8">
      <c r="A35" t="s">
        <v>3147</v>
      </c>
      <c r="B35" t="s">
        <v>3166</v>
      </c>
      <c r="C35" s="1" t="s">
        <v>155</v>
      </c>
      <c r="D35" s="1" t="s">
        <v>2842</v>
      </c>
      <c r="E35" s="170">
        <f>0.000000001*F35</f>
        <v>1.0000000000000001E-9</v>
      </c>
      <c r="F35" s="170">
        <f>1/SI!E4</f>
        <v>1</v>
      </c>
      <c r="G35" s="1" t="s">
        <v>1079</v>
      </c>
      <c r="H35" s="1" t="s">
        <v>42</v>
      </c>
    </row>
    <row r="36" spans="1:8">
      <c r="A36" t="s">
        <v>3148</v>
      </c>
      <c r="B36" t="s">
        <v>3167</v>
      </c>
      <c r="C36" s="1" t="s">
        <v>155</v>
      </c>
      <c r="D36" s="1" t="s">
        <v>2842</v>
      </c>
      <c r="E36" s="170">
        <f>0.000000000001*F36</f>
        <v>9.9999999999999998E-13</v>
      </c>
      <c r="F36" s="170">
        <f>1/SI!E4</f>
        <v>1</v>
      </c>
      <c r="G36" s="1" t="s">
        <v>1079</v>
      </c>
      <c r="H36" s="1" t="s">
        <v>42</v>
      </c>
    </row>
    <row r="37" spans="1:8">
      <c r="A37" t="s">
        <v>3149</v>
      </c>
      <c r="B37" t="s">
        <v>3168</v>
      </c>
      <c r="C37" s="1" t="s">
        <v>155</v>
      </c>
      <c r="D37" s="1" t="s">
        <v>2842</v>
      </c>
      <c r="E37" s="170">
        <f>0.000000000000001*F37</f>
        <v>1.0000000000000001E-15</v>
      </c>
      <c r="F37" s="170">
        <f>1/SI!E4</f>
        <v>1</v>
      </c>
      <c r="G37" s="1" t="s">
        <v>1079</v>
      </c>
      <c r="H37" s="1" t="s">
        <v>42</v>
      </c>
    </row>
    <row r="38" spans="1:8">
      <c r="A38" t="s">
        <v>3150</v>
      </c>
      <c r="B38" t="s">
        <v>3169</v>
      </c>
      <c r="C38" s="1" t="s">
        <v>155</v>
      </c>
      <c r="D38" s="1" t="s">
        <v>2842</v>
      </c>
      <c r="E38" s="170">
        <f>0.000000000000000001*F38</f>
        <v>1.0000000000000001E-18</v>
      </c>
      <c r="F38" s="170">
        <f>1/SI!E4</f>
        <v>1</v>
      </c>
      <c r="G38" s="1" t="s">
        <v>1079</v>
      </c>
      <c r="H38" s="1" t="s">
        <v>42</v>
      </c>
    </row>
    <row r="39" spans="1:8">
      <c r="A39" t="s">
        <v>3151</v>
      </c>
      <c r="B39" t="s">
        <v>3170</v>
      </c>
      <c r="C39" s="1" t="s">
        <v>155</v>
      </c>
      <c r="D39" s="1" t="s">
        <v>2842</v>
      </c>
      <c r="E39" s="170">
        <f>1E-21*F39</f>
        <v>9.9999999999999991E-22</v>
      </c>
      <c r="F39" s="170">
        <f>1/SI!E4</f>
        <v>1</v>
      </c>
      <c r="G39" s="1" t="s">
        <v>1079</v>
      </c>
      <c r="H39" s="1" t="s">
        <v>42</v>
      </c>
    </row>
    <row r="40" spans="1:8">
      <c r="A40" t="s">
        <v>3152</v>
      </c>
      <c r="B40" t="s">
        <v>3171</v>
      </c>
      <c r="C40" s="1" t="s">
        <v>155</v>
      </c>
      <c r="D40" s="1" t="s">
        <v>2842</v>
      </c>
      <c r="E40" s="170">
        <f>1E-24*F40</f>
        <v>9.9999999999999992E-25</v>
      </c>
      <c r="F40" s="170">
        <f>1/SI!E4</f>
        <v>1</v>
      </c>
      <c r="G40" s="1" t="s">
        <v>1079</v>
      </c>
      <c r="H40" s="1" t="s">
        <v>42</v>
      </c>
    </row>
    <row r="41" spans="1:8">
      <c r="A41" t="s">
        <v>3172</v>
      </c>
      <c r="B41" t="s">
        <v>3200</v>
      </c>
      <c r="C41" s="1" t="s">
        <v>4250</v>
      </c>
      <c r="D41" s="1" t="s">
        <v>2842</v>
      </c>
      <c r="E41" s="170">
        <f>1E+24*F41</f>
        <v>9.9999999999999998E+23</v>
      </c>
      <c r="F41" s="170">
        <f>1/SI!E4</f>
        <v>1</v>
      </c>
      <c r="G41" s="1" t="s">
        <v>1079</v>
      </c>
      <c r="H41" s="1" t="s">
        <v>42</v>
      </c>
    </row>
    <row r="42" spans="1:8">
      <c r="A42" t="s">
        <v>3173</v>
      </c>
      <c r="B42" t="s">
        <v>3201</v>
      </c>
      <c r="C42" s="1" t="s">
        <v>4250</v>
      </c>
      <c r="D42" s="1" t="s">
        <v>2842</v>
      </c>
      <c r="E42" s="170">
        <f>1E+21*F42</f>
        <v>1E+21</v>
      </c>
      <c r="F42" s="170">
        <f>1/SI!E4</f>
        <v>1</v>
      </c>
      <c r="G42" s="1" t="s">
        <v>1079</v>
      </c>
      <c r="H42" s="1" t="s">
        <v>42</v>
      </c>
    </row>
    <row r="43" spans="1:8">
      <c r="A43" t="s">
        <v>3174</v>
      </c>
      <c r="B43" t="s">
        <v>3202</v>
      </c>
      <c r="C43" s="1" t="s">
        <v>4250</v>
      </c>
      <c r="D43" s="1" t="s">
        <v>2842</v>
      </c>
      <c r="E43" s="170">
        <f>1000000000000000000*F43</f>
        <v>1E+18</v>
      </c>
      <c r="F43" s="170">
        <f>1/SI!E4</f>
        <v>1</v>
      </c>
      <c r="G43" s="1" t="s">
        <v>1079</v>
      </c>
      <c r="H43" s="1" t="s">
        <v>42</v>
      </c>
    </row>
    <row r="44" spans="1:8">
      <c r="A44" t="s">
        <v>3175</v>
      </c>
      <c r="B44" t="s">
        <v>3203</v>
      </c>
      <c r="C44" s="1" t="s">
        <v>4250</v>
      </c>
      <c r="D44" s="1" t="s">
        <v>2842</v>
      </c>
      <c r="E44" s="170">
        <f>1000000000000000*F44</f>
        <v>1000000000000000</v>
      </c>
      <c r="F44" s="170">
        <f>1/SI!E4</f>
        <v>1</v>
      </c>
      <c r="G44" s="1" t="s">
        <v>1079</v>
      </c>
      <c r="H44" s="1" t="s">
        <v>42</v>
      </c>
    </row>
    <row r="45" spans="1:8">
      <c r="A45" t="s">
        <v>3176</v>
      </c>
      <c r="B45" t="s">
        <v>3204</v>
      </c>
      <c r="C45" s="1" t="s">
        <v>4250</v>
      </c>
      <c r="D45" s="1" t="s">
        <v>2842</v>
      </c>
      <c r="E45" s="170">
        <f>1000000000000*F45</f>
        <v>1000000000000</v>
      </c>
      <c r="F45" s="170">
        <f>1/SI!E4</f>
        <v>1</v>
      </c>
      <c r="G45" s="1" t="s">
        <v>1079</v>
      </c>
      <c r="H45" s="1" t="s">
        <v>42</v>
      </c>
    </row>
    <row r="46" spans="1:8">
      <c r="A46" t="s">
        <v>3177</v>
      </c>
      <c r="B46" t="s">
        <v>3205</v>
      </c>
      <c r="C46" s="1" t="s">
        <v>4250</v>
      </c>
      <c r="D46" s="1" t="s">
        <v>2842</v>
      </c>
      <c r="E46" s="170">
        <f>1000000000*F46</f>
        <v>1000000000</v>
      </c>
      <c r="F46" s="170">
        <f>1/SI!E4</f>
        <v>1</v>
      </c>
      <c r="G46" s="1" t="s">
        <v>1079</v>
      </c>
      <c r="H46" s="1" t="s">
        <v>42</v>
      </c>
    </row>
    <row r="47" spans="1:8">
      <c r="A47" t="s">
        <v>3178</v>
      </c>
      <c r="B47" t="s">
        <v>3206</v>
      </c>
      <c r="C47" s="1" t="s">
        <v>4250</v>
      </c>
      <c r="D47" s="1" t="s">
        <v>2842</v>
      </c>
      <c r="E47" s="170">
        <f>1000000*F47</f>
        <v>1000000</v>
      </c>
      <c r="F47" s="170">
        <f>1/SI!E4</f>
        <v>1</v>
      </c>
      <c r="G47" s="1" t="s">
        <v>1079</v>
      </c>
      <c r="H47" s="1" t="s">
        <v>42</v>
      </c>
    </row>
    <row r="48" spans="1:8">
      <c r="A48" t="s">
        <v>3179</v>
      </c>
      <c r="B48" t="s">
        <v>3207</v>
      </c>
      <c r="C48" s="1" t="s">
        <v>4250</v>
      </c>
      <c r="D48" s="1" t="s">
        <v>2842</v>
      </c>
      <c r="E48" s="170">
        <f>1000*F48</f>
        <v>1000</v>
      </c>
      <c r="F48" s="170">
        <f>1/SI!E4</f>
        <v>1</v>
      </c>
      <c r="G48" s="1" t="s">
        <v>1079</v>
      </c>
      <c r="H48" s="1" t="s">
        <v>42</v>
      </c>
    </row>
    <row r="49" spans="1:8">
      <c r="A49" t="s">
        <v>3180</v>
      </c>
      <c r="B49" t="s">
        <v>3208</v>
      </c>
      <c r="C49" s="1" t="s">
        <v>4250</v>
      </c>
      <c r="D49" s="1" t="s">
        <v>2842</v>
      </c>
      <c r="E49" s="170">
        <f>100*F49</f>
        <v>100</v>
      </c>
      <c r="F49" s="170">
        <f>1/SI!E4</f>
        <v>1</v>
      </c>
      <c r="G49" s="1" t="s">
        <v>1079</v>
      </c>
      <c r="H49" s="1" t="s">
        <v>42</v>
      </c>
    </row>
    <row r="50" spans="1:8">
      <c r="A50" t="s">
        <v>3181</v>
      </c>
      <c r="B50" t="s">
        <v>3209</v>
      </c>
      <c r="C50" s="1" t="s">
        <v>4250</v>
      </c>
      <c r="D50" s="1" t="s">
        <v>2842</v>
      </c>
      <c r="E50" s="170">
        <f>10*F50</f>
        <v>10</v>
      </c>
      <c r="F50" s="170">
        <f>1/SI!E4</f>
        <v>1</v>
      </c>
      <c r="G50" s="1" t="s">
        <v>1079</v>
      </c>
      <c r="H50" s="1" t="s">
        <v>42</v>
      </c>
    </row>
    <row r="51" spans="1:8">
      <c r="A51" t="s">
        <v>3182</v>
      </c>
      <c r="B51" t="s">
        <v>3210</v>
      </c>
      <c r="C51" s="1" t="s">
        <v>4250</v>
      </c>
      <c r="D51" s="1" t="s">
        <v>2842</v>
      </c>
      <c r="E51" s="170">
        <f>0.1*F51</f>
        <v>0.1</v>
      </c>
      <c r="F51" s="170">
        <f>1/SI!E4</f>
        <v>1</v>
      </c>
      <c r="G51" s="1" t="s">
        <v>1079</v>
      </c>
      <c r="H51" s="1" t="s">
        <v>42</v>
      </c>
    </row>
    <row r="52" spans="1:8">
      <c r="A52" t="s">
        <v>3183</v>
      </c>
      <c r="B52" t="s">
        <v>3211</v>
      </c>
      <c r="C52" s="1" t="s">
        <v>4250</v>
      </c>
      <c r="D52" s="1" t="s">
        <v>2842</v>
      </c>
      <c r="E52" s="170">
        <f>0.01*F52</f>
        <v>0.01</v>
      </c>
      <c r="F52" s="170">
        <f>1/SI!E4</f>
        <v>1</v>
      </c>
      <c r="G52" s="1" t="s">
        <v>1079</v>
      </c>
      <c r="H52" s="1" t="s">
        <v>42</v>
      </c>
    </row>
    <row r="53" spans="1:8">
      <c r="A53" t="s">
        <v>3184</v>
      </c>
      <c r="B53" t="s">
        <v>3212</v>
      </c>
      <c r="C53" s="1" t="s">
        <v>4250</v>
      </c>
      <c r="D53" s="1" t="s">
        <v>2842</v>
      </c>
      <c r="E53" s="170">
        <f>0.001*F53</f>
        <v>1E-3</v>
      </c>
      <c r="F53" s="170">
        <f>1/SI!E4</f>
        <v>1</v>
      </c>
      <c r="G53" s="1" t="s">
        <v>1079</v>
      </c>
      <c r="H53" s="1" t="s">
        <v>42</v>
      </c>
    </row>
    <row r="54" spans="1:8">
      <c r="A54" t="s">
        <v>3185</v>
      </c>
      <c r="B54" t="s">
        <v>3193</v>
      </c>
      <c r="C54" s="1" t="s">
        <v>4250</v>
      </c>
      <c r="D54" s="1" t="s">
        <v>2842</v>
      </c>
      <c r="E54" s="170">
        <f>0.000001*F54</f>
        <v>9.9999999999999995E-7</v>
      </c>
      <c r="F54" s="170">
        <f>1/SI!E4</f>
        <v>1</v>
      </c>
      <c r="G54" s="1" t="s">
        <v>1079</v>
      </c>
      <c r="H54" s="1" t="s">
        <v>42</v>
      </c>
    </row>
    <row r="55" spans="1:8">
      <c r="A55" t="s">
        <v>3186</v>
      </c>
      <c r="B55" t="s">
        <v>3194</v>
      </c>
      <c r="C55" s="1" t="s">
        <v>4250</v>
      </c>
      <c r="D55" s="1" t="s">
        <v>2842</v>
      </c>
      <c r="E55" s="170">
        <f>0.000000001*F55</f>
        <v>1.0000000000000001E-9</v>
      </c>
      <c r="F55" s="170">
        <f>1/SI!E4</f>
        <v>1</v>
      </c>
      <c r="G55" s="1" t="s">
        <v>1079</v>
      </c>
      <c r="H55" s="1" t="s">
        <v>42</v>
      </c>
    </row>
    <row r="56" spans="1:8">
      <c r="A56" t="s">
        <v>3187</v>
      </c>
      <c r="B56" t="s">
        <v>3195</v>
      </c>
      <c r="C56" s="1" t="s">
        <v>4250</v>
      </c>
      <c r="D56" s="1" t="s">
        <v>2842</v>
      </c>
      <c r="E56" s="170">
        <f>0.000000000001*F56</f>
        <v>9.9999999999999998E-13</v>
      </c>
      <c r="F56" s="170">
        <f>1/SI!E4</f>
        <v>1</v>
      </c>
      <c r="G56" s="1" t="s">
        <v>1079</v>
      </c>
      <c r="H56" s="1" t="s">
        <v>42</v>
      </c>
    </row>
    <row r="57" spans="1:8">
      <c r="A57" t="s">
        <v>3188</v>
      </c>
      <c r="B57" t="s">
        <v>3196</v>
      </c>
      <c r="C57" s="1" t="s">
        <v>4250</v>
      </c>
      <c r="D57" s="1" t="s">
        <v>2842</v>
      </c>
      <c r="E57" s="170">
        <f>0.000000000000001*F57</f>
        <v>1.0000000000000001E-15</v>
      </c>
      <c r="F57" s="170">
        <f>1/SI!E4</f>
        <v>1</v>
      </c>
      <c r="G57" s="1" t="s">
        <v>1079</v>
      </c>
      <c r="H57" s="1" t="s">
        <v>42</v>
      </c>
    </row>
    <row r="58" spans="1:8">
      <c r="A58" t="s">
        <v>3189</v>
      </c>
      <c r="B58" t="s">
        <v>3197</v>
      </c>
      <c r="C58" s="1" t="s">
        <v>4250</v>
      </c>
      <c r="D58" s="1" t="s">
        <v>2842</v>
      </c>
      <c r="E58" s="170">
        <f>0.000000000000000001*F58</f>
        <v>1.0000000000000001E-18</v>
      </c>
      <c r="F58" s="170">
        <f>1/SI!E4</f>
        <v>1</v>
      </c>
      <c r="G58" s="1" t="s">
        <v>1079</v>
      </c>
      <c r="H58" s="1" t="s">
        <v>42</v>
      </c>
    </row>
    <row r="59" spans="1:8">
      <c r="A59" t="s">
        <v>3190</v>
      </c>
      <c r="B59" t="s">
        <v>3198</v>
      </c>
      <c r="C59" s="1" t="s">
        <v>4250</v>
      </c>
      <c r="D59" s="1" t="s">
        <v>2842</v>
      </c>
      <c r="E59" s="170">
        <f>1E-21*F59</f>
        <v>9.9999999999999991E-22</v>
      </c>
      <c r="F59" s="170">
        <f>1/SI!E4</f>
        <v>1</v>
      </c>
      <c r="G59" s="1" t="s">
        <v>1079</v>
      </c>
      <c r="H59" s="1" t="s">
        <v>42</v>
      </c>
    </row>
    <row r="60" spans="1:8">
      <c r="A60" t="s">
        <v>3191</v>
      </c>
      <c r="B60" t="s">
        <v>3199</v>
      </c>
      <c r="C60" s="1" t="s">
        <v>4250</v>
      </c>
      <c r="D60" s="1" t="s">
        <v>2842</v>
      </c>
      <c r="E60" s="170">
        <f>1E-24*F60</f>
        <v>9.9999999999999992E-25</v>
      </c>
      <c r="F60" s="170">
        <f>1/SI!E4</f>
        <v>1</v>
      </c>
      <c r="G60" s="1" t="s">
        <v>1079</v>
      </c>
      <c r="H60" s="1" t="s">
        <v>42</v>
      </c>
    </row>
    <row r="61" spans="1:8">
      <c r="A61" s="248"/>
      <c r="B61" s="248"/>
      <c r="C61" s="248"/>
      <c r="D61" s="248"/>
      <c r="E61" s="250"/>
      <c r="F61" s="250"/>
      <c r="G61" s="248"/>
      <c r="H61" s="248"/>
    </row>
  </sheetData>
  <sortState xmlns:xlrd2="http://schemas.microsoft.com/office/spreadsheetml/2017/richdata2" ref="A3:H20">
    <sortCondition ref="A3:A2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FC356-B125-4DA0-9254-AF5188F1D723}">
  <sheetPr codeName="Sheet21"/>
  <dimension ref="A1:H32"/>
  <sheetViews>
    <sheetView workbookViewId="0">
      <selection activeCell="A12" sqref="A12"/>
    </sheetView>
  </sheetViews>
  <sheetFormatPr defaultRowHeight="14.4"/>
  <cols>
    <col min="1" max="1" width="31.9453125" customWidth="1"/>
    <col min="2" max="2" width="16.47265625" customWidth="1"/>
    <col min="3" max="3" width="19.7890625" customWidth="1"/>
    <col min="4" max="4" width="20.41796875" customWidth="1"/>
    <col min="5" max="5" width="23.62890625" customWidth="1"/>
    <col min="6" max="6" width="24.1015625" customWidth="1"/>
    <col min="7" max="7" width="18.47265625" customWidth="1"/>
    <col min="8" max="8" width="11.3671875" customWidth="1"/>
  </cols>
  <sheetData>
    <row r="1" spans="1:8">
      <c r="A1" s="2" t="s">
        <v>11</v>
      </c>
      <c r="B1" s="2" t="s">
        <v>1</v>
      </c>
      <c r="C1" s="2" t="s">
        <v>2</v>
      </c>
      <c r="D1" s="2" t="s">
        <v>3</v>
      </c>
      <c r="E1" s="2" t="s">
        <v>4</v>
      </c>
      <c r="F1" s="128" t="s">
        <v>937</v>
      </c>
      <c r="G1" s="2" t="s">
        <v>0</v>
      </c>
      <c r="H1" s="2" t="s">
        <v>5</v>
      </c>
    </row>
    <row r="2" spans="1:8" ht="16.5">
      <c r="A2" s="1" t="s">
        <v>6037</v>
      </c>
      <c r="B2" s="1" t="s">
        <v>2967</v>
      </c>
      <c r="C2" s="1" t="s">
        <v>4248</v>
      </c>
      <c r="D2" s="1" t="s">
        <v>2883</v>
      </c>
      <c r="E2" s="12">
        <f>42*F2</f>
        <v>0.15898729492800001</v>
      </c>
      <c r="F2" s="12">
        <f>Systems!P8*POWER(SI!E3,3)/SI!E4</f>
        <v>3.7854117840000006E-3</v>
      </c>
      <c r="G2" s="1" t="s">
        <v>1102</v>
      </c>
      <c r="H2" s="1" t="s">
        <v>47</v>
      </c>
    </row>
    <row r="3" spans="1:8" ht="16.5">
      <c r="A3" s="18" t="s">
        <v>6038</v>
      </c>
      <c r="B3" s="1" t="s">
        <v>468</v>
      </c>
      <c r="C3" s="1" t="s">
        <v>4248</v>
      </c>
      <c r="D3" s="1" t="s">
        <v>2883</v>
      </c>
      <c r="E3" s="25">
        <f>F3/'Physical Definitions'!E6</f>
        <v>1.8401307283333336E-6</v>
      </c>
      <c r="F3" s="25">
        <f>42*Systems!P8*POWER(SI!E3,3)/SI!E4</f>
        <v>0.15898729492800001</v>
      </c>
      <c r="G3" s="1" t="s">
        <v>1102</v>
      </c>
      <c r="H3" s="1" t="s">
        <v>214</v>
      </c>
    </row>
    <row r="4" spans="1:8" ht="16.5">
      <c r="A4" s="1" t="s">
        <v>6039</v>
      </c>
      <c r="B4" s="1" t="s">
        <v>6308</v>
      </c>
      <c r="C4" s="1" t="s">
        <v>4248</v>
      </c>
      <c r="D4" s="1" t="s">
        <v>2883</v>
      </c>
      <c r="E4" s="12">
        <f t="shared" ref="E4:E21" si="0">F4</f>
        <v>7.8657907200000004E-6</v>
      </c>
      <c r="F4" s="12">
        <f>(POWER(Systems!D6,3)/'Physical Definitions'!E5)*POWER(SI!E3,3)/SI!E4</f>
        <v>7.8657907200000004E-6</v>
      </c>
      <c r="G4" s="1" t="s">
        <v>1120</v>
      </c>
      <c r="H4" s="1" t="s">
        <v>1148</v>
      </c>
    </row>
    <row r="5" spans="1:8" ht="16.5">
      <c r="A5" s="1" t="s">
        <v>6040</v>
      </c>
      <c r="B5" s="1" t="s">
        <v>1452</v>
      </c>
      <c r="C5" s="1" t="s">
        <v>4248</v>
      </c>
      <c r="D5" s="1" t="s">
        <v>2883</v>
      </c>
      <c r="E5" s="12">
        <f t="shared" si="0"/>
        <v>4.719474432000001E-4</v>
      </c>
      <c r="F5" s="12">
        <f>(POWER(Systems!D6,3)/'Physical Definitions'!E4)*POWER(SI!E3,3)/SI!E4</f>
        <v>4.719474432000001E-4</v>
      </c>
      <c r="G5" s="1" t="s">
        <v>1120</v>
      </c>
      <c r="H5" s="1" t="s">
        <v>1148</v>
      </c>
    </row>
    <row r="6" spans="1:8" ht="16.5">
      <c r="A6" s="1" t="s">
        <v>6041</v>
      </c>
      <c r="B6" s="1" t="s">
        <v>6306</v>
      </c>
      <c r="C6" s="1" t="s">
        <v>4248</v>
      </c>
      <c r="D6" s="1" t="s">
        <v>2883</v>
      </c>
      <c r="E6" s="12">
        <f t="shared" si="0"/>
        <v>2.8316846592000004E-2</v>
      </c>
      <c r="F6" s="12">
        <f>POWER(Systems!D15,3)*POWER(SI!E3,3)/SI!E4</f>
        <v>2.8316846592000004E-2</v>
      </c>
      <c r="G6" s="1" t="s">
        <v>1102</v>
      </c>
      <c r="H6" s="1" t="s">
        <v>117</v>
      </c>
    </row>
    <row r="7" spans="1:8" ht="16.5">
      <c r="A7" s="1" t="s">
        <v>6041</v>
      </c>
      <c r="B7" s="1" t="s">
        <v>6306</v>
      </c>
      <c r="C7" s="1" t="s">
        <v>4248</v>
      </c>
      <c r="D7" s="1" t="s">
        <v>2883</v>
      </c>
      <c r="E7" s="12">
        <f t="shared" si="0"/>
        <v>2.8316846592000004E-2</v>
      </c>
      <c r="F7" s="12">
        <f>POWER(Systems!D6,3)*POWER(SI!E3,3)/SI!E4</f>
        <v>2.8316846592000004E-2</v>
      </c>
      <c r="G7" s="1" t="s">
        <v>1102</v>
      </c>
      <c r="H7" s="1" t="s">
        <v>1148</v>
      </c>
    </row>
    <row r="8" spans="1:8" ht="16.5">
      <c r="A8" s="1" t="s">
        <v>6042</v>
      </c>
      <c r="B8" s="1" t="s">
        <v>6307</v>
      </c>
      <c r="C8" s="1" t="s">
        <v>4248</v>
      </c>
      <c r="D8" s="1" t="s">
        <v>2883</v>
      </c>
      <c r="E8" s="12">
        <f t="shared" si="0"/>
        <v>2.7777777777777778E-4</v>
      </c>
      <c r="F8" s="12">
        <f>(1/'Physical Definitions'!E5)*POWER(SI!E3,3)/SI!E4</f>
        <v>2.7777777777777778E-4</v>
      </c>
      <c r="G8" s="1" t="s">
        <v>1102</v>
      </c>
      <c r="H8" s="1" t="s">
        <v>42</v>
      </c>
    </row>
    <row r="9" spans="1:8" ht="16.5">
      <c r="A9" s="1" t="s">
        <v>6043</v>
      </c>
      <c r="B9" s="1" t="s">
        <v>4208</v>
      </c>
      <c r="C9" s="1" t="s">
        <v>4248</v>
      </c>
      <c r="D9" s="1" t="s">
        <v>2883</v>
      </c>
      <c r="E9" s="12">
        <f t="shared" si="0"/>
        <v>1.6666666666666666E-2</v>
      </c>
      <c r="F9" s="12">
        <f>(1/'Physical Definitions'!E4)*POWER(SI!E3,3)/SI!E4</f>
        <v>1.6666666666666666E-2</v>
      </c>
      <c r="G9" s="1" t="s">
        <v>1102</v>
      </c>
      <c r="H9" s="1" t="s">
        <v>42</v>
      </c>
    </row>
    <row r="10" spans="1:8" ht="16.5">
      <c r="A10" s="1" t="s">
        <v>6044</v>
      </c>
      <c r="B10" s="1" t="s">
        <v>6309</v>
      </c>
      <c r="C10" s="1" t="s">
        <v>4248</v>
      </c>
      <c r="D10" s="1" t="s">
        <v>2883</v>
      </c>
      <c r="E10" s="12">
        <f t="shared" si="0"/>
        <v>1</v>
      </c>
      <c r="F10" s="12">
        <f>POWER(SI!E3,3)/SI!E4</f>
        <v>1</v>
      </c>
      <c r="G10" s="1" t="s">
        <v>1102</v>
      </c>
      <c r="H10" s="1" t="s">
        <v>42</v>
      </c>
    </row>
    <row r="11" spans="1:8" ht="16.5">
      <c r="A11" s="1" t="s">
        <v>151</v>
      </c>
      <c r="B11" s="1" t="s">
        <v>2104</v>
      </c>
      <c r="C11" s="1" t="s">
        <v>4248</v>
      </c>
      <c r="D11" s="1" t="s">
        <v>2883</v>
      </c>
      <c r="E11" s="12">
        <f t="shared" si="0"/>
        <v>1</v>
      </c>
      <c r="F11" s="12">
        <f>POWER(SI!E3,3)/SI!E4</f>
        <v>1</v>
      </c>
      <c r="G11" s="1" t="s">
        <v>1102</v>
      </c>
      <c r="H11" s="1" t="s">
        <v>1148</v>
      </c>
    </row>
    <row r="12" spans="1:8" ht="16.5">
      <c r="A12" s="1" t="s">
        <v>7525</v>
      </c>
      <c r="B12" s="1" t="s">
        <v>215</v>
      </c>
      <c r="C12" s="1" t="s">
        <v>4248</v>
      </c>
      <c r="D12" s="1" t="s">
        <v>2883</v>
      </c>
      <c r="E12" s="12">
        <f t="shared" si="0"/>
        <v>4.3812636388888893E-8</v>
      </c>
      <c r="F12" s="12">
        <f>(Systems!P8/'Physical Definitions'!E6)*POWER(SI!E3,3)/SI!E4</f>
        <v>4.3812636388888893E-8</v>
      </c>
      <c r="G12" s="1" t="s">
        <v>1102</v>
      </c>
      <c r="H12" s="1" t="s">
        <v>47</v>
      </c>
    </row>
    <row r="13" spans="1:8" ht="16.5">
      <c r="A13" s="1" t="s">
        <v>6045</v>
      </c>
      <c r="B13" s="1" t="s">
        <v>1644</v>
      </c>
      <c r="C13" s="1" t="s">
        <v>4248</v>
      </c>
      <c r="D13" s="1" t="s">
        <v>2883</v>
      </c>
      <c r="E13" s="12">
        <f t="shared" si="0"/>
        <v>1.2628033333333332E-6</v>
      </c>
      <c r="F13" s="12">
        <f>(Systems!P6/'Physical Definitions'!E5)*POWER(SI!E3,3)/SI!E4</f>
        <v>1.2628033333333332E-6</v>
      </c>
      <c r="G13" s="1" t="s">
        <v>1102</v>
      </c>
      <c r="H13" s="1" t="s">
        <v>46</v>
      </c>
    </row>
    <row r="14" spans="1:8" ht="16.5">
      <c r="A14" s="1" t="s">
        <v>6045</v>
      </c>
      <c r="B14" s="1" t="s">
        <v>1644</v>
      </c>
      <c r="C14" s="1" t="s">
        <v>4248</v>
      </c>
      <c r="D14" s="1" t="s">
        <v>2883</v>
      </c>
      <c r="E14" s="12">
        <f t="shared" si="0"/>
        <v>1.0515032733333334E-6</v>
      </c>
      <c r="F14" s="12">
        <f>(Systems!P8/'Physical Definitions'!E5)*POWER(SI!E3,3)/SI!E4</f>
        <v>1.0515032733333334E-6</v>
      </c>
      <c r="G14" s="1" t="s">
        <v>1102</v>
      </c>
      <c r="H14" s="1" t="s">
        <v>47</v>
      </c>
    </row>
    <row r="15" spans="1:8" ht="16.5">
      <c r="A15" s="1" t="s">
        <v>6046</v>
      </c>
      <c r="B15" s="1" t="s">
        <v>1646</v>
      </c>
      <c r="C15" s="1" t="s">
        <v>4248</v>
      </c>
      <c r="D15" s="1" t="s">
        <v>2883</v>
      </c>
      <c r="E15" s="12">
        <f t="shared" si="0"/>
        <v>7.5768199999999997E-5</v>
      </c>
      <c r="F15" s="12">
        <f>(Systems!P6/'Physical Definitions'!E4)*POWER(SI!E3,3)/SI!E4</f>
        <v>7.5768199999999997E-5</v>
      </c>
      <c r="G15" s="1" t="s">
        <v>1102</v>
      </c>
      <c r="H15" s="1" t="s">
        <v>46</v>
      </c>
    </row>
    <row r="16" spans="1:8" ht="16.5">
      <c r="A16" s="1" t="s">
        <v>6046</v>
      </c>
      <c r="B16" s="1" t="s">
        <v>1646</v>
      </c>
      <c r="C16" s="1" t="s">
        <v>4248</v>
      </c>
      <c r="D16" s="1" t="s">
        <v>2883</v>
      </c>
      <c r="E16" s="12">
        <f t="shared" si="0"/>
        <v>6.3090196400000003E-5</v>
      </c>
      <c r="F16" s="12">
        <f>(Systems!P8/'Physical Definitions'!E4)*POWER(SI!E3,3)/SI!E4</f>
        <v>6.3090196400000003E-5</v>
      </c>
      <c r="G16" s="1" t="s">
        <v>1102</v>
      </c>
      <c r="H16" s="1" t="s">
        <v>47</v>
      </c>
    </row>
    <row r="17" spans="1:8" ht="16.5">
      <c r="A17" s="1" t="s">
        <v>6047</v>
      </c>
      <c r="B17" s="1" t="s">
        <v>1647</v>
      </c>
      <c r="C17" s="1" t="s">
        <v>4248</v>
      </c>
      <c r="D17" s="1" t="s">
        <v>2883</v>
      </c>
      <c r="E17" s="12">
        <f t="shared" si="0"/>
        <v>4.5460919999999998E-3</v>
      </c>
      <c r="F17" s="12">
        <f>Systems!P6*POWER(SI!E3,3)/SI!E4</f>
        <v>4.5460919999999998E-3</v>
      </c>
      <c r="G17" s="1" t="s">
        <v>1102</v>
      </c>
      <c r="H17" s="1" t="s">
        <v>46</v>
      </c>
    </row>
    <row r="18" spans="1:8" ht="16.5">
      <c r="A18" s="1" t="s">
        <v>6047</v>
      </c>
      <c r="B18" s="1" t="s">
        <v>1647</v>
      </c>
      <c r="C18" s="1" t="s">
        <v>4248</v>
      </c>
      <c r="D18" s="1" t="s">
        <v>2883</v>
      </c>
      <c r="E18" s="12">
        <f t="shared" si="0"/>
        <v>3.7854117840000006E-3</v>
      </c>
      <c r="F18" s="12">
        <f>Systems!P8*POWER(SI!E3,3)/SI!E4</f>
        <v>3.7854117840000006E-3</v>
      </c>
      <c r="G18" s="1" t="s">
        <v>1102</v>
      </c>
      <c r="H18" s="1" t="s">
        <v>47</v>
      </c>
    </row>
    <row r="19" spans="1:8" ht="16.5">
      <c r="A19" s="1" t="s">
        <v>6048</v>
      </c>
      <c r="B19" s="1" t="s">
        <v>6310</v>
      </c>
      <c r="C19" s="1" t="s">
        <v>4248</v>
      </c>
      <c r="D19" s="1" t="s">
        <v>2883</v>
      </c>
      <c r="E19" s="12">
        <f t="shared" si="0"/>
        <v>2.7777777777777776E-7</v>
      </c>
      <c r="F19" s="12">
        <f>('Physical Definitions'!E9/'Physical Definitions'!E5)*POWER(SI!E3,3)/SI!E4</f>
        <v>2.7777777777777776E-7</v>
      </c>
      <c r="G19" s="1" t="s">
        <v>1102</v>
      </c>
      <c r="H19" s="1" t="s">
        <v>982</v>
      </c>
    </row>
    <row r="20" spans="1:8" ht="16.5">
      <c r="A20" s="1" t="s">
        <v>6049</v>
      </c>
      <c r="B20" s="1" t="s">
        <v>1975</v>
      </c>
      <c r="C20" s="1" t="s">
        <v>4248</v>
      </c>
      <c r="D20" s="1" t="s">
        <v>2883</v>
      </c>
      <c r="E20" s="12">
        <f t="shared" si="0"/>
        <v>1.6666666666666667E-5</v>
      </c>
      <c r="F20" s="12">
        <f>('Physical Definitions'!E9/'Physical Definitions'!E4)*POWER(SI!E3,3)/SI!E4</f>
        <v>1.6666666666666667E-5</v>
      </c>
      <c r="G20" s="1" t="s">
        <v>1102</v>
      </c>
      <c r="H20" s="1" t="s">
        <v>982</v>
      </c>
    </row>
    <row r="21" spans="1:8" ht="16.5">
      <c r="A21" s="1" t="s">
        <v>6050</v>
      </c>
      <c r="B21" s="1" t="s">
        <v>6311</v>
      </c>
      <c r="C21" s="1" t="s">
        <v>4248</v>
      </c>
      <c r="D21" s="1" t="s">
        <v>2883</v>
      </c>
      <c r="E21" s="12">
        <f t="shared" si="0"/>
        <v>1E-3</v>
      </c>
      <c r="F21" s="12">
        <f>'Physical Definitions'!E9*POWER(SI!E3,3)/SI!E4</f>
        <v>1E-3</v>
      </c>
      <c r="G21" s="1" t="s">
        <v>1102</v>
      </c>
      <c r="H21" s="1" t="s">
        <v>982</v>
      </c>
    </row>
    <row r="22" spans="1:8" ht="16.5">
      <c r="A22" s="1" t="s">
        <v>277</v>
      </c>
      <c r="B22" s="1" t="s">
        <v>26</v>
      </c>
      <c r="C22" s="1" t="s">
        <v>4248</v>
      </c>
      <c r="D22" s="1" t="s">
        <v>2883</v>
      </c>
      <c r="E22" s="12">
        <f>0.001*F22</f>
        <v>1E-3</v>
      </c>
      <c r="F22" s="12">
        <f>POWER(SI!E3,3)/SI!E4</f>
        <v>1</v>
      </c>
      <c r="G22" s="1" t="s">
        <v>1102</v>
      </c>
      <c r="H22" s="1" t="s">
        <v>46</v>
      </c>
    </row>
    <row r="23" spans="1:8" ht="16.5">
      <c r="A23" s="1" t="s">
        <v>6914</v>
      </c>
      <c r="B23" s="1" t="s">
        <v>26</v>
      </c>
      <c r="C23" s="1" t="s">
        <v>4248</v>
      </c>
      <c r="D23" s="1" t="s">
        <v>2883</v>
      </c>
      <c r="E23" s="12">
        <f>F23/38</f>
        <v>7.4518017347368433E-4</v>
      </c>
      <c r="F23" s="12">
        <f>POWER(Systems!D6*SI!E3,3)/SI!E4</f>
        <v>2.8316846592000004E-2</v>
      </c>
      <c r="G23" s="1" t="s">
        <v>1102</v>
      </c>
      <c r="H23" s="1" t="s">
        <v>1148</v>
      </c>
    </row>
    <row r="24" spans="1:8" ht="16.5">
      <c r="A24" s="1" t="s">
        <v>6053</v>
      </c>
      <c r="B24" s="1" t="s">
        <v>26</v>
      </c>
      <c r="C24" s="1" t="s">
        <v>4248</v>
      </c>
      <c r="D24" s="1" t="s">
        <v>2883</v>
      </c>
      <c r="E24" s="12">
        <v>7.4518017347400005E-4</v>
      </c>
      <c r="F24" s="12">
        <f>POWER(Systems!D6*SI!E3,3)/SI!E4</f>
        <v>2.8316846592000004E-2</v>
      </c>
      <c r="G24" s="1" t="s">
        <v>1102</v>
      </c>
      <c r="H24" s="1" t="s">
        <v>1148</v>
      </c>
    </row>
    <row r="25" spans="1:8" ht="57.6">
      <c r="A25" s="1" t="s">
        <v>6054</v>
      </c>
      <c r="B25" s="1" t="s">
        <v>6052</v>
      </c>
      <c r="C25" s="1" t="s">
        <v>4248</v>
      </c>
      <c r="D25" s="1" t="s">
        <v>2883</v>
      </c>
      <c r="E25" s="12">
        <f>F25/40</f>
        <v>7.0792116480000006E-4</v>
      </c>
      <c r="F25" s="12">
        <f>POWER(Systems!D6*SI!E3,3)/SI!E4</f>
        <v>2.8316846592000004E-2</v>
      </c>
      <c r="G25" s="1" t="s">
        <v>1102</v>
      </c>
      <c r="H25" s="1" t="s">
        <v>1148</v>
      </c>
    </row>
    <row r="26" spans="1:8" ht="100.8">
      <c r="A26" s="1" t="s">
        <v>6055</v>
      </c>
      <c r="B26" s="1" t="s">
        <v>6051</v>
      </c>
      <c r="C26" s="1" t="s">
        <v>4248</v>
      </c>
      <c r="D26" s="1" t="s">
        <v>2883</v>
      </c>
      <c r="E26" s="12">
        <f>F26/50</f>
        <v>5.6633693184000009E-4</v>
      </c>
      <c r="F26" s="12">
        <f>POWER(Systems!D6*SI!E3,3)/SI!E4</f>
        <v>2.8316846592000004E-2</v>
      </c>
      <c r="G26" s="1" t="s">
        <v>1102</v>
      </c>
      <c r="H26" s="1" t="s">
        <v>1148</v>
      </c>
    </row>
    <row r="27" spans="1:8" ht="16.5">
      <c r="A27" s="1" t="s">
        <v>6056</v>
      </c>
      <c r="B27" s="1" t="s">
        <v>6057</v>
      </c>
      <c r="C27" s="1" t="s">
        <v>4248</v>
      </c>
      <c r="D27" s="1" t="s">
        <v>2883</v>
      </c>
      <c r="E27" s="12">
        <f>1*F27</f>
        <v>1</v>
      </c>
      <c r="F27" s="12">
        <f>POWER(SI!E3,3)/SI!E4</f>
        <v>1</v>
      </c>
      <c r="G27" s="1" t="s">
        <v>1102</v>
      </c>
      <c r="H27" s="1" t="s">
        <v>1148</v>
      </c>
    </row>
    <row r="28" spans="1:8" ht="28.8">
      <c r="A28" s="1" t="s">
        <v>6058</v>
      </c>
      <c r="B28" s="1" t="s">
        <v>6059</v>
      </c>
      <c r="C28" s="1" t="s">
        <v>4248</v>
      </c>
      <c r="D28" s="1" t="s">
        <v>2883</v>
      </c>
      <c r="E28" s="12">
        <f>F28</f>
        <v>3.2015917941121807E-4</v>
      </c>
      <c r="F28" s="12">
        <f>(807*POWER(Systems!D82,3)/'Physical Definitions'!E6)*POWER(SI!E3,3)/SI!E4</f>
        <v>3.2015917941121807E-4</v>
      </c>
      <c r="G28" s="1" t="s">
        <v>1102</v>
      </c>
      <c r="H28" s="1" t="s">
        <v>65</v>
      </c>
    </row>
    <row r="29" spans="1:8" ht="28.8">
      <c r="A29" s="1" t="s">
        <v>6060</v>
      </c>
      <c r="B29" s="1" t="s">
        <v>6061</v>
      </c>
      <c r="C29" s="1" t="s">
        <v>4248</v>
      </c>
      <c r="D29" s="1" t="s">
        <v>2883</v>
      </c>
      <c r="E29" s="12">
        <f>F29</f>
        <v>2.2216746031013891E-4</v>
      </c>
      <c r="F29" s="12">
        <f>(560*POWER(Systems!D82,3)/'Physical Definitions'!E6)*POWER(SI!E3,3)/SI!E4</f>
        <v>2.2216746031013891E-4</v>
      </c>
      <c r="G29" s="1" t="s">
        <v>1102</v>
      </c>
      <c r="H29" s="1" t="s">
        <v>65</v>
      </c>
    </row>
    <row r="30" spans="1:8" ht="16.5">
      <c r="A30" s="1" t="s">
        <v>400</v>
      </c>
      <c r="B30" s="1" t="s">
        <v>26</v>
      </c>
      <c r="C30" s="1" t="s">
        <v>4248</v>
      </c>
      <c r="D30" s="1" t="s">
        <v>2883</v>
      </c>
      <c r="E30" s="12">
        <f>0.000001*F30</f>
        <v>9.9999999999999995E-7</v>
      </c>
      <c r="F30" s="12">
        <f>POWER(SI!E3,3)/SI!E4</f>
        <v>1</v>
      </c>
      <c r="G30" s="1" t="s">
        <v>1102</v>
      </c>
      <c r="H30" s="1" t="s">
        <v>982</v>
      </c>
    </row>
    <row r="31" spans="1:8" ht="16.5">
      <c r="A31" s="1" t="s">
        <v>6062</v>
      </c>
      <c r="B31" s="1" t="s">
        <v>26</v>
      </c>
      <c r="C31" s="1" t="s">
        <v>4248</v>
      </c>
      <c r="D31" s="1" t="s">
        <v>2883</v>
      </c>
      <c r="E31" s="12">
        <f>2520*F31</f>
        <v>1.1040784370000002E-4</v>
      </c>
      <c r="F31" s="12">
        <f>(Systems!P8/'Physical Definitions'!E6)*POWER(SI!E3,3)/SI!E4</f>
        <v>4.3812636388888893E-8</v>
      </c>
      <c r="G31" s="1" t="s">
        <v>1102</v>
      </c>
      <c r="H31" s="1" t="s">
        <v>47</v>
      </c>
    </row>
    <row r="32" spans="1:8">
      <c r="A32" s="248"/>
      <c r="B32" s="248"/>
      <c r="C32" s="248"/>
      <c r="D32" s="248"/>
      <c r="E32" s="250"/>
      <c r="F32" s="250"/>
      <c r="G32" s="248"/>
      <c r="H32" s="248"/>
    </row>
  </sheetData>
  <sortState xmlns:xlrd2="http://schemas.microsoft.com/office/spreadsheetml/2017/richdata2" ref="A2:H31">
    <sortCondition ref="A2:A3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937DC-410F-428E-A89E-89B106AF4384}">
  <sheetPr codeName="Sheet22"/>
  <dimension ref="A1:H63"/>
  <sheetViews>
    <sheetView topLeftCell="A52" workbookViewId="0">
      <selection activeCell="G59" sqref="G59"/>
    </sheetView>
  </sheetViews>
  <sheetFormatPr defaultRowHeight="14.4"/>
  <cols>
    <col min="1" max="1" width="15.578125" customWidth="1"/>
    <col min="2" max="2" width="15.15625" customWidth="1"/>
    <col min="3" max="3" width="16.3671875" customWidth="1"/>
    <col min="4" max="4" width="21.20703125" customWidth="1"/>
    <col min="5" max="5" width="19.89453125" customWidth="1"/>
    <col min="6" max="6" width="20.3125" customWidth="1"/>
    <col min="7" max="7" width="20.05078125" customWidth="1"/>
  </cols>
  <sheetData>
    <row r="1" spans="1:8">
      <c r="A1" s="2" t="s">
        <v>11</v>
      </c>
      <c r="B1" s="2" t="s">
        <v>1</v>
      </c>
      <c r="C1" s="2" t="s">
        <v>2</v>
      </c>
      <c r="D1" s="2" t="s">
        <v>3</v>
      </c>
      <c r="E1" s="2" t="s">
        <v>4</v>
      </c>
      <c r="F1" s="128" t="s">
        <v>937</v>
      </c>
      <c r="G1" s="2" t="s">
        <v>0</v>
      </c>
      <c r="H1" s="2" t="s">
        <v>5</v>
      </c>
    </row>
    <row r="2" spans="1:8" ht="16.5">
      <c r="A2" s="1" t="s">
        <v>6063</v>
      </c>
      <c r="B2" s="1" t="s">
        <v>1198</v>
      </c>
      <c r="C2" s="1" t="s">
        <v>18</v>
      </c>
      <c r="D2" s="1" t="s">
        <v>2859</v>
      </c>
      <c r="E2" s="12">
        <f>F2</f>
        <v>8.2387234982366085E-8</v>
      </c>
      <c r="F2" s="12">
        <f>(POWER('Physical Constants'!E4,2)/(4*PI()*'Physical Measurements'!E2*POWER('Physical Measurements'!E5,2)))*SI!E2*SI!E3/POWER(SI!E4,2)</f>
        <v>8.2387234982366085E-8</v>
      </c>
      <c r="G2" s="1" t="s">
        <v>1085</v>
      </c>
      <c r="H2" s="1" t="s">
        <v>6</v>
      </c>
    </row>
    <row r="3" spans="1:8" ht="16.5">
      <c r="A3" s="1" t="s">
        <v>6064</v>
      </c>
      <c r="B3" s="1" t="s">
        <v>2190</v>
      </c>
      <c r="C3" s="1" t="s">
        <v>18</v>
      </c>
      <c r="D3" s="1" t="s">
        <v>2859</v>
      </c>
      <c r="E3" s="12">
        <f>F3/16</f>
        <v>0.27801385095378123</v>
      </c>
      <c r="F3" s="12">
        <f>Systems!L6*'Physical Definitions'!E13*SI!E2*SI!E3/POWER(SI!E4,2)</f>
        <v>4.4482216152604996</v>
      </c>
      <c r="G3" s="1" t="s">
        <v>1085</v>
      </c>
      <c r="H3" s="1" t="s">
        <v>214</v>
      </c>
    </row>
    <row r="4" spans="1:8" ht="16.5">
      <c r="A4" s="1" t="s">
        <v>968</v>
      </c>
      <c r="B4" s="1" t="s">
        <v>181</v>
      </c>
      <c r="C4" s="1" t="s">
        <v>18</v>
      </c>
      <c r="D4" s="1" t="s">
        <v>2859</v>
      </c>
      <c r="E4" s="12">
        <f>F4</f>
        <v>1.0000000000000001E-5</v>
      </c>
      <c r="F4" s="12">
        <f>'Physical Definitions'!E24*SI!E2*SI!E3/POWER(SI!E4,2)</f>
        <v>1.0000000000000001E-5</v>
      </c>
      <c r="G4" s="1" t="s">
        <v>1085</v>
      </c>
      <c r="H4" s="1" t="s">
        <v>36</v>
      </c>
    </row>
    <row r="5" spans="1:8" ht="16.5">
      <c r="A5" s="1" t="s">
        <v>6065</v>
      </c>
      <c r="B5" s="1" t="s">
        <v>2300</v>
      </c>
      <c r="C5" s="1" t="s">
        <v>18</v>
      </c>
      <c r="D5" s="1" t="s">
        <v>2859</v>
      </c>
      <c r="E5" s="12">
        <f>F5</f>
        <v>4.4482216152604996</v>
      </c>
      <c r="F5" s="12">
        <f>Systems!L15*'Physical Definitions'!E13*SI!E2*SI!E3/POWER(SI!E4,2)</f>
        <v>4.4482216152604996</v>
      </c>
      <c r="G5" s="1" t="s">
        <v>1085</v>
      </c>
      <c r="H5" s="1" t="s">
        <v>117</v>
      </c>
    </row>
    <row r="6" spans="1:8" ht="16.5">
      <c r="A6" s="1" t="s">
        <v>345</v>
      </c>
      <c r="B6" s="1" t="s">
        <v>344</v>
      </c>
      <c r="C6" s="1" t="s">
        <v>18</v>
      </c>
      <c r="D6" s="1" t="s">
        <v>2859</v>
      </c>
      <c r="E6" s="12">
        <f>F6</f>
        <v>0.13825495437600002</v>
      </c>
      <c r="F6" s="12">
        <f>Systems!L15*Systems!D15*SI!E2*SI!E3/POWER(SI!E4,2)</f>
        <v>0.13825495437600002</v>
      </c>
      <c r="G6" s="1" t="s">
        <v>1085</v>
      </c>
      <c r="H6" s="1" t="s">
        <v>117</v>
      </c>
    </row>
    <row r="7" spans="1:8" ht="16.8" customHeight="1">
      <c r="A7" s="1" t="s">
        <v>6066</v>
      </c>
      <c r="B7" s="1" t="s">
        <v>6067</v>
      </c>
      <c r="C7" s="1" t="s">
        <v>18</v>
      </c>
      <c r="D7" s="1" t="s">
        <v>2859</v>
      </c>
      <c r="E7" s="12">
        <f>1000*F7</f>
        <v>4448.2216152604997</v>
      </c>
      <c r="F7" s="12">
        <f>'Physical Definitions'!E13*Systems!L6*SI!E2*SI!E3/POWER(SI!E4,2)</f>
        <v>4.4482216152604996</v>
      </c>
      <c r="G7" s="1" t="s">
        <v>1085</v>
      </c>
      <c r="H7" s="1" t="s">
        <v>1148</v>
      </c>
    </row>
    <row r="8" spans="1:8" ht="16.5">
      <c r="A8" s="1" t="s">
        <v>571</v>
      </c>
      <c r="B8" s="1" t="s">
        <v>572</v>
      </c>
      <c r="C8" s="1" t="s">
        <v>18</v>
      </c>
      <c r="D8" s="1" t="s">
        <v>2859</v>
      </c>
      <c r="E8" s="12">
        <f>F8</f>
        <v>8.6409346485000014E-3</v>
      </c>
      <c r="F8" s="12">
        <f>((Systems!L6/16)*Systems!D6/POWER(SI!E4,2))*SI!E2*SI!E3/POWER(SI!E4,2)</f>
        <v>8.6409346485000014E-3</v>
      </c>
      <c r="G8" s="1" t="s">
        <v>1085</v>
      </c>
      <c r="H8" s="1" t="s">
        <v>1148</v>
      </c>
    </row>
    <row r="9" spans="1:8" ht="16.5">
      <c r="A9" s="1" t="s">
        <v>6065</v>
      </c>
      <c r="B9" s="1" t="s">
        <v>2300</v>
      </c>
      <c r="C9" s="1" t="s">
        <v>18</v>
      </c>
      <c r="D9" s="1" t="s">
        <v>2859</v>
      </c>
      <c r="E9" s="12">
        <f>F9</f>
        <v>4.4482216152604996</v>
      </c>
      <c r="F9" s="12">
        <f>Systems!L6*'Physical Definitions'!E13*SI!E2*SI!E3/POWER(SI!E4,2)</f>
        <v>4.4482216152604996</v>
      </c>
      <c r="G9" s="1" t="s">
        <v>1085</v>
      </c>
      <c r="H9" s="1" t="s">
        <v>1148</v>
      </c>
    </row>
    <row r="10" spans="1:8" ht="16.5">
      <c r="A10" s="1" t="s">
        <v>612</v>
      </c>
      <c r="B10" s="1" t="s">
        <v>613</v>
      </c>
      <c r="C10" s="1" t="s">
        <v>18</v>
      </c>
      <c r="D10" s="1" t="s">
        <v>2859</v>
      </c>
      <c r="E10" s="12">
        <f>2240*F10</f>
        <v>309.69109780224005</v>
      </c>
      <c r="F10" s="12">
        <f>Systems!L6*Systems!D6*SI!E2*SI!E3/POWER(SI!E4,2)</f>
        <v>0.13825495437600002</v>
      </c>
      <c r="G10" s="1" t="s">
        <v>1085</v>
      </c>
      <c r="H10" s="1" t="s">
        <v>1148</v>
      </c>
    </row>
    <row r="11" spans="1:8" ht="16.5">
      <c r="A11" s="1" t="s">
        <v>6068</v>
      </c>
      <c r="B11" s="1" t="s">
        <v>3030</v>
      </c>
      <c r="C11" s="1" t="s">
        <v>18</v>
      </c>
      <c r="D11" s="1" t="s">
        <v>2859</v>
      </c>
      <c r="E11" s="12">
        <v>9.8066499999999994</v>
      </c>
      <c r="F11" s="12">
        <f>'Physical Definitions'!E13*SI!E2*SI!E3/POWER(SI!E4,2)</f>
        <v>9.8066499999999994</v>
      </c>
      <c r="G11" s="1" t="s">
        <v>1085</v>
      </c>
      <c r="H11" s="1" t="s">
        <v>66</v>
      </c>
    </row>
    <row r="12" spans="1:8" ht="16.5">
      <c r="A12" s="1" t="s">
        <v>6069</v>
      </c>
      <c r="B12" s="1" t="s">
        <v>6070</v>
      </c>
      <c r="C12" s="1" t="s">
        <v>18</v>
      </c>
      <c r="D12" s="1" t="s">
        <v>2859</v>
      </c>
      <c r="E12" s="12">
        <v>9.8066499999999994</v>
      </c>
      <c r="F12" s="12">
        <f>'Physical Definitions'!E13*SI!E2*SI!E3/POWER(SI!E4,2)</f>
        <v>9.8066499999999994</v>
      </c>
      <c r="G12" s="1" t="s">
        <v>1085</v>
      </c>
      <c r="H12" s="1" t="s">
        <v>66</v>
      </c>
    </row>
    <row r="13" spans="1:8" ht="16.5">
      <c r="A13" s="1" t="s">
        <v>1019</v>
      </c>
      <c r="B13" s="1" t="s">
        <v>339</v>
      </c>
      <c r="C13" s="1" t="s">
        <v>18</v>
      </c>
      <c r="D13" s="1" t="s">
        <v>2859</v>
      </c>
      <c r="E13" s="12">
        <f>F13</f>
        <v>9.8066500000000001E-3</v>
      </c>
      <c r="F13" s="12">
        <f>('Physical Definitions'!E26*'Physical Definitions'!E13)*SI!E2*SI!E3/POWER(SI!E4,2)</f>
        <v>9.8066500000000001E-3</v>
      </c>
      <c r="G13" s="1" t="s">
        <v>1085</v>
      </c>
      <c r="H13" s="1" t="s">
        <v>66</v>
      </c>
    </row>
    <row r="14" spans="1:8" ht="16.5">
      <c r="A14" s="1" t="s">
        <v>1638</v>
      </c>
      <c r="B14" s="1" t="s">
        <v>26</v>
      </c>
      <c r="C14" s="1" t="s">
        <v>18</v>
      </c>
      <c r="D14" s="1" t="s">
        <v>2859</v>
      </c>
      <c r="E14" s="12">
        <f>1000*F14</f>
        <v>1000</v>
      </c>
      <c r="F14" s="12">
        <f>SI!E2*SI!E3/POWER(SI!E4,2)</f>
        <v>1</v>
      </c>
      <c r="G14" s="1" t="s">
        <v>1085</v>
      </c>
      <c r="H14" s="1" t="s">
        <v>168</v>
      </c>
    </row>
    <row r="15" spans="1:8" ht="16.5">
      <c r="A15" s="1" t="s">
        <v>2576</v>
      </c>
      <c r="B15" s="1" t="s">
        <v>3031</v>
      </c>
      <c r="C15" s="1" t="s">
        <v>18</v>
      </c>
      <c r="D15" s="1" t="s">
        <v>2859</v>
      </c>
      <c r="E15" s="12">
        <f>0.001*F15</f>
        <v>1E-3</v>
      </c>
      <c r="F15" s="12">
        <f>SI!E2*SI!E3/POWER(SI!E4,2)</f>
        <v>1</v>
      </c>
      <c r="G15" s="1" t="s">
        <v>1085</v>
      </c>
      <c r="H15" s="1" t="s">
        <v>168</v>
      </c>
    </row>
    <row r="16" spans="1:8" ht="16.5">
      <c r="A16" s="1" t="s">
        <v>6071</v>
      </c>
      <c r="B16" s="1" t="s">
        <v>26</v>
      </c>
      <c r="C16" s="1" t="s">
        <v>18</v>
      </c>
      <c r="D16" s="1" t="s">
        <v>2859</v>
      </c>
      <c r="E16" s="12">
        <f>1000*F16</f>
        <v>9806.65</v>
      </c>
      <c r="F16" s="12">
        <f>'Physical Definitions'!E13*SI!E2*SI!E3/POWER(SI!E4,2)</f>
        <v>9.8066499999999994</v>
      </c>
      <c r="G16" s="1" t="s">
        <v>1085</v>
      </c>
      <c r="H16" s="1" t="s">
        <v>168</v>
      </c>
    </row>
    <row r="17" spans="1:8" ht="16.5">
      <c r="A17" s="1" t="s">
        <v>143</v>
      </c>
      <c r="B17" s="1" t="s">
        <v>26</v>
      </c>
      <c r="C17" s="1" t="s">
        <v>18</v>
      </c>
      <c r="D17" s="1" t="s">
        <v>2859</v>
      </c>
      <c r="E17" s="12">
        <f>F17</f>
        <v>0.1</v>
      </c>
      <c r="F17" s="12">
        <f>'Physical Definitions'!E25*SI!E2*SI!E3/POWER(SI!E4,2)</f>
        <v>0.1</v>
      </c>
      <c r="G17" s="1" t="s">
        <v>1085</v>
      </c>
      <c r="H17" s="1" t="s">
        <v>982</v>
      </c>
    </row>
    <row r="18" spans="1:8" ht="16.5">
      <c r="A18" s="1" t="s">
        <v>6072</v>
      </c>
      <c r="B18" s="1" t="s">
        <v>26</v>
      </c>
      <c r="C18" s="1" t="s">
        <v>18</v>
      </c>
      <c r="D18" s="1" t="s">
        <v>2859</v>
      </c>
      <c r="E18" s="12">
        <f>F18</f>
        <v>143.11729823915479</v>
      </c>
      <c r="F18" s="12">
        <f>(Systems!L6*POWER('Physical Definitions'!E13,2)/Systems!D6)*SI!E2*SI!E3/POWER(SI!E4,2)</f>
        <v>143.11729823915479</v>
      </c>
      <c r="G18" s="1" t="s">
        <v>1085</v>
      </c>
      <c r="H18" s="1" t="s">
        <v>982</v>
      </c>
    </row>
    <row r="19" spans="1:8" ht="16.5">
      <c r="A19" s="1" t="s">
        <v>307</v>
      </c>
      <c r="B19" s="1" t="s">
        <v>24</v>
      </c>
      <c r="C19" s="1" t="s">
        <v>18</v>
      </c>
      <c r="D19" s="1" t="s">
        <v>2859</v>
      </c>
      <c r="E19" s="12">
        <f>F19</f>
        <v>1</v>
      </c>
      <c r="F19" s="12">
        <f>SI!E2*SI!E3/POWER(SI!E4,2)</f>
        <v>1</v>
      </c>
      <c r="G19" s="1" t="s">
        <v>1085</v>
      </c>
      <c r="H19" s="1" t="s">
        <v>42</v>
      </c>
    </row>
    <row r="20" spans="1:8" ht="16.5">
      <c r="A20" s="1" t="s">
        <v>6064</v>
      </c>
      <c r="B20" s="1" t="s">
        <v>2190</v>
      </c>
      <c r="C20" s="1" t="s">
        <v>18</v>
      </c>
      <c r="D20" s="1" t="s">
        <v>2859</v>
      </c>
      <c r="E20" s="12">
        <f>F20/16</f>
        <v>0.27801385095378123</v>
      </c>
      <c r="F20" s="12">
        <f>Systems!L6*'Physical Definitions'!E13*SI!E2*SI!E3/POWER(SI!E4,2)</f>
        <v>4.4482216152604996</v>
      </c>
      <c r="G20" s="1" t="s">
        <v>1085</v>
      </c>
      <c r="H20" s="1" t="s">
        <v>46</v>
      </c>
    </row>
    <row r="21" spans="1:8" ht="16.5">
      <c r="A21" s="1" t="s">
        <v>6073</v>
      </c>
      <c r="B21" s="1" t="s">
        <v>26</v>
      </c>
      <c r="C21" s="1" t="s">
        <v>18</v>
      </c>
      <c r="D21" s="1" t="s">
        <v>2859</v>
      </c>
      <c r="E21" s="12">
        <f>2240*F21</f>
        <v>9964.0164181835189</v>
      </c>
      <c r="F21" s="12">
        <f>Systems!L6*'Physical Definitions'!E13*SI!E2*SI!E3/POWER(SI!E4,2)</f>
        <v>4.4482216152604996</v>
      </c>
      <c r="G21" s="1" t="s">
        <v>1085</v>
      </c>
      <c r="H21" s="1" t="s">
        <v>46</v>
      </c>
    </row>
    <row r="22" spans="1:8" ht="16.5">
      <c r="A22" s="1" t="s">
        <v>6064</v>
      </c>
      <c r="B22" s="1" t="s">
        <v>2190</v>
      </c>
      <c r="C22" s="1" t="s">
        <v>18</v>
      </c>
      <c r="D22" s="1" t="s">
        <v>2859</v>
      </c>
      <c r="E22" s="12">
        <f>F22/16</f>
        <v>0.27801385095378123</v>
      </c>
      <c r="F22" s="12">
        <f>Systems!L6*'Physical Definitions'!E13*SI!E2*SI!E3/POWER(SI!E4,2)</f>
        <v>4.4482216152604996</v>
      </c>
      <c r="G22" s="1" t="s">
        <v>1085</v>
      </c>
      <c r="H22" s="1" t="s">
        <v>47</v>
      </c>
    </row>
    <row r="23" spans="1:8" ht="16.5">
      <c r="A23" s="1" t="s">
        <v>6074</v>
      </c>
      <c r="B23" s="1" t="s">
        <v>26</v>
      </c>
      <c r="C23" s="1" t="s">
        <v>18</v>
      </c>
      <c r="D23" s="1" t="s">
        <v>2859</v>
      </c>
      <c r="E23" s="12">
        <f>2000*F23</f>
        <v>8896.4432305209994</v>
      </c>
      <c r="F23" s="12">
        <f>Systems!L6*'Physical Definitions'!E13*SI!E2*SI!E3/POWER(SI!E4,2)</f>
        <v>4.4482216152604996</v>
      </c>
      <c r="G23" s="1" t="s">
        <v>1085</v>
      </c>
      <c r="H23" s="1" t="s">
        <v>47</v>
      </c>
    </row>
    <row r="24" spans="1:8" ht="16.5">
      <c r="A24" t="s">
        <v>3522</v>
      </c>
      <c r="B24" t="s">
        <v>3541</v>
      </c>
      <c r="C24" s="1" t="s">
        <v>18</v>
      </c>
      <c r="D24" s="1" t="s">
        <v>2859</v>
      </c>
      <c r="E24" s="26">
        <f>1E+24*F24</f>
        <v>9.9999999999999998E+23</v>
      </c>
      <c r="F24" s="12">
        <f>SI!E2*SI!E3/POWER(SI!E4,2)</f>
        <v>1</v>
      </c>
      <c r="G24" s="1" t="s">
        <v>1085</v>
      </c>
      <c r="H24" s="1" t="s">
        <v>42</v>
      </c>
    </row>
    <row r="25" spans="1:8" ht="16.5">
      <c r="A25" t="s">
        <v>3523</v>
      </c>
      <c r="B25" t="s">
        <v>3542</v>
      </c>
      <c r="C25" s="1" t="s">
        <v>18</v>
      </c>
      <c r="D25" s="1" t="s">
        <v>2859</v>
      </c>
      <c r="E25" s="26">
        <f>1E+21*F25</f>
        <v>1E+21</v>
      </c>
      <c r="F25" s="12">
        <f>SI!E2*SI!E3/POWER(SI!E4,2)</f>
        <v>1</v>
      </c>
      <c r="G25" s="1" t="s">
        <v>1085</v>
      </c>
      <c r="H25" s="1" t="s">
        <v>42</v>
      </c>
    </row>
    <row r="26" spans="1:8" ht="16.5">
      <c r="A26" t="s">
        <v>3524</v>
      </c>
      <c r="B26" t="s">
        <v>3543</v>
      </c>
      <c r="C26" s="1" t="s">
        <v>18</v>
      </c>
      <c r="D26" s="1" t="s">
        <v>2859</v>
      </c>
      <c r="E26" s="26">
        <f>1000000000000000000*F26</f>
        <v>1E+18</v>
      </c>
      <c r="F26" s="12">
        <f>SI!E2*SI!E3/POWER(SI!E4,2)</f>
        <v>1</v>
      </c>
      <c r="G26" s="1" t="s">
        <v>1085</v>
      </c>
      <c r="H26" s="1" t="s">
        <v>42</v>
      </c>
    </row>
    <row r="27" spans="1:8" ht="16.5">
      <c r="A27" t="s">
        <v>3525</v>
      </c>
      <c r="B27" t="s">
        <v>3544</v>
      </c>
      <c r="C27" s="1" t="s">
        <v>18</v>
      </c>
      <c r="D27" s="1" t="s">
        <v>2859</v>
      </c>
      <c r="E27" s="26">
        <f>1000000000000000*F27</f>
        <v>1000000000000000</v>
      </c>
      <c r="F27" s="12">
        <f>SI!E2*SI!E3/POWER(SI!E4,2)</f>
        <v>1</v>
      </c>
      <c r="G27" s="1" t="s">
        <v>1085</v>
      </c>
      <c r="H27" s="1" t="s">
        <v>42</v>
      </c>
    </row>
    <row r="28" spans="1:8" ht="16.5">
      <c r="A28" t="s">
        <v>3526</v>
      </c>
      <c r="B28" t="s">
        <v>3545</v>
      </c>
      <c r="C28" s="1" t="s">
        <v>18</v>
      </c>
      <c r="D28" s="1" t="s">
        <v>2859</v>
      </c>
      <c r="E28" s="26">
        <f>1000000000000*F28</f>
        <v>1000000000000</v>
      </c>
      <c r="F28" s="12">
        <f>SI!E2*SI!E3/POWER(SI!E4,2)</f>
        <v>1</v>
      </c>
      <c r="G28" s="1" t="s">
        <v>1085</v>
      </c>
      <c r="H28" s="1" t="s">
        <v>42</v>
      </c>
    </row>
    <row r="29" spans="1:8" ht="16.5">
      <c r="A29" t="s">
        <v>3527</v>
      </c>
      <c r="B29" t="s">
        <v>3546</v>
      </c>
      <c r="C29" s="1" t="s">
        <v>18</v>
      </c>
      <c r="D29" s="1" t="s">
        <v>2859</v>
      </c>
      <c r="E29" s="26">
        <f>1000000000*F29</f>
        <v>1000000000</v>
      </c>
      <c r="F29" s="12">
        <f>SI!E2*SI!E3/POWER(SI!E4,2)</f>
        <v>1</v>
      </c>
      <c r="G29" s="1" t="s">
        <v>1085</v>
      </c>
      <c r="H29" s="1" t="s">
        <v>42</v>
      </c>
    </row>
    <row r="30" spans="1:8" ht="16.5">
      <c r="A30" t="s">
        <v>3528</v>
      </c>
      <c r="B30" t="s">
        <v>3547</v>
      </c>
      <c r="C30" s="1" t="s">
        <v>18</v>
      </c>
      <c r="D30" s="1" t="s">
        <v>2859</v>
      </c>
      <c r="E30" s="26">
        <f>1000000*F30</f>
        <v>1000000</v>
      </c>
      <c r="F30" s="12">
        <f>SI!E2*SI!E3/POWER(SI!E4,2)</f>
        <v>1</v>
      </c>
      <c r="G30" s="1" t="s">
        <v>1085</v>
      </c>
      <c r="H30" s="1" t="s">
        <v>42</v>
      </c>
    </row>
    <row r="31" spans="1:8" ht="16.5">
      <c r="A31" t="s">
        <v>3695</v>
      </c>
      <c r="B31" t="s">
        <v>3548</v>
      </c>
      <c r="C31" s="1" t="s">
        <v>18</v>
      </c>
      <c r="D31" s="1" t="s">
        <v>2859</v>
      </c>
      <c r="E31" s="26">
        <f>1000*F31</f>
        <v>1000</v>
      </c>
      <c r="F31" s="12">
        <f>SI!E2*SI!E3/POWER(SI!E4,2)</f>
        <v>1</v>
      </c>
      <c r="G31" s="1" t="s">
        <v>1085</v>
      </c>
      <c r="H31" s="1" t="s">
        <v>42</v>
      </c>
    </row>
    <row r="32" spans="1:8" ht="16.5">
      <c r="A32" t="s">
        <v>3529</v>
      </c>
      <c r="B32" t="s">
        <v>3549</v>
      </c>
      <c r="C32" s="1" t="s">
        <v>18</v>
      </c>
      <c r="D32" s="1" t="s">
        <v>2859</v>
      </c>
      <c r="E32" s="26">
        <f>100*F32</f>
        <v>100</v>
      </c>
      <c r="F32" s="12">
        <f>SI!E2*SI!E3/POWER(SI!E4,2)</f>
        <v>1</v>
      </c>
      <c r="G32" s="1" t="s">
        <v>1085</v>
      </c>
      <c r="H32" s="1" t="s">
        <v>42</v>
      </c>
    </row>
    <row r="33" spans="1:8" ht="16.5">
      <c r="A33" t="s">
        <v>3530</v>
      </c>
      <c r="B33" t="s">
        <v>3550</v>
      </c>
      <c r="C33" s="1" t="s">
        <v>18</v>
      </c>
      <c r="D33" s="1" t="s">
        <v>2859</v>
      </c>
      <c r="E33" s="26">
        <f>10*F33</f>
        <v>10</v>
      </c>
      <c r="F33" s="12">
        <f>SI!E2*SI!E3/POWER(SI!E4,2)</f>
        <v>1</v>
      </c>
      <c r="G33" s="1" t="s">
        <v>1085</v>
      </c>
      <c r="H33" s="1" t="s">
        <v>42</v>
      </c>
    </row>
    <row r="34" spans="1:8" ht="16.5">
      <c r="A34" t="s">
        <v>3531</v>
      </c>
      <c r="B34" t="s">
        <v>3551</v>
      </c>
      <c r="C34" s="1" t="s">
        <v>18</v>
      </c>
      <c r="D34" s="1" t="s">
        <v>2859</v>
      </c>
      <c r="E34" s="26">
        <f>0.1*F34</f>
        <v>0.1</v>
      </c>
      <c r="F34" s="12">
        <f>SI!E2*SI!E3/POWER(SI!E4,2)</f>
        <v>1</v>
      </c>
      <c r="G34" s="1" t="s">
        <v>1085</v>
      </c>
      <c r="H34" s="1" t="s">
        <v>42</v>
      </c>
    </row>
    <row r="35" spans="1:8" ht="16.5">
      <c r="A35" t="s">
        <v>3532</v>
      </c>
      <c r="B35" t="s">
        <v>3552</v>
      </c>
      <c r="C35" s="1" t="s">
        <v>18</v>
      </c>
      <c r="D35" s="1" t="s">
        <v>2859</v>
      </c>
      <c r="E35" s="26">
        <f>0.01*F35</f>
        <v>0.01</v>
      </c>
      <c r="F35" s="12">
        <f>SI!E2*SI!E3/POWER(SI!E4,2)</f>
        <v>1</v>
      </c>
      <c r="G35" s="1" t="s">
        <v>1085</v>
      </c>
      <c r="H35" s="1" t="s">
        <v>42</v>
      </c>
    </row>
    <row r="36" spans="1:8" ht="16.5">
      <c r="A36" t="s">
        <v>3533</v>
      </c>
      <c r="B36" t="s">
        <v>3553</v>
      </c>
      <c r="C36" s="1" t="s">
        <v>18</v>
      </c>
      <c r="D36" s="1" t="s">
        <v>2859</v>
      </c>
      <c r="E36" s="26">
        <f>0.001*F36</f>
        <v>1E-3</v>
      </c>
      <c r="F36" s="12">
        <f>SI!E2*SI!E3/POWER(SI!E4,2)</f>
        <v>1</v>
      </c>
      <c r="G36" s="1" t="s">
        <v>1085</v>
      </c>
      <c r="H36" s="1" t="s">
        <v>42</v>
      </c>
    </row>
    <row r="37" spans="1:8" ht="16.5">
      <c r="A37" t="s">
        <v>3534</v>
      </c>
      <c r="B37" t="s">
        <v>3554</v>
      </c>
      <c r="C37" s="1" t="s">
        <v>18</v>
      </c>
      <c r="D37" s="1" t="s">
        <v>2859</v>
      </c>
      <c r="E37" s="26">
        <f>0.000001*F37</f>
        <v>9.9999999999999995E-7</v>
      </c>
      <c r="F37" s="12">
        <f>SI!E2*SI!E3/POWER(SI!E4,2)</f>
        <v>1</v>
      </c>
      <c r="G37" s="1" t="s">
        <v>1085</v>
      </c>
      <c r="H37" s="1" t="s">
        <v>42</v>
      </c>
    </row>
    <row r="38" spans="1:8" ht="16.5">
      <c r="A38" t="s">
        <v>3535</v>
      </c>
      <c r="B38" t="s">
        <v>3555</v>
      </c>
      <c r="C38" s="1" t="s">
        <v>18</v>
      </c>
      <c r="D38" s="1" t="s">
        <v>2859</v>
      </c>
      <c r="E38" s="26">
        <f>0.000000001*F38</f>
        <v>1.0000000000000001E-9</v>
      </c>
      <c r="F38" s="12">
        <f>SI!E2*SI!E3/POWER(SI!E4,2)</f>
        <v>1</v>
      </c>
      <c r="G38" s="1" t="s">
        <v>1085</v>
      </c>
      <c r="H38" s="1" t="s">
        <v>42</v>
      </c>
    </row>
    <row r="39" spans="1:8" ht="16.5">
      <c r="A39" t="s">
        <v>3536</v>
      </c>
      <c r="B39" t="s">
        <v>3556</v>
      </c>
      <c r="C39" s="1" t="s">
        <v>18</v>
      </c>
      <c r="D39" s="1" t="s">
        <v>2859</v>
      </c>
      <c r="E39" s="26">
        <f>0.000000000001*F39</f>
        <v>9.9999999999999998E-13</v>
      </c>
      <c r="F39" s="12">
        <f>SI!E2*SI!E3/POWER(SI!E4,2)</f>
        <v>1</v>
      </c>
      <c r="G39" s="1" t="s">
        <v>1085</v>
      </c>
      <c r="H39" s="1" t="s">
        <v>42</v>
      </c>
    </row>
    <row r="40" spans="1:8" ht="16.5">
      <c r="A40" t="s">
        <v>3537</v>
      </c>
      <c r="B40" t="s">
        <v>3557</v>
      </c>
      <c r="C40" s="1" t="s">
        <v>18</v>
      </c>
      <c r="D40" s="1" t="s">
        <v>2859</v>
      </c>
      <c r="E40" s="26">
        <f>0.000000000000001*F40</f>
        <v>1.0000000000000001E-15</v>
      </c>
      <c r="F40" s="12">
        <f>SI!E2*SI!E3/POWER(SI!E4,2)</f>
        <v>1</v>
      </c>
      <c r="G40" s="1" t="s">
        <v>1085</v>
      </c>
      <c r="H40" s="1" t="s">
        <v>42</v>
      </c>
    </row>
    <row r="41" spans="1:8" ht="16.5">
      <c r="A41" t="s">
        <v>3538</v>
      </c>
      <c r="B41" t="s">
        <v>3558</v>
      </c>
      <c r="C41" s="1" t="s">
        <v>18</v>
      </c>
      <c r="D41" s="1" t="s">
        <v>2859</v>
      </c>
      <c r="E41" s="26">
        <f>0.000000000000000001*F41</f>
        <v>1.0000000000000001E-18</v>
      </c>
      <c r="F41" s="12">
        <f>SI!E2*SI!E3/POWER(SI!E4,2)</f>
        <v>1</v>
      </c>
      <c r="G41" s="1" t="s">
        <v>1085</v>
      </c>
      <c r="H41" s="1" t="s">
        <v>42</v>
      </c>
    </row>
    <row r="42" spans="1:8" ht="16.5">
      <c r="A42" t="s">
        <v>3539</v>
      </c>
      <c r="B42" t="s">
        <v>3559</v>
      </c>
      <c r="C42" s="1" t="s">
        <v>18</v>
      </c>
      <c r="D42" s="1" t="s">
        <v>2859</v>
      </c>
      <c r="E42" s="26">
        <f>1E-21*F42</f>
        <v>9.9999999999999991E-22</v>
      </c>
      <c r="F42" s="12">
        <f>SI!E2*SI!E3/POWER(SI!E4,2)</f>
        <v>1</v>
      </c>
      <c r="G42" s="1" t="s">
        <v>1085</v>
      </c>
      <c r="H42" s="1" t="s">
        <v>42</v>
      </c>
    </row>
    <row r="43" spans="1:8" ht="16.5">
      <c r="A43" t="s">
        <v>3540</v>
      </c>
      <c r="B43" t="s">
        <v>3560</v>
      </c>
      <c r="C43" s="1" t="s">
        <v>18</v>
      </c>
      <c r="D43" s="1" t="s">
        <v>2859</v>
      </c>
      <c r="E43" s="26">
        <f>1E-24*F43</f>
        <v>9.9999999999999992E-25</v>
      </c>
      <c r="F43" s="12">
        <f>SI!E2*SI!E3/POWER(SI!E4,2)</f>
        <v>1</v>
      </c>
      <c r="G43" s="1" t="s">
        <v>1085</v>
      </c>
      <c r="H43" s="1" t="s">
        <v>42</v>
      </c>
    </row>
    <row r="44" spans="1:8">
      <c r="A44" s="248"/>
      <c r="B44" s="248"/>
      <c r="C44" s="248"/>
      <c r="D44" s="248"/>
      <c r="E44" s="250"/>
      <c r="F44" s="250"/>
      <c r="G44" s="248"/>
      <c r="H44" s="248"/>
    </row>
    <row r="45" spans="1:8" ht="28.8">
      <c r="A45" s="1" t="s">
        <v>6075</v>
      </c>
      <c r="B45" s="1" t="s">
        <v>1199</v>
      </c>
      <c r="C45" s="1" t="s">
        <v>4245</v>
      </c>
      <c r="D45" s="1" t="s">
        <v>2880</v>
      </c>
      <c r="E45" s="12">
        <f>F45</f>
        <v>1.9928519141000254E-24</v>
      </c>
      <c r="F45" s="12">
        <f>('Physical Constants'!E2/(2*PI()*'Physical Measurements'!E5))*SI!E2*SI!E3/SI!E4</f>
        <v>1.9928519141000254E-24</v>
      </c>
      <c r="G45" s="1" t="s">
        <v>1087</v>
      </c>
      <c r="H45" s="1" t="s">
        <v>6</v>
      </c>
    </row>
    <row r="46" spans="1:8" ht="28.8">
      <c r="A46" s="1" t="s">
        <v>102</v>
      </c>
      <c r="B46" s="1" t="s">
        <v>26</v>
      </c>
      <c r="C46" s="1" t="s">
        <v>4245</v>
      </c>
      <c r="D46" s="1" t="s">
        <v>2880</v>
      </c>
      <c r="E46" s="12">
        <f>F46</f>
        <v>1.0000000000000001E-5</v>
      </c>
      <c r="F46" s="12">
        <f>'Physical Definitions'!E26*'Physical Definitions'!E22*SI!E2*SI!E3/SI!E4</f>
        <v>1.0000000000000001E-5</v>
      </c>
      <c r="G46" s="1" t="s">
        <v>1087</v>
      </c>
      <c r="H46" s="1" t="s">
        <v>36</v>
      </c>
    </row>
    <row r="47" spans="1:8" ht="28.8">
      <c r="A47" s="1" t="s">
        <v>6076</v>
      </c>
      <c r="B47" s="1" t="s">
        <v>6312</v>
      </c>
      <c r="C47" s="1" t="s">
        <v>4245</v>
      </c>
      <c r="D47" s="1" t="s">
        <v>2880</v>
      </c>
      <c r="E47" s="12">
        <f>0.00001*F47</f>
        <v>1.0000000000000001E-5</v>
      </c>
      <c r="F47" s="12">
        <f>SI!E2*SI!E3/SI!E4</f>
        <v>1</v>
      </c>
      <c r="G47" s="1" t="s">
        <v>1087</v>
      </c>
      <c r="H47" s="1" t="s">
        <v>36</v>
      </c>
    </row>
    <row r="48" spans="1:8" ht="28.8">
      <c r="A48" s="1" t="s">
        <v>6077</v>
      </c>
      <c r="B48" s="1" t="s">
        <v>6313</v>
      </c>
      <c r="C48" s="1" t="s">
        <v>4245</v>
      </c>
      <c r="D48" s="1" t="s">
        <v>2880</v>
      </c>
      <c r="E48" s="12">
        <f>F48</f>
        <v>1</v>
      </c>
      <c r="F48" s="12">
        <f>SI!E2*SI!E3/SI!E4</f>
        <v>1</v>
      </c>
      <c r="G48" s="1" t="s">
        <v>1087</v>
      </c>
      <c r="H48" s="1" t="s">
        <v>42</v>
      </c>
    </row>
    <row r="49" spans="1:8">
      <c r="A49" s="48"/>
      <c r="B49" s="48"/>
      <c r="C49" s="48"/>
      <c r="D49" s="48"/>
      <c r="E49" s="48"/>
      <c r="F49" s="48"/>
      <c r="G49" s="48"/>
      <c r="H49" s="48"/>
    </row>
    <row r="50" spans="1:8" ht="28.8">
      <c r="A50" s="1" t="s">
        <v>6078</v>
      </c>
      <c r="B50" s="1" t="s">
        <v>1191</v>
      </c>
      <c r="C50" s="1" t="s">
        <v>7</v>
      </c>
      <c r="D50" s="1" t="s">
        <v>2864</v>
      </c>
      <c r="E50" s="12">
        <f>F50</f>
        <v>1.0545718176461565E-34</v>
      </c>
      <c r="F50" s="12">
        <f>('Physical Constants'!E2/(2*PI()))*SI!E2*POWER(SI!E3,2)/SI!E4</f>
        <v>1.0545718176461565E-34</v>
      </c>
      <c r="G50" s="1" t="s">
        <v>1135</v>
      </c>
      <c r="H50" s="1" t="s">
        <v>6</v>
      </c>
    </row>
    <row r="51" spans="1:8" ht="28.8">
      <c r="A51" s="1" t="s">
        <v>6079</v>
      </c>
      <c r="B51" s="1" t="s">
        <v>1192</v>
      </c>
      <c r="C51" s="1" t="s">
        <v>7</v>
      </c>
      <c r="D51" s="1" t="s">
        <v>2864</v>
      </c>
      <c r="E51" s="12">
        <f>F51</f>
        <v>1.0545718176461565E-34</v>
      </c>
      <c r="F51" s="12">
        <f>('Physical Constants'!E2/(2*PI()))*SI!E2*POWER(SI!E3,2)/SI!E4</f>
        <v>1.0545718176461565E-34</v>
      </c>
      <c r="G51" s="1" t="s">
        <v>1135</v>
      </c>
      <c r="H51" s="1" t="s">
        <v>6</v>
      </c>
    </row>
    <row r="52" spans="1:8" ht="28.8">
      <c r="A52" s="1" t="s">
        <v>334</v>
      </c>
      <c r="B52" s="1" t="s">
        <v>26</v>
      </c>
      <c r="C52" s="1" t="s">
        <v>7</v>
      </c>
      <c r="D52" s="1" t="s">
        <v>2864</v>
      </c>
      <c r="E52" s="12">
        <f>F52</f>
        <v>1</v>
      </c>
      <c r="F52" s="12">
        <f>SI!E2*POWER(SI!E3,2)/SI!E4</f>
        <v>1</v>
      </c>
      <c r="G52" s="1" t="s">
        <v>1135</v>
      </c>
      <c r="H52" s="1" t="s">
        <v>982</v>
      </c>
    </row>
    <row r="53" spans="1:8" ht="28.8">
      <c r="A53" s="1" t="s">
        <v>6080</v>
      </c>
      <c r="B53" s="1" t="s">
        <v>6314</v>
      </c>
      <c r="C53" s="1" t="s">
        <v>7</v>
      </c>
      <c r="D53" s="1" t="s">
        <v>2864</v>
      </c>
      <c r="E53" s="12">
        <f>F53</f>
        <v>1</v>
      </c>
      <c r="F53" s="12">
        <f>SI!E2*POWER(SI!E3,2)/SI!E4</f>
        <v>1</v>
      </c>
      <c r="G53" s="1" t="s">
        <v>1135</v>
      </c>
      <c r="H53" s="1" t="s">
        <v>42</v>
      </c>
    </row>
    <row r="54" spans="1:8">
      <c r="A54" s="248"/>
      <c r="B54" s="248"/>
      <c r="C54" s="248"/>
      <c r="D54" s="248"/>
      <c r="E54" s="250"/>
      <c r="F54" s="250"/>
      <c r="G54" s="248"/>
      <c r="H54" s="248"/>
    </row>
    <row r="55" spans="1:8" ht="28.8">
      <c r="A55" s="1" t="s">
        <v>6081</v>
      </c>
      <c r="B55" s="1" t="s">
        <v>26</v>
      </c>
      <c r="C55" s="1" t="s">
        <v>4246</v>
      </c>
      <c r="D55" s="1" t="s">
        <v>2919</v>
      </c>
      <c r="E55" s="12">
        <f>0.00000001*F55/3</f>
        <v>3.3333333333333334E-9</v>
      </c>
      <c r="F55" s="12">
        <f>SI!E2/SI!E4</f>
        <v>1</v>
      </c>
      <c r="G55" s="1" t="s">
        <v>1137</v>
      </c>
      <c r="H55" s="1" t="s">
        <v>982</v>
      </c>
    </row>
    <row r="56" spans="1:8" ht="28.8">
      <c r="A56" s="1" t="s">
        <v>6082</v>
      </c>
      <c r="B56" s="1" t="s">
        <v>6315</v>
      </c>
      <c r="C56" s="1" t="s">
        <v>4246</v>
      </c>
      <c r="D56" s="1" t="s">
        <v>2919</v>
      </c>
      <c r="E56" s="12">
        <f>F56</f>
        <v>1</v>
      </c>
      <c r="F56" s="12">
        <f>SI!E2/SI!E4</f>
        <v>1</v>
      </c>
      <c r="G56" s="1" t="s">
        <v>1137</v>
      </c>
      <c r="H56" s="1" t="s">
        <v>42</v>
      </c>
    </row>
    <row r="57" spans="1:8" ht="28.8">
      <c r="A57" s="1" t="s">
        <v>6083</v>
      </c>
      <c r="B57" s="1" t="s">
        <v>2127</v>
      </c>
      <c r="C57" s="1" t="s">
        <v>4246</v>
      </c>
      <c r="D57" s="1" t="s">
        <v>2919</v>
      </c>
      <c r="E57" s="12">
        <f>1*F57</f>
        <v>1</v>
      </c>
      <c r="F57" s="12">
        <f>SI!E2/SI!E4</f>
        <v>1</v>
      </c>
      <c r="G57" s="1" t="s">
        <v>1137</v>
      </c>
      <c r="H57" s="1" t="s">
        <v>42</v>
      </c>
    </row>
    <row r="58" spans="1:8">
      <c r="A58" s="248"/>
      <c r="B58" s="248"/>
      <c r="C58" s="248"/>
      <c r="D58" s="248"/>
      <c r="E58" s="250"/>
      <c r="F58" s="250"/>
      <c r="G58" s="248"/>
      <c r="H58" s="248"/>
    </row>
    <row r="59" spans="1:8" ht="43.2">
      <c r="A59" s="1" t="s">
        <v>6084</v>
      </c>
      <c r="B59" s="1" t="s">
        <v>99</v>
      </c>
      <c r="C59" s="1" t="s">
        <v>4247</v>
      </c>
      <c r="D59" s="1" t="s">
        <v>83</v>
      </c>
      <c r="E59" s="12">
        <f>F59</f>
        <v>8.630974841241602E-3</v>
      </c>
      <c r="F59" s="12">
        <f>POWER(Systems!D6,4)*POWER(SI!E3,4)</f>
        <v>8.630974841241602E-3</v>
      </c>
      <c r="G59" s="1" t="s">
        <v>82</v>
      </c>
      <c r="H59" s="1" t="s">
        <v>1148</v>
      </c>
    </row>
    <row r="60" spans="1:8" ht="43.2">
      <c r="A60" s="1" t="s">
        <v>6085</v>
      </c>
      <c r="B60" s="1" t="s">
        <v>100</v>
      </c>
      <c r="C60" s="1" t="s">
        <v>4247</v>
      </c>
      <c r="D60" s="1" t="s">
        <v>83</v>
      </c>
      <c r="E60" s="12">
        <f>F60</f>
        <v>4.1623142560000013E-7</v>
      </c>
      <c r="F60" s="12">
        <f>POWER(Systems!D6/12,4)*POWER(SI!E3,4)</f>
        <v>4.1623142560000013E-7</v>
      </c>
      <c r="G60" s="1" t="s">
        <v>82</v>
      </c>
      <c r="H60" s="1" t="s">
        <v>1148</v>
      </c>
    </row>
    <row r="61" spans="1:8" ht="43.2">
      <c r="A61" s="1" t="s">
        <v>6086</v>
      </c>
      <c r="B61" s="1" t="s">
        <v>82</v>
      </c>
      <c r="C61" s="1" t="s">
        <v>4247</v>
      </c>
      <c r="D61" s="1" t="s">
        <v>83</v>
      </c>
      <c r="E61" s="12">
        <f>F61</f>
        <v>1</v>
      </c>
      <c r="F61" s="12">
        <f>POWER(SI!E3,4)</f>
        <v>1</v>
      </c>
      <c r="G61" s="1" t="s">
        <v>82</v>
      </c>
      <c r="H61" s="1" t="s">
        <v>42</v>
      </c>
    </row>
    <row r="62" spans="1:8" ht="43.2">
      <c r="A62" s="1" t="s">
        <v>6087</v>
      </c>
      <c r="B62" s="1" t="s">
        <v>6088</v>
      </c>
      <c r="C62" s="1" t="s">
        <v>4247</v>
      </c>
      <c r="D62" s="1" t="s">
        <v>83</v>
      </c>
      <c r="E62" s="12">
        <f>5280*42*F62</f>
        <v>255.86524916860725</v>
      </c>
      <c r="F62" s="12">
        <f>Systems!P8*Systems!D6*POWER(SI!E3,4)</f>
        <v>1.1537935117632001E-3</v>
      </c>
      <c r="G62" s="1" t="s">
        <v>82</v>
      </c>
      <c r="H62" s="1" t="s">
        <v>47</v>
      </c>
    </row>
    <row r="63" spans="1:8">
      <c r="A63" s="248"/>
      <c r="B63" s="248"/>
      <c r="C63" s="248"/>
      <c r="D63" s="248"/>
      <c r="E63" s="250"/>
      <c r="F63" s="250"/>
      <c r="G63" s="248"/>
      <c r="H63" s="24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D4E5E-9A88-4C94-B54C-7E7DD75F4C0D}">
  <sheetPr codeName="Sheet23"/>
  <dimension ref="A1:H105"/>
  <sheetViews>
    <sheetView workbookViewId="0">
      <selection activeCell="A20" sqref="A20"/>
    </sheetView>
  </sheetViews>
  <sheetFormatPr defaultRowHeight="14.4"/>
  <cols>
    <col min="1" max="1" width="24.1015625" customWidth="1"/>
    <col min="3" max="3" width="16.1015625" customWidth="1"/>
    <col min="4" max="4" width="19.3671875" customWidth="1"/>
    <col min="5" max="5" width="20.68359375" customWidth="1"/>
    <col min="6" max="6" width="21.3671875" customWidth="1"/>
    <col min="7" max="7" width="13.578125" customWidth="1"/>
  </cols>
  <sheetData>
    <row r="1" spans="1:8">
      <c r="A1" s="2" t="s">
        <v>11</v>
      </c>
      <c r="B1" s="2" t="s">
        <v>1</v>
      </c>
      <c r="C1" s="2" t="s">
        <v>2</v>
      </c>
      <c r="D1" s="2" t="s">
        <v>3</v>
      </c>
      <c r="E1" s="2" t="s">
        <v>4</v>
      </c>
      <c r="F1" s="128" t="s">
        <v>937</v>
      </c>
      <c r="G1" s="2" t="s">
        <v>0</v>
      </c>
      <c r="H1" s="2" t="s">
        <v>5</v>
      </c>
    </row>
    <row r="2" spans="1:8">
      <c r="A2" s="1" t="s">
        <v>6089</v>
      </c>
      <c r="B2" s="1" t="s">
        <v>106</v>
      </c>
      <c r="C2" s="1" t="s">
        <v>4241</v>
      </c>
      <c r="D2" s="1" t="s">
        <v>15</v>
      </c>
      <c r="E2" s="12">
        <f>F2</f>
        <v>1</v>
      </c>
      <c r="F2" s="12">
        <f>SI!E8</f>
        <v>1</v>
      </c>
      <c r="G2" s="1" t="s">
        <v>104</v>
      </c>
      <c r="H2" s="1" t="s">
        <v>65</v>
      </c>
    </row>
    <row r="3" spans="1:8">
      <c r="A3" s="1" t="s">
        <v>118</v>
      </c>
      <c r="B3" s="1" t="s">
        <v>26</v>
      </c>
      <c r="C3" s="1" t="s">
        <v>4241</v>
      </c>
      <c r="D3" s="1" t="s">
        <v>15</v>
      </c>
      <c r="E3" s="12">
        <f>10*F3</f>
        <v>10</v>
      </c>
      <c r="F3" s="12">
        <f>SI!E8</f>
        <v>1</v>
      </c>
      <c r="G3" s="1" t="s">
        <v>104</v>
      </c>
      <c r="H3" s="1" t="s">
        <v>65</v>
      </c>
    </row>
    <row r="4" spans="1:8">
      <c r="A4" s="1" t="s">
        <v>6090</v>
      </c>
      <c r="B4" s="1" t="s">
        <v>1758</v>
      </c>
      <c r="C4" s="1" t="s">
        <v>4241</v>
      </c>
      <c r="D4" s="1" t="s">
        <v>15</v>
      </c>
      <c r="E4" s="12">
        <f>0.903*F4</f>
        <v>0.90300000000000002</v>
      </c>
      <c r="F4" s="12">
        <f>SI!E8</f>
        <v>1</v>
      </c>
      <c r="G4" s="1" t="s">
        <v>104</v>
      </c>
      <c r="H4" s="1" t="s">
        <v>59</v>
      </c>
    </row>
    <row r="5" spans="1:8">
      <c r="A5" s="1" t="s">
        <v>3002</v>
      </c>
      <c r="B5" s="1" t="s">
        <v>3003</v>
      </c>
      <c r="C5" s="1" t="s">
        <v>4241</v>
      </c>
      <c r="D5" s="1" t="s">
        <v>15</v>
      </c>
      <c r="E5" s="12">
        <f>0.903*F5</f>
        <v>0.90300000000000002</v>
      </c>
      <c r="F5" s="12">
        <f>SI!E8</f>
        <v>1</v>
      </c>
      <c r="G5" s="1" t="s">
        <v>104</v>
      </c>
      <c r="H5" s="1" t="s">
        <v>59</v>
      </c>
    </row>
    <row r="6" spans="1:8" ht="28.8">
      <c r="A6" s="1" t="s">
        <v>6091</v>
      </c>
      <c r="B6" s="1" t="s">
        <v>103</v>
      </c>
      <c r="C6" s="1" t="s">
        <v>4241</v>
      </c>
      <c r="D6" s="1" t="s">
        <v>15</v>
      </c>
      <c r="E6" s="12">
        <f>F6</f>
        <v>1</v>
      </c>
      <c r="F6" s="12">
        <f>SI!E8</f>
        <v>1</v>
      </c>
      <c r="G6" s="1" t="s">
        <v>104</v>
      </c>
      <c r="H6" s="1" t="s">
        <v>58</v>
      </c>
    </row>
    <row r="7" spans="1:8">
      <c r="A7" s="1" t="s">
        <v>2964</v>
      </c>
      <c r="B7" s="1" t="s">
        <v>111</v>
      </c>
      <c r="C7" s="1" t="s">
        <v>4241</v>
      </c>
      <c r="D7" s="1" t="s">
        <v>15</v>
      </c>
      <c r="E7" s="12">
        <f>(60/58.86)*F7</f>
        <v>1.019367991845056</v>
      </c>
      <c r="F7" s="12">
        <f>SI!E8</f>
        <v>1</v>
      </c>
      <c r="G7" s="1" t="s">
        <v>104</v>
      </c>
      <c r="H7" s="1" t="s">
        <v>58</v>
      </c>
    </row>
    <row r="8" spans="1:8">
      <c r="A8" s="1" t="s">
        <v>6092</v>
      </c>
      <c r="B8" s="1" t="s">
        <v>26</v>
      </c>
      <c r="C8" s="1" t="s">
        <v>4241</v>
      </c>
      <c r="D8" s="1" t="s">
        <v>15</v>
      </c>
      <c r="E8" s="12">
        <f>F8</f>
        <v>1</v>
      </c>
      <c r="F8" s="12">
        <f>SI!E8</f>
        <v>1</v>
      </c>
      <c r="G8" s="1" t="s">
        <v>104</v>
      </c>
      <c r="H8" s="1" t="s">
        <v>58</v>
      </c>
    </row>
    <row r="9" spans="1:8">
      <c r="A9" s="1" t="s">
        <v>6093</v>
      </c>
      <c r="B9" s="1" t="s">
        <v>86</v>
      </c>
      <c r="C9" s="1" t="s">
        <v>4241</v>
      </c>
      <c r="D9" s="1" t="s">
        <v>15</v>
      </c>
      <c r="E9" s="12">
        <f>1.019*F9</f>
        <v>1.0189999999999999</v>
      </c>
      <c r="F9" s="12">
        <f>SI!E8</f>
        <v>1</v>
      </c>
      <c r="G9" s="1" t="s">
        <v>104</v>
      </c>
      <c r="H9" s="1" t="s">
        <v>982</v>
      </c>
    </row>
    <row r="10" spans="1:8">
      <c r="A10" s="1" t="s">
        <v>416</v>
      </c>
      <c r="B10" s="1" t="s">
        <v>26</v>
      </c>
      <c r="C10" s="1" t="s">
        <v>4241</v>
      </c>
      <c r="D10" s="1" t="s">
        <v>15</v>
      </c>
      <c r="E10" s="12">
        <f>20.4*F10</f>
        <v>20.399999999999999</v>
      </c>
      <c r="F10" s="12">
        <f>SI!E8</f>
        <v>1</v>
      </c>
      <c r="G10" s="1" t="s">
        <v>104</v>
      </c>
      <c r="H10" s="1" t="s">
        <v>982</v>
      </c>
    </row>
    <row r="11" spans="1:8">
      <c r="A11" s="1" t="s">
        <v>110</v>
      </c>
      <c r="B11" s="1" t="s">
        <v>104</v>
      </c>
      <c r="C11" s="1" t="s">
        <v>4241</v>
      </c>
      <c r="D11" s="1" t="s">
        <v>15</v>
      </c>
      <c r="E11" s="12">
        <f>F11</f>
        <v>1</v>
      </c>
      <c r="F11" s="12">
        <f>SI!E8</f>
        <v>1</v>
      </c>
      <c r="G11" s="1" t="s">
        <v>104</v>
      </c>
      <c r="H11" s="1" t="s">
        <v>42</v>
      </c>
    </row>
    <row r="12" spans="1:8">
      <c r="A12" s="1" t="s">
        <v>6089</v>
      </c>
      <c r="B12" s="1" t="s">
        <v>106</v>
      </c>
      <c r="C12" s="1" t="s">
        <v>4241</v>
      </c>
      <c r="D12" s="1" t="s">
        <v>15</v>
      </c>
      <c r="E12" s="12">
        <f>F12</f>
        <v>1</v>
      </c>
      <c r="F12" s="12">
        <f>SI!E8</f>
        <v>1</v>
      </c>
      <c r="G12" s="1" t="s">
        <v>104</v>
      </c>
      <c r="H12" s="1" t="s">
        <v>46</v>
      </c>
    </row>
    <row r="13" spans="1:8">
      <c r="A13" s="1" t="s">
        <v>6094</v>
      </c>
      <c r="B13" s="1" t="s">
        <v>111</v>
      </c>
      <c r="C13" s="1" t="s">
        <v>4241</v>
      </c>
      <c r="D13" s="1" t="s">
        <v>15</v>
      </c>
      <c r="E13" s="12">
        <f>(60/58.86)*F13</f>
        <v>1.019367991845056</v>
      </c>
      <c r="F13" s="12">
        <f>SI!E8</f>
        <v>1</v>
      </c>
      <c r="G13" s="1" t="s">
        <v>104</v>
      </c>
      <c r="H13" s="1" t="s">
        <v>46</v>
      </c>
    </row>
    <row r="14" spans="1:8">
      <c r="A14" s="1" t="s">
        <v>6095</v>
      </c>
      <c r="B14" s="1" t="s">
        <v>26</v>
      </c>
      <c r="C14" s="1" t="s">
        <v>4241</v>
      </c>
      <c r="D14" s="1" t="s">
        <v>15</v>
      </c>
      <c r="E14" s="12">
        <f>F14*(60/58.86)</f>
        <v>1.019367991845056</v>
      </c>
      <c r="F14" s="12">
        <f>SI!E8</f>
        <v>1</v>
      </c>
      <c r="G14" s="1" t="s">
        <v>104</v>
      </c>
      <c r="H14" s="1" t="s">
        <v>46</v>
      </c>
    </row>
    <row r="15" spans="1:8">
      <c r="A15" s="1" t="s">
        <v>7466</v>
      </c>
      <c r="B15" s="1" t="s">
        <v>26</v>
      </c>
      <c r="C15" s="1" t="s">
        <v>4241</v>
      </c>
      <c r="D15" s="1" t="s">
        <v>15</v>
      </c>
      <c r="E15" s="12">
        <f>9.61*F15</f>
        <v>9.7961264016309872</v>
      </c>
      <c r="F15" s="12">
        <f>SI!E8*(60/58.86)</f>
        <v>1.019367991845056</v>
      </c>
      <c r="G15" s="1" t="s">
        <v>104</v>
      </c>
      <c r="H15" s="1" t="s">
        <v>46</v>
      </c>
    </row>
    <row r="16" spans="1:8">
      <c r="A16" t="s">
        <v>4014</v>
      </c>
      <c r="B16" t="s">
        <v>4034</v>
      </c>
      <c r="C16" s="1" t="s">
        <v>4241</v>
      </c>
      <c r="D16" s="1" t="s">
        <v>15</v>
      </c>
      <c r="E16" s="26">
        <f>1E+24*F16</f>
        <v>9.9999999999999998E+23</v>
      </c>
      <c r="F16" s="12">
        <f>SI!E8</f>
        <v>1</v>
      </c>
      <c r="G16" s="1" t="s">
        <v>104</v>
      </c>
      <c r="H16" s="1" t="s">
        <v>42</v>
      </c>
    </row>
    <row r="17" spans="1:8">
      <c r="A17" t="s">
        <v>4015</v>
      </c>
      <c r="B17" t="s">
        <v>4035</v>
      </c>
      <c r="C17" s="1" t="s">
        <v>4241</v>
      </c>
      <c r="D17" s="1" t="s">
        <v>15</v>
      </c>
      <c r="E17" s="26">
        <f>1E+21*F17</f>
        <v>1E+21</v>
      </c>
      <c r="F17" s="12">
        <f>SI!E8</f>
        <v>1</v>
      </c>
      <c r="G17" s="1" t="s">
        <v>104</v>
      </c>
      <c r="H17" s="1" t="s">
        <v>42</v>
      </c>
    </row>
    <row r="18" spans="1:8">
      <c r="A18" t="s">
        <v>4016</v>
      </c>
      <c r="B18" t="s">
        <v>4036</v>
      </c>
      <c r="C18" s="1" t="s">
        <v>4241</v>
      </c>
      <c r="D18" s="1" t="s">
        <v>15</v>
      </c>
      <c r="E18" s="26">
        <f>1000000000000000000*F18</f>
        <v>1E+18</v>
      </c>
      <c r="F18" s="12">
        <f>SI!E8</f>
        <v>1</v>
      </c>
      <c r="G18" s="1" t="s">
        <v>104</v>
      </c>
      <c r="H18" s="1" t="s">
        <v>42</v>
      </c>
    </row>
    <row r="19" spans="1:8">
      <c r="A19" t="s">
        <v>4017</v>
      </c>
      <c r="B19" t="s">
        <v>4037</v>
      </c>
      <c r="C19" s="1" t="s">
        <v>4241</v>
      </c>
      <c r="D19" s="1" t="s">
        <v>15</v>
      </c>
      <c r="E19" s="26">
        <f>1000000000000000*F19</f>
        <v>1000000000000000</v>
      </c>
      <c r="F19" s="12">
        <f>SI!E8</f>
        <v>1</v>
      </c>
      <c r="G19" s="1" t="s">
        <v>104</v>
      </c>
      <c r="H19" s="1" t="s">
        <v>42</v>
      </c>
    </row>
    <row r="20" spans="1:8">
      <c r="A20" t="s">
        <v>4018</v>
      </c>
      <c r="B20" t="s">
        <v>4038</v>
      </c>
      <c r="C20" s="1" t="s">
        <v>4241</v>
      </c>
      <c r="D20" s="1" t="s">
        <v>15</v>
      </c>
      <c r="E20" s="26">
        <f>1000000000000*F20</f>
        <v>1000000000000</v>
      </c>
      <c r="F20" s="12">
        <f>SI!E8</f>
        <v>1</v>
      </c>
      <c r="G20" s="1" t="s">
        <v>104</v>
      </c>
      <c r="H20" s="1" t="s">
        <v>42</v>
      </c>
    </row>
    <row r="21" spans="1:8">
      <c r="A21" t="s">
        <v>4019</v>
      </c>
      <c r="B21" t="s">
        <v>4039</v>
      </c>
      <c r="C21" s="1" t="s">
        <v>4241</v>
      </c>
      <c r="D21" s="1" t="s">
        <v>15</v>
      </c>
      <c r="E21" s="26">
        <f>1000000000*F21</f>
        <v>1000000000</v>
      </c>
      <c r="F21" s="12">
        <f>SI!E8</f>
        <v>1</v>
      </c>
      <c r="G21" s="1" t="s">
        <v>104</v>
      </c>
      <c r="H21" s="1" t="s">
        <v>42</v>
      </c>
    </row>
    <row r="22" spans="1:8">
      <c r="A22" t="s">
        <v>4020</v>
      </c>
      <c r="B22" t="s">
        <v>4040</v>
      </c>
      <c r="C22" s="1" t="s">
        <v>4241</v>
      </c>
      <c r="D22" s="1" t="s">
        <v>15</v>
      </c>
      <c r="E22" s="26">
        <f>1000000*F22</f>
        <v>1000000</v>
      </c>
      <c r="F22" s="12">
        <f>SI!E8</f>
        <v>1</v>
      </c>
      <c r="G22" s="1" t="s">
        <v>104</v>
      </c>
      <c r="H22" s="1" t="s">
        <v>42</v>
      </c>
    </row>
    <row r="23" spans="1:8">
      <c r="A23" t="s">
        <v>4021</v>
      </c>
      <c r="B23" t="s">
        <v>4041</v>
      </c>
      <c r="C23" s="1" t="s">
        <v>4241</v>
      </c>
      <c r="D23" s="1" t="s">
        <v>15</v>
      </c>
      <c r="E23" s="26">
        <f>1000*F23</f>
        <v>1000</v>
      </c>
      <c r="F23" s="12">
        <f>SI!E8</f>
        <v>1</v>
      </c>
      <c r="G23" s="1" t="s">
        <v>104</v>
      </c>
      <c r="H23" s="1" t="s">
        <v>42</v>
      </c>
    </row>
    <row r="24" spans="1:8">
      <c r="A24" t="s">
        <v>4022</v>
      </c>
      <c r="B24" t="s">
        <v>4042</v>
      </c>
      <c r="C24" s="1" t="s">
        <v>4241</v>
      </c>
      <c r="D24" s="1" t="s">
        <v>15</v>
      </c>
      <c r="E24" s="26">
        <f>100*F24</f>
        <v>100</v>
      </c>
      <c r="F24" s="12">
        <f>SI!E8</f>
        <v>1</v>
      </c>
      <c r="G24" s="1" t="s">
        <v>104</v>
      </c>
      <c r="H24" s="1" t="s">
        <v>42</v>
      </c>
    </row>
    <row r="25" spans="1:8">
      <c r="A25" t="s">
        <v>4023</v>
      </c>
      <c r="B25" t="s">
        <v>4043</v>
      </c>
      <c r="C25" s="1" t="s">
        <v>4241</v>
      </c>
      <c r="D25" s="1" t="s">
        <v>15</v>
      </c>
      <c r="E25" s="26">
        <f>10*F25</f>
        <v>10</v>
      </c>
      <c r="F25" s="12">
        <f>SI!E8</f>
        <v>1</v>
      </c>
      <c r="G25" s="1" t="s">
        <v>104</v>
      </c>
      <c r="H25" s="1" t="s">
        <v>42</v>
      </c>
    </row>
    <row r="26" spans="1:8">
      <c r="A26" t="s">
        <v>4024</v>
      </c>
      <c r="B26" t="s">
        <v>4044</v>
      </c>
      <c r="C26" s="1" t="s">
        <v>4241</v>
      </c>
      <c r="D26" s="1" t="s">
        <v>15</v>
      </c>
      <c r="E26" s="26">
        <f>0.1*F26</f>
        <v>0.1</v>
      </c>
      <c r="F26" s="12">
        <f>SI!E8</f>
        <v>1</v>
      </c>
      <c r="G26" s="1" t="s">
        <v>104</v>
      </c>
      <c r="H26" s="1" t="s">
        <v>42</v>
      </c>
    </row>
    <row r="27" spans="1:8">
      <c r="A27" t="s">
        <v>4025</v>
      </c>
      <c r="B27" t="s">
        <v>4045</v>
      </c>
      <c r="C27" s="1" t="s">
        <v>4241</v>
      </c>
      <c r="D27" s="1" t="s">
        <v>15</v>
      </c>
      <c r="E27" s="26">
        <f>0.01*F27</f>
        <v>0.01</v>
      </c>
      <c r="F27" s="12">
        <f>SI!E8</f>
        <v>1</v>
      </c>
      <c r="G27" s="1" t="s">
        <v>104</v>
      </c>
      <c r="H27" s="1" t="s">
        <v>42</v>
      </c>
    </row>
    <row r="28" spans="1:8">
      <c r="A28" t="s">
        <v>4026</v>
      </c>
      <c r="B28" t="s">
        <v>4046</v>
      </c>
      <c r="C28" s="1" t="s">
        <v>4241</v>
      </c>
      <c r="D28" s="1" t="s">
        <v>15</v>
      </c>
      <c r="E28" s="26">
        <f>0.001*F28</f>
        <v>1E-3</v>
      </c>
      <c r="F28" s="12">
        <f>SI!E8</f>
        <v>1</v>
      </c>
      <c r="G28" s="1" t="s">
        <v>104</v>
      </c>
      <c r="H28" s="1" t="s">
        <v>42</v>
      </c>
    </row>
    <row r="29" spans="1:8">
      <c r="A29" t="s">
        <v>4027</v>
      </c>
      <c r="B29" t="s">
        <v>4047</v>
      </c>
      <c r="C29" s="1" t="s">
        <v>4241</v>
      </c>
      <c r="D29" s="1" t="s">
        <v>15</v>
      </c>
      <c r="E29" s="26">
        <f>0.000001*F29</f>
        <v>9.9999999999999995E-7</v>
      </c>
      <c r="F29" s="12">
        <f>SI!E8</f>
        <v>1</v>
      </c>
      <c r="G29" s="1" t="s">
        <v>104</v>
      </c>
      <c r="H29" s="1" t="s">
        <v>42</v>
      </c>
    </row>
    <row r="30" spans="1:8">
      <c r="A30" t="s">
        <v>4028</v>
      </c>
      <c r="B30" t="s">
        <v>4048</v>
      </c>
      <c r="C30" s="1" t="s">
        <v>4241</v>
      </c>
      <c r="D30" s="1" t="s">
        <v>15</v>
      </c>
      <c r="E30" s="26">
        <f>0.000000001*F30</f>
        <v>1.0000000000000001E-9</v>
      </c>
      <c r="F30" s="12">
        <f>SI!E8</f>
        <v>1</v>
      </c>
      <c r="G30" s="1" t="s">
        <v>104</v>
      </c>
      <c r="H30" s="1" t="s">
        <v>42</v>
      </c>
    </row>
    <row r="31" spans="1:8">
      <c r="A31" t="s">
        <v>4029</v>
      </c>
      <c r="B31" t="s">
        <v>4049</v>
      </c>
      <c r="C31" s="1" t="s">
        <v>4241</v>
      </c>
      <c r="D31" s="1" t="s">
        <v>15</v>
      </c>
      <c r="E31" s="26">
        <f>0.000000000001*F31</f>
        <v>9.9999999999999998E-13</v>
      </c>
      <c r="F31" s="12">
        <f>SI!E8</f>
        <v>1</v>
      </c>
      <c r="G31" s="1" t="s">
        <v>104</v>
      </c>
      <c r="H31" s="1" t="s">
        <v>42</v>
      </c>
    </row>
    <row r="32" spans="1:8">
      <c r="A32" t="s">
        <v>4030</v>
      </c>
      <c r="B32" t="s">
        <v>4050</v>
      </c>
      <c r="C32" s="1" t="s">
        <v>4241</v>
      </c>
      <c r="D32" s="1" t="s">
        <v>15</v>
      </c>
      <c r="E32" s="26">
        <f>0.000000000000001*F32</f>
        <v>1.0000000000000001E-15</v>
      </c>
      <c r="F32" s="12">
        <f>SI!E8</f>
        <v>1</v>
      </c>
      <c r="G32" s="1" t="s">
        <v>104</v>
      </c>
      <c r="H32" s="1" t="s">
        <v>42</v>
      </c>
    </row>
    <row r="33" spans="1:8">
      <c r="A33" t="s">
        <v>4031</v>
      </c>
      <c r="B33" t="s">
        <v>4051</v>
      </c>
      <c r="C33" s="1" t="s">
        <v>4241</v>
      </c>
      <c r="D33" s="1" t="s">
        <v>15</v>
      </c>
      <c r="E33" s="26">
        <f>0.000000000000000001*F33</f>
        <v>1.0000000000000001E-18</v>
      </c>
      <c r="F33" s="12">
        <f>SI!E8</f>
        <v>1</v>
      </c>
      <c r="G33" s="1" t="s">
        <v>104</v>
      </c>
      <c r="H33" s="1" t="s">
        <v>42</v>
      </c>
    </row>
    <row r="34" spans="1:8">
      <c r="A34" t="s">
        <v>4032</v>
      </c>
      <c r="B34" t="s">
        <v>4052</v>
      </c>
      <c r="C34" s="1" t="s">
        <v>4241</v>
      </c>
      <c r="D34" s="1" t="s">
        <v>15</v>
      </c>
      <c r="E34" s="26">
        <f>1E-21*F34</f>
        <v>9.9999999999999991E-22</v>
      </c>
      <c r="F34" s="12">
        <f>SI!E8</f>
        <v>1</v>
      </c>
      <c r="G34" s="1" t="s">
        <v>104</v>
      </c>
      <c r="H34" s="1" t="s">
        <v>42</v>
      </c>
    </row>
    <row r="35" spans="1:8">
      <c r="A35" t="s">
        <v>4033</v>
      </c>
      <c r="B35" t="s">
        <v>4053</v>
      </c>
      <c r="C35" s="1" t="s">
        <v>4241</v>
      </c>
      <c r="D35" s="1" t="s">
        <v>15</v>
      </c>
      <c r="E35" s="26">
        <f>1E-24*F35</f>
        <v>9.9999999999999992E-25</v>
      </c>
      <c r="F35" s="12">
        <f>SI!E8</f>
        <v>1</v>
      </c>
      <c r="G35" s="1" t="s">
        <v>104</v>
      </c>
      <c r="H35" s="1" t="s">
        <v>42</v>
      </c>
    </row>
    <row r="36" spans="1:8">
      <c r="A36" s="48"/>
      <c r="B36" s="48"/>
      <c r="C36" s="48"/>
      <c r="D36" s="48"/>
      <c r="E36" s="48"/>
      <c r="F36" s="48"/>
      <c r="G36" s="48"/>
      <c r="H36" s="48"/>
    </row>
    <row r="37" spans="1:8" ht="14.7">
      <c r="A37" s="1" t="s">
        <v>6096</v>
      </c>
      <c r="B37" s="1" t="s">
        <v>26</v>
      </c>
      <c r="C37" s="1" t="s">
        <v>4242</v>
      </c>
      <c r="D37" s="1" t="s">
        <v>2857</v>
      </c>
      <c r="E37" s="12">
        <f>F37</f>
        <v>12.566370614359172</v>
      </c>
      <c r="F37" s="12">
        <f>4*PI()*SI!E8*SI!E11</f>
        <v>12.566370614359172</v>
      </c>
      <c r="G37" s="1" t="s">
        <v>113</v>
      </c>
      <c r="H37" s="1" t="s">
        <v>1148</v>
      </c>
    </row>
    <row r="38" spans="1:8" ht="14.7">
      <c r="A38" s="1" t="s">
        <v>275</v>
      </c>
      <c r="B38" s="1" t="s">
        <v>276</v>
      </c>
      <c r="C38" s="1" t="s">
        <v>4242</v>
      </c>
      <c r="D38" s="1" t="s">
        <v>2857</v>
      </c>
      <c r="E38" s="12">
        <f>F38</f>
        <v>1</v>
      </c>
      <c r="F38" s="12">
        <f>SI!E8*SI!E11</f>
        <v>1</v>
      </c>
      <c r="G38" s="1" t="s">
        <v>113</v>
      </c>
      <c r="H38" s="1" t="s">
        <v>42</v>
      </c>
    </row>
    <row r="39" spans="1:8" ht="14.7">
      <c r="A39" t="s">
        <v>3405</v>
      </c>
      <c r="B39" t="s">
        <v>3425</v>
      </c>
      <c r="C39" s="1" t="s">
        <v>4242</v>
      </c>
      <c r="D39" s="1" t="s">
        <v>2857</v>
      </c>
      <c r="E39" s="26">
        <f>1E+24*F39</f>
        <v>9.9999999999999998E+23</v>
      </c>
      <c r="F39" s="12">
        <f>SI!E8*SI!E11</f>
        <v>1</v>
      </c>
      <c r="G39" s="1" t="s">
        <v>113</v>
      </c>
      <c r="H39" s="1" t="s">
        <v>42</v>
      </c>
    </row>
    <row r="40" spans="1:8" ht="14.7">
      <c r="A40" t="s">
        <v>3406</v>
      </c>
      <c r="B40" t="s">
        <v>3426</v>
      </c>
      <c r="C40" s="1" t="s">
        <v>4242</v>
      </c>
      <c r="D40" s="1" t="s">
        <v>2857</v>
      </c>
      <c r="E40" s="26">
        <f>1E+21*F40</f>
        <v>1E+21</v>
      </c>
      <c r="F40" s="12">
        <f>SI!E8*SI!E11</f>
        <v>1</v>
      </c>
      <c r="G40" s="1" t="s">
        <v>113</v>
      </c>
      <c r="H40" s="1" t="s">
        <v>42</v>
      </c>
    </row>
    <row r="41" spans="1:8" ht="14.7">
      <c r="A41" t="s">
        <v>3407</v>
      </c>
      <c r="B41" t="s">
        <v>3427</v>
      </c>
      <c r="C41" s="1" t="s">
        <v>4242</v>
      </c>
      <c r="D41" s="1" t="s">
        <v>2857</v>
      </c>
      <c r="E41" s="26">
        <f>1000000000000000000*F41</f>
        <v>1E+18</v>
      </c>
      <c r="F41" s="12">
        <f>SI!E8*SI!E11</f>
        <v>1</v>
      </c>
      <c r="G41" s="1" t="s">
        <v>113</v>
      </c>
      <c r="H41" s="1" t="s">
        <v>42</v>
      </c>
    </row>
    <row r="42" spans="1:8" ht="14.7">
      <c r="A42" t="s">
        <v>3408</v>
      </c>
      <c r="B42" t="s">
        <v>3428</v>
      </c>
      <c r="C42" s="1" t="s">
        <v>4242</v>
      </c>
      <c r="D42" s="1" t="s">
        <v>2857</v>
      </c>
      <c r="E42" s="26">
        <f>1000000000000000*F42</f>
        <v>1000000000000000</v>
      </c>
      <c r="F42" s="12">
        <f>SI!E8*SI!E11</f>
        <v>1</v>
      </c>
      <c r="G42" s="1" t="s">
        <v>113</v>
      </c>
      <c r="H42" s="1" t="s">
        <v>42</v>
      </c>
    </row>
    <row r="43" spans="1:8" ht="14.7">
      <c r="A43" t="s">
        <v>3409</v>
      </c>
      <c r="B43" t="s">
        <v>3429</v>
      </c>
      <c r="C43" s="1" t="s">
        <v>4242</v>
      </c>
      <c r="D43" s="1" t="s">
        <v>2857</v>
      </c>
      <c r="E43" s="26">
        <f>1000000000000*F43</f>
        <v>1000000000000</v>
      </c>
      <c r="F43" s="12">
        <f>SI!E8*SI!E11</f>
        <v>1</v>
      </c>
      <c r="G43" s="1" t="s">
        <v>113</v>
      </c>
      <c r="H43" s="1" t="s">
        <v>42</v>
      </c>
    </row>
    <row r="44" spans="1:8" ht="14.7">
      <c r="A44" t="s">
        <v>3410</v>
      </c>
      <c r="B44" t="s">
        <v>3430</v>
      </c>
      <c r="C44" s="1" t="s">
        <v>4242</v>
      </c>
      <c r="D44" s="1" t="s">
        <v>2857</v>
      </c>
      <c r="E44" s="26">
        <f>1000000000*F44</f>
        <v>1000000000</v>
      </c>
      <c r="F44" s="12">
        <f>SI!E8*SI!E11</f>
        <v>1</v>
      </c>
      <c r="G44" s="1" t="s">
        <v>113</v>
      </c>
      <c r="H44" s="1" t="s">
        <v>42</v>
      </c>
    </row>
    <row r="45" spans="1:8" ht="14.7">
      <c r="A45" t="s">
        <v>3411</v>
      </c>
      <c r="B45" t="s">
        <v>3431</v>
      </c>
      <c r="C45" s="1" t="s">
        <v>4242</v>
      </c>
      <c r="D45" s="1" t="s">
        <v>2857</v>
      </c>
      <c r="E45" s="26">
        <f>1000000*F45</f>
        <v>1000000</v>
      </c>
      <c r="F45" s="12">
        <f>SI!E8*SI!E11</f>
        <v>1</v>
      </c>
      <c r="G45" s="1" t="s">
        <v>113</v>
      </c>
      <c r="H45" s="1" t="s">
        <v>42</v>
      </c>
    </row>
    <row r="46" spans="1:8" ht="14.7">
      <c r="A46" t="s">
        <v>3412</v>
      </c>
      <c r="B46" t="s">
        <v>3432</v>
      </c>
      <c r="C46" s="1" t="s">
        <v>4242</v>
      </c>
      <c r="D46" s="1" t="s">
        <v>2857</v>
      </c>
      <c r="E46" s="26">
        <f>1000*F46</f>
        <v>1000</v>
      </c>
      <c r="F46" s="12">
        <f>SI!E8*SI!E11</f>
        <v>1</v>
      </c>
      <c r="G46" s="1" t="s">
        <v>113</v>
      </c>
      <c r="H46" s="1" t="s">
        <v>42</v>
      </c>
    </row>
    <row r="47" spans="1:8" ht="14.7">
      <c r="A47" t="s">
        <v>3413</v>
      </c>
      <c r="B47" t="s">
        <v>3433</v>
      </c>
      <c r="C47" s="1" t="s">
        <v>4242</v>
      </c>
      <c r="D47" s="1" t="s">
        <v>2857</v>
      </c>
      <c r="E47" s="26">
        <f>100*F47</f>
        <v>100</v>
      </c>
      <c r="F47" s="12">
        <f>SI!E8*SI!E11</f>
        <v>1</v>
      </c>
      <c r="G47" s="1" t="s">
        <v>113</v>
      </c>
      <c r="H47" s="1" t="s">
        <v>42</v>
      </c>
    </row>
    <row r="48" spans="1:8" ht="14.7">
      <c r="A48" t="s">
        <v>3414</v>
      </c>
      <c r="B48" t="s">
        <v>3434</v>
      </c>
      <c r="C48" s="1" t="s">
        <v>4242</v>
      </c>
      <c r="D48" s="1" t="s">
        <v>2857</v>
      </c>
      <c r="E48" s="26">
        <f>10*F48</f>
        <v>10</v>
      </c>
      <c r="F48" s="12">
        <f>SI!E8*SI!E11</f>
        <v>1</v>
      </c>
      <c r="G48" s="1" t="s">
        <v>113</v>
      </c>
      <c r="H48" s="1" t="s">
        <v>42</v>
      </c>
    </row>
    <row r="49" spans="1:8" ht="14.7">
      <c r="A49" t="s">
        <v>3415</v>
      </c>
      <c r="B49" t="s">
        <v>3435</v>
      </c>
      <c r="C49" s="1" t="s">
        <v>4242</v>
      </c>
      <c r="D49" s="1" t="s">
        <v>2857</v>
      </c>
      <c r="E49" s="26">
        <f>0.1*F49</f>
        <v>0.1</v>
      </c>
      <c r="F49" s="12">
        <f>SI!E8*SI!E11</f>
        <v>1</v>
      </c>
      <c r="G49" s="1" t="s">
        <v>113</v>
      </c>
      <c r="H49" s="1" t="s">
        <v>42</v>
      </c>
    </row>
    <row r="50" spans="1:8" ht="14.7">
      <c r="A50" t="s">
        <v>3416</v>
      </c>
      <c r="B50" t="s">
        <v>3436</v>
      </c>
      <c r="C50" s="1" t="s">
        <v>4242</v>
      </c>
      <c r="D50" s="1" t="s">
        <v>2857</v>
      </c>
      <c r="E50" s="26">
        <f>0.01*F50</f>
        <v>0.01</v>
      </c>
      <c r="F50" s="12">
        <f>SI!E8*SI!E11</f>
        <v>1</v>
      </c>
      <c r="G50" s="1" t="s">
        <v>113</v>
      </c>
      <c r="H50" s="1" t="s">
        <v>42</v>
      </c>
    </row>
    <row r="51" spans="1:8" ht="14.7">
      <c r="A51" t="s">
        <v>3417</v>
      </c>
      <c r="B51" t="s">
        <v>3437</v>
      </c>
      <c r="C51" s="1" t="s">
        <v>4242</v>
      </c>
      <c r="D51" s="1" t="s">
        <v>2857</v>
      </c>
      <c r="E51" s="26">
        <f>0.001*F51</f>
        <v>1E-3</v>
      </c>
      <c r="F51" s="12">
        <f>SI!E8*SI!E11</f>
        <v>1</v>
      </c>
      <c r="G51" s="1" t="s">
        <v>113</v>
      </c>
      <c r="H51" s="1" t="s">
        <v>42</v>
      </c>
    </row>
    <row r="52" spans="1:8" ht="14.7">
      <c r="A52" t="s">
        <v>3418</v>
      </c>
      <c r="B52" t="s">
        <v>3438</v>
      </c>
      <c r="C52" s="1" t="s">
        <v>4242</v>
      </c>
      <c r="D52" s="1" t="s">
        <v>2857</v>
      </c>
      <c r="E52" s="26">
        <f>0.000001*F52</f>
        <v>9.9999999999999995E-7</v>
      </c>
      <c r="F52" s="12">
        <f>SI!E8*SI!E11</f>
        <v>1</v>
      </c>
      <c r="G52" s="1" t="s">
        <v>113</v>
      </c>
      <c r="H52" s="1" t="s">
        <v>42</v>
      </c>
    </row>
    <row r="53" spans="1:8" ht="14.7">
      <c r="A53" t="s">
        <v>3419</v>
      </c>
      <c r="B53" t="s">
        <v>3439</v>
      </c>
      <c r="C53" s="1" t="s">
        <v>4242</v>
      </c>
      <c r="D53" s="1" t="s">
        <v>2857</v>
      </c>
      <c r="E53" s="26">
        <f>0.000000001*F53</f>
        <v>1.0000000000000001E-9</v>
      </c>
      <c r="F53" s="12">
        <f>SI!E8*SI!E11</f>
        <v>1</v>
      </c>
      <c r="G53" s="1" t="s">
        <v>113</v>
      </c>
      <c r="H53" s="1" t="s">
        <v>42</v>
      </c>
    </row>
    <row r="54" spans="1:8" ht="14.7">
      <c r="A54" t="s">
        <v>3420</v>
      </c>
      <c r="B54" t="s">
        <v>316</v>
      </c>
      <c r="C54" s="1" t="s">
        <v>4242</v>
      </c>
      <c r="D54" s="1" t="s">
        <v>2857</v>
      </c>
      <c r="E54" s="26">
        <f>0.000000000001*F54</f>
        <v>9.9999999999999998E-13</v>
      </c>
      <c r="F54" s="12">
        <f>SI!E8*SI!E11</f>
        <v>1</v>
      </c>
      <c r="G54" s="1" t="s">
        <v>113</v>
      </c>
      <c r="H54" s="1" t="s">
        <v>42</v>
      </c>
    </row>
    <row r="55" spans="1:8" ht="14.7">
      <c r="A55" t="s">
        <v>3421</v>
      </c>
      <c r="B55" t="s">
        <v>3440</v>
      </c>
      <c r="C55" s="1" t="s">
        <v>4242</v>
      </c>
      <c r="D55" s="1" t="s">
        <v>2857</v>
      </c>
      <c r="E55" s="26">
        <f>0.000000000000001*F55</f>
        <v>1.0000000000000001E-15</v>
      </c>
      <c r="F55" s="12">
        <f>SI!E8*SI!E11</f>
        <v>1</v>
      </c>
      <c r="G55" s="1" t="s">
        <v>113</v>
      </c>
      <c r="H55" s="1" t="s">
        <v>42</v>
      </c>
    </row>
    <row r="56" spans="1:8" ht="14.7">
      <c r="A56" t="s">
        <v>3422</v>
      </c>
      <c r="B56" t="s">
        <v>3441</v>
      </c>
      <c r="C56" s="1" t="s">
        <v>4242</v>
      </c>
      <c r="D56" s="1" t="s">
        <v>2857</v>
      </c>
      <c r="E56" s="26">
        <f>0.000000000000000001*F56</f>
        <v>1.0000000000000001E-18</v>
      </c>
      <c r="F56" s="12">
        <f>SI!E8*SI!E11</f>
        <v>1</v>
      </c>
      <c r="G56" s="1" t="s">
        <v>113</v>
      </c>
      <c r="H56" s="1" t="s">
        <v>42</v>
      </c>
    </row>
    <row r="57" spans="1:8" ht="14.7">
      <c r="A57" t="s">
        <v>3423</v>
      </c>
      <c r="B57" t="s">
        <v>3442</v>
      </c>
      <c r="C57" s="1" t="s">
        <v>4242</v>
      </c>
      <c r="D57" s="1" t="s">
        <v>2857</v>
      </c>
      <c r="E57" s="26">
        <f>1E-21*F57</f>
        <v>9.9999999999999991E-22</v>
      </c>
      <c r="F57" s="12">
        <f>SI!E8*SI!E11</f>
        <v>1</v>
      </c>
      <c r="G57" s="1" t="s">
        <v>113</v>
      </c>
      <c r="H57" s="1" t="s">
        <v>42</v>
      </c>
    </row>
    <row r="58" spans="1:8" ht="14.7">
      <c r="A58" t="s">
        <v>3424</v>
      </c>
      <c r="B58" t="s">
        <v>3443</v>
      </c>
      <c r="C58" s="1" t="s">
        <v>4242</v>
      </c>
      <c r="D58" s="1" t="s">
        <v>2857</v>
      </c>
      <c r="E58" s="26">
        <f>1E-24*F58</f>
        <v>9.9999999999999992E-25</v>
      </c>
      <c r="F58" s="12">
        <f>SI!E8*SI!E11</f>
        <v>1</v>
      </c>
      <c r="G58" s="1" t="s">
        <v>113</v>
      </c>
      <c r="H58" s="1" t="s">
        <v>42</v>
      </c>
    </row>
    <row r="59" spans="1:8">
      <c r="A59" s="248"/>
      <c r="B59" s="248"/>
      <c r="C59" s="248"/>
      <c r="D59" s="248"/>
      <c r="E59" s="250"/>
      <c r="F59" s="250"/>
      <c r="G59" s="248"/>
      <c r="H59" s="248"/>
    </row>
    <row r="60" spans="1:8" ht="43.2">
      <c r="A60" s="1" t="s">
        <v>398</v>
      </c>
      <c r="B60" s="1" t="s">
        <v>399</v>
      </c>
      <c r="C60" s="1" t="s">
        <v>4243</v>
      </c>
      <c r="D60" s="1" t="s">
        <v>2885</v>
      </c>
      <c r="E60" s="12">
        <f>10000*F60</f>
        <v>10000</v>
      </c>
      <c r="F60" s="12">
        <f>SI!E8/POWER(SI!E3,2)</f>
        <v>1</v>
      </c>
      <c r="G60" s="1" t="s">
        <v>1097</v>
      </c>
      <c r="H60" s="1" t="s">
        <v>36</v>
      </c>
    </row>
    <row r="61" spans="1:8" ht="43.2">
      <c r="A61" s="1" t="s">
        <v>101</v>
      </c>
      <c r="B61" s="1" t="s">
        <v>26</v>
      </c>
      <c r="C61" s="1" t="s">
        <v>4243</v>
      </c>
      <c r="D61" s="1" t="s">
        <v>2885</v>
      </c>
      <c r="E61" s="12">
        <f>F61</f>
        <v>0.31830988618379069</v>
      </c>
      <c r="F61" s="12">
        <f>(1/PI())*SI!E8/POWER(SI!E3,2)</f>
        <v>0.31830988618379069</v>
      </c>
      <c r="G61" s="1" t="s">
        <v>1097</v>
      </c>
      <c r="H61" s="1" t="s">
        <v>65</v>
      </c>
    </row>
    <row r="62" spans="1:8" ht="43.2">
      <c r="A62" s="1" t="s">
        <v>61</v>
      </c>
      <c r="B62" s="1" t="s">
        <v>63</v>
      </c>
      <c r="C62" s="1" t="s">
        <v>4243</v>
      </c>
      <c r="D62" s="1" t="s">
        <v>2885</v>
      </c>
      <c r="E62" s="12">
        <f>1/F62</f>
        <v>0.31830988618379069</v>
      </c>
      <c r="F62" s="12">
        <f>PI()*SI!E8/POWER(SI!E3,2)</f>
        <v>3.1415926535897931</v>
      </c>
      <c r="G62" s="1" t="s">
        <v>1097</v>
      </c>
      <c r="H62" s="1" t="s">
        <v>59</v>
      </c>
    </row>
    <row r="63" spans="1:8" ht="43.2">
      <c r="A63" s="1" t="s">
        <v>308</v>
      </c>
      <c r="B63" s="1" t="s">
        <v>26</v>
      </c>
      <c r="C63" s="1" t="s">
        <v>4243</v>
      </c>
      <c r="D63" s="1" t="s">
        <v>2885</v>
      </c>
      <c r="E63" s="12">
        <f>F63</f>
        <v>1</v>
      </c>
      <c r="F63" s="12">
        <f>SI!E8/POWER(SI!E3,2)</f>
        <v>1</v>
      </c>
      <c r="G63" s="1" t="s">
        <v>1097</v>
      </c>
      <c r="H63" s="1" t="s">
        <v>309</v>
      </c>
    </row>
    <row r="64" spans="1:8" ht="43.2">
      <c r="A64" s="1" t="s">
        <v>481</v>
      </c>
      <c r="B64" s="1" t="s">
        <v>26</v>
      </c>
      <c r="C64" s="1" t="s">
        <v>4243</v>
      </c>
      <c r="D64" s="1" t="s">
        <v>2885</v>
      </c>
      <c r="E64" s="12">
        <f>0.0000001*F64/PI()</f>
        <v>3.1830988618379068E-8</v>
      </c>
      <c r="F64" s="12">
        <f>SI!E8/POWER(SI!E3,2)</f>
        <v>1</v>
      </c>
      <c r="G64" s="1" t="s">
        <v>1097</v>
      </c>
      <c r="H64" s="1" t="s">
        <v>982</v>
      </c>
    </row>
    <row r="65" spans="1:8" ht="43.2">
      <c r="A65" s="1" t="s">
        <v>2706</v>
      </c>
      <c r="B65" s="1" t="s">
        <v>26</v>
      </c>
      <c r="C65" s="1" t="s">
        <v>4243</v>
      </c>
      <c r="D65" s="1" t="s">
        <v>2885</v>
      </c>
      <c r="E65" s="12">
        <f>10000*F65</f>
        <v>10000</v>
      </c>
      <c r="F65" s="12">
        <f>SI!E8/POWER(SI!E3,2)</f>
        <v>1</v>
      </c>
      <c r="G65" s="1" t="s">
        <v>1097</v>
      </c>
      <c r="H65" s="1" t="s">
        <v>982</v>
      </c>
    </row>
    <row r="66" spans="1:8" ht="43.2">
      <c r="A66" s="1" t="s">
        <v>2707</v>
      </c>
      <c r="B66" s="1" t="s">
        <v>26</v>
      </c>
      <c r="C66" s="1" t="s">
        <v>4243</v>
      </c>
      <c r="D66" s="1" t="s">
        <v>2885</v>
      </c>
      <c r="E66" s="12">
        <f>10000*F66</f>
        <v>10000</v>
      </c>
      <c r="F66" s="12">
        <f>SI!E8/POWER(SI!E3,2)</f>
        <v>1</v>
      </c>
      <c r="G66" s="1" t="s">
        <v>1097</v>
      </c>
      <c r="H66" s="1" t="s">
        <v>982</v>
      </c>
    </row>
    <row r="67" spans="1:8" ht="43.2">
      <c r="A67" s="1" t="s">
        <v>6097</v>
      </c>
      <c r="B67" s="1" t="s">
        <v>1097</v>
      </c>
      <c r="C67" s="1" t="s">
        <v>4243</v>
      </c>
      <c r="D67" s="1" t="s">
        <v>2885</v>
      </c>
      <c r="E67" s="12">
        <f>F67</f>
        <v>1</v>
      </c>
      <c r="F67" s="12">
        <f>SI!E8/POWER(SI!E3,2)</f>
        <v>1</v>
      </c>
      <c r="G67" s="1" t="s">
        <v>1097</v>
      </c>
      <c r="H67" s="1" t="s">
        <v>42</v>
      </c>
    </row>
    <row r="68" spans="1:8" ht="43.2">
      <c r="A68" s="1" t="s">
        <v>6099</v>
      </c>
      <c r="B68" s="1" t="s">
        <v>6100</v>
      </c>
      <c r="C68" s="1" t="s">
        <v>4243</v>
      </c>
      <c r="D68" s="1" t="s">
        <v>2885</v>
      </c>
      <c r="E68" s="12">
        <f>F68/POWER(Systems!D6,2)</f>
        <v>10.763910416709722</v>
      </c>
      <c r="F68" s="12">
        <f>SI!E8/POWER(SI!E3,2)</f>
        <v>1</v>
      </c>
      <c r="G68" s="1" t="s">
        <v>1097</v>
      </c>
      <c r="H68" s="1" t="s">
        <v>47</v>
      </c>
    </row>
    <row r="69" spans="1:8" ht="43.2">
      <c r="A69" s="1" t="s">
        <v>6098</v>
      </c>
      <c r="B69" s="1" t="s">
        <v>2965</v>
      </c>
      <c r="C69" s="1" t="s">
        <v>4243</v>
      </c>
      <c r="D69" s="1" t="s">
        <v>2885</v>
      </c>
      <c r="E69" s="12">
        <f>F69</f>
        <v>3.4262590996353905</v>
      </c>
      <c r="F69" s="12">
        <f>SI!E8/(PI()*POWER(Systems!D6,2)*POWER(SI!E3,2))</f>
        <v>3.4262590996353905</v>
      </c>
      <c r="G69" s="1" t="s">
        <v>1097</v>
      </c>
      <c r="H69" s="1" t="s">
        <v>47</v>
      </c>
    </row>
    <row r="70" spans="1:8" ht="43.2">
      <c r="A70" s="1" t="s">
        <v>269</v>
      </c>
      <c r="B70" s="1" t="s">
        <v>19</v>
      </c>
      <c r="C70" s="1" t="s">
        <v>4243</v>
      </c>
      <c r="D70" s="1" t="s">
        <v>2885</v>
      </c>
      <c r="E70" s="12">
        <f>F70</f>
        <v>3183.098861837907</v>
      </c>
      <c r="F70" s="12">
        <f>(1/PI())*10000*SI!E8/POWER(SI!E3,2)</f>
        <v>3183.098861837907</v>
      </c>
      <c r="G70" s="1" t="s">
        <v>1097</v>
      </c>
      <c r="H70" s="1" t="s">
        <v>47</v>
      </c>
    </row>
    <row r="71" spans="1:8" ht="43.2">
      <c r="A71" s="1" t="s">
        <v>329</v>
      </c>
      <c r="B71" s="1" t="s">
        <v>330</v>
      </c>
      <c r="C71" s="1" t="s">
        <v>4243</v>
      </c>
      <c r="D71" s="1" t="s">
        <v>2885</v>
      </c>
      <c r="E71" s="12">
        <f>10000*F71</f>
        <v>10000</v>
      </c>
      <c r="F71" s="12">
        <f>SI!E8*SI!E11/POWER(SI!E3,2)</f>
        <v>1</v>
      </c>
      <c r="G71" s="1" t="s">
        <v>1097</v>
      </c>
      <c r="H71" s="1" t="s">
        <v>36</v>
      </c>
    </row>
    <row r="72" spans="1:8">
      <c r="A72" s="248"/>
      <c r="B72" s="248"/>
      <c r="C72" s="248"/>
      <c r="D72" s="248"/>
      <c r="E72" s="250"/>
      <c r="F72" s="250"/>
      <c r="G72" s="248"/>
      <c r="H72" s="248"/>
    </row>
    <row r="73" spans="1:8" ht="16.5">
      <c r="A73" s="1" t="s">
        <v>311</v>
      </c>
      <c r="B73" s="1" t="s">
        <v>26</v>
      </c>
      <c r="C73" s="1" t="s">
        <v>203</v>
      </c>
      <c r="D73" s="1" t="s">
        <v>2897</v>
      </c>
      <c r="E73" s="12">
        <f>F73</f>
        <v>3.183098861837907E-4</v>
      </c>
      <c r="F73" s="12">
        <f>SI!E8*SI!E11/(1000*PI()*POWER(SI!E3,2))</f>
        <v>3.183098861837907E-4</v>
      </c>
      <c r="G73" s="1" t="s">
        <v>1129</v>
      </c>
      <c r="H73" s="1" t="s">
        <v>59</v>
      </c>
    </row>
    <row r="74" spans="1:8" ht="16.5">
      <c r="A74" s="1" t="s">
        <v>387</v>
      </c>
      <c r="B74" s="1" t="s">
        <v>26</v>
      </c>
      <c r="C74" s="1" t="s">
        <v>203</v>
      </c>
      <c r="D74" s="1" t="s">
        <v>2897</v>
      </c>
      <c r="E74" s="12">
        <f>0.001*F74</f>
        <v>1E-3</v>
      </c>
      <c r="F74" s="12">
        <f>SI!E8*SI!E11/POWER(SI!E3,2)</f>
        <v>1</v>
      </c>
      <c r="G74" s="1" t="s">
        <v>1129</v>
      </c>
      <c r="H74" s="1" t="s">
        <v>59</v>
      </c>
    </row>
    <row r="75" spans="1:8" ht="16.5">
      <c r="A75" s="1" t="s">
        <v>278</v>
      </c>
      <c r="B75" s="1" t="s">
        <v>279</v>
      </c>
      <c r="C75" s="1" t="s">
        <v>203</v>
      </c>
      <c r="D75" s="1" t="s">
        <v>2922</v>
      </c>
      <c r="E75" s="12">
        <f>F75</f>
        <v>1</v>
      </c>
      <c r="F75" s="12">
        <f>SI!E8*SI!E11/POWER(SI!E3,2)</f>
        <v>1</v>
      </c>
      <c r="G75" s="1" t="s">
        <v>1129</v>
      </c>
      <c r="H75" s="1" t="s">
        <v>42</v>
      </c>
    </row>
    <row r="76" spans="1:8" ht="28.8">
      <c r="A76" s="1" t="s">
        <v>6101</v>
      </c>
      <c r="B76" s="1" t="s">
        <v>2966</v>
      </c>
      <c r="C76" s="1" t="s">
        <v>203</v>
      </c>
      <c r="D76" s="1" t="s">
        <v>2922</v>
      </c>
      <c r="E76" s="12">
        <f>F76</f>
        <v>10.763910416709722</v>
      </c>
      <c r="F76" s="12">
        <f>SI!E8*SI!E11/(POWER(Systems!D6,2)*POWER(SI!E3,2))</f>
        <v>10.763910416709722</v>
      </c>
      <c r="G76" s="1" t="s">
        <v>1129</v>
      </c>
      <c r="H76" s="1" t="s">
        <v>46</v>
      </c>
    </row>
    <row r="77" spans="1:8" ht="16.5">
      <c r="A77" t="s">
        <v>3482</v>
      </c>
      <c r="B77" t="s">
        <v>3502</v>
      </c>
      <c r="C77" s="1" t="s">
        <v>203</v>
      </c>
      <c r="D77" s="1" t="s">
        <v>2922</v>
      </c>
      <c r="E77" s="26">
        <f>1E+24*F77</f>
        <v>9.9999999999999998E+23</v>
      </c>
      <c r="F77" s="12">
        <f>SI!E8*SI!E11/POWER(SI!E3,2)</f>
        <v>1</v>
      </c>
      <c r="G77" s="1" t="s">
        <v>1129</v>
      </c>
      <c r="H77" s="1" t="s">
        <v>42</v>
      </c>
    </row>
    <row r="78" spans="1:8" ht="16.5">
      <c r="A78" t="s">
        <v>3483</v>
      </c>
      <c r="B78" t="s">
        <v>3503</v>
      </c>
      <c r="C78" s="1" t="s">
        <v>203</v>
      </c>
      <c r="D78" s="1" t="s">
        <v>2922</v>
      </c>
      <c r="E78" s="26">
        <f>1E+21*F78</f>
        <v>1E+21</v>
      </c>
      <c r="F78" s="12">
        <f>SI!E8*SI!E11/POWER(SI!E3,2)</f>
        <v>1</v>
      </c>
      <c r="G78" s="1" t="s">
        <v>1129</v>
      </c>
      <c r="H78" s="1" t="s">
        <v>42</v>
      </c>
    </row>
    <row r="79" spans="1:8" ht="16.5">
      <c r="A79" t="s">
        <v>3484</v>
      </c>
      <c r="B79" t="s">
        <v>3504</v>
      </c>
      <c r="C79" s="1" t="s">
        <v>203</v>
      </c>
      <c r="D79" s="1" t="s">
        <v>2922</v>
      </c>
      <c r="E79" s="26">
        <f>1000000000000000000*F79</f>
        <v>1E+18</v>
      </c>
      <c r="F79" s="12">
        <f>SI!E8*SI!E11/POWER(SI!E3,2)</f>
        <v>1</v>
      </c>
      <c r="G79" s="1" t="s">
        <v>1129</v>
      </c>
      <c r="H79" s="1" t="s">
        <v>42</v>
      </c>
    </row>
    <row r="80" spans="1:8" ht="16.5">
      <c r="A80" t="s">
        <v>3485</v>
      </c>
      <c r="B80" t="s">
        <v>3505</v>
      </c>
      <c r="C80" s="1" t="s">
        <v>203</v>
      </c>
      <c r="D80" s="1" t="s">
        <v>2922</v>
      </c>
      <c r="E80" s="26">
        <f>1000000000000000*F80</f>
        <v>1000000000000000</v>
      </c>
      <c r="F80" s="12">
        <f>SI!E8*SI!E11/POWER(SI!E3,2)</f>
        <v>1</v>
      </c>
      <c r="G80" s="1" t="s">
        <v>1129</v>
      </c>
      <c r="H80" s="1" t="s">
        <v>42</v>
      </c>
    </row>
    <row r="81" spans="1:8" ht="16.5">
      <c r="A81" t="s">
        <v>3486</v>
      </c>
      <c r="B81" t="s">
        <v>3506</v>
      </c>
      <c r="C81" s="1" t="s">
        <v>203</v>
      </c>
      <c r="D81" s="1" t="s">
        <v>2922</v>
      </c>
      <c r="E81" s="26">
        <f>1000000000000*F81</f>
        <v>1000000000000</v>
      </c>
      <c r="F81" s="12">
        <f>SI!E8*SI!E11/POWER(SI!E3,2)</f>
        <v>1</v>
      </c>
      <c r="G81" s="1" t="s">
        <v>1129</v>
      </c>
      <c r="H81" s="1" t="s">
        <v>42</v>
      </c>
    </row>
    <row r="82" spans="1:8" ht="16.5">
      <c r="A82" t="s">
        <v>3487</v>
      </c>
      <c r="B82" t="s">
        <v>3507</v>
      </c>
      <c r="C82" s="1" t="s">
        <v>203</v>
      </c>
      <c r="D82" s="1" t="s">
        <v>2922</v>
      </c>
      <c r="E82" s="26">
        <f>1000000000*F82</f>
        <v>1000000000</v>
      </c>
      <c r="F82" s="12">
        <f>SI!E8*SI!E11/POWER(SI!E3,2)</f>
        <v>1</v>
      </c>
      <c r="G82" s="1" t="s">
        <v>1129</v>
      </c>
      <c r="H82" s="1" t="s">
        <v>42</v>
      </c>
    </row>
    <row r="83" spans="1:8" ht="16.5">
      <c r="A83" t="s">
        <v>3488</v>
      </c>
      <c r="B83" t="s">
        <v>3508</v>
      </c>
      <c r="C83" s="1" t="s">
        <v>203</v>
      </c>
      <c r="D83" s="1" t="s">
        <v>2922</v>
      </c>
      <c r="E83" s="26">
        <f>1000000*F83</f>
        <v>1000000</v>
      </c>
      <c r="F83" s="12">
        <f>SI!E8*SI!E11/POWER(SI!E3,2)</f>
        <v>1</v>
      </c>
      <c r="G83" s="1" t="s">
        <v>1129</v>
      </c>
      <c r="H83" s="1" t="s">
        <v>42</v>
      </c>
    </row>
    <row r="84" spans="1:8" ht="16.5">
      <c r="A84" t="s">
        <v>3489</v>
      </c>
      <c r="B84" t="s">
        <v>3509</v>
      </c>
      <c r="C84" s="1" t="s">
        <v>203</v>
      </c>
      <c r="D84" s="1" t="s">
        <v>2922</v>
      </c>
      <c r="E84" s="26">
        <f>1000*F84</f>
        <v>1000</v>
      </c>
      <c r="F84" s="12">
        <f>SI!E8*SI!E11/POWER(SI!E3,2)</f>
        <v>1</v>
      </c>
      <c r="G84" s="1" t="s">
        <v>1129</v>
      </c>
      <c r="H84" s="1" t="s">
        <v>42</v>
      </c>
    </row>
    <row r="85" spans="1:8" ht="16.5">
      <c r="A85" t="s">
        <v>3490</v>
      </c>
      <c r="B85" t="s">
        <v>3510</v>
      </c>
      <c r="C85" s="1" t="s">
        <v>203</v>
      </c>
      <c r="D85" s="1" t="s">
        <v>2922</v>
      </c>
      <c r="E85" s="26">
        <f>100*F85</f>
        <v>100</v>
      </c>
      <c r="F85" s="12">
        <f>SI!E8*SI!E11/POWER(SI!E3,2)</f>
        <v>1</v>
      </c>
      <c r="G85" s="1" t="s">
        <v>1129</v>
      </c>
      <c r="H85" s="1" t="s">
        <v>42</v>
      </c>
    </row>
    <row r="86" spans="1:8" ht="16.5">
      <c r="A86" t="s">
        <v>3491</v>
      </c>
      <c r="B86" t="s">
        <v>3511</v>
      </c>
      <c r="C86" s="1" t="s">
        <v>203</v>
      </c>
      <c r="D86" s="1" t="s">
        <v>2922</v>
      </c>
      <c r="E86" s="26">
        <f>10*F86</f>
        <v>10</v>
      </c>
      <c r="F86" s="12">
        <f>SI!E8*SI!E11/POWER(SI!E3,2)</f>
        <v>1</v>
      </c>
      <c r="G86" s="1" t="s">
        <v>1129</v>
      </c>
      <c r="H86" s="1" t="s">
        <v>42</v>
      </c>
    </row>
    <row r="87" spans="1:8" ht="16.5">
      <c r="A87" t="s">
        <v>3492</v>
      </c>
      <c r="B87" t="s">
        <v>3512</v>
      </c>
      <c r="C87" s="1" t="s">
        <v>203</v>
      </c>
      <c r="D87" s="1" t="s">
        <v>2922</v>
      </c>
      <c r="E87" s="26">
        <f>0.1*F87</f>
        <v>0.1</v>
      </c>
      <c r="F87" s="12">
        <f>SI!E8*SI!E11/POWER(SI!E3,2)</f>
        <v>1</v>
      </c>
      <c r="G87" s="1" t="s">
        <v>1129</v>
      </c>
      <c r="H87" s="1" t="s">
        <v>42</v>
      </c>
    </row>
    <row r="88" spans="1:8" ht="16.5">
      <c r="A88" t="s">
        <v>3493</v>
      </c>
      <c r="B88" t="s">
        <v>3513</v>
      </c>
      <c r="C88" s="1" t="s">
        <v>203</v>
      </c>
      <c r="D88" s="1" t="s">
        <v>2922</v>
      </c>
      <c r="E88" s="26">
        <f>0.01*F88</f>
        <v>0.01</v>
      </c>
      <c r="F88" s="12">
        <f>SI!E8*SI!E11/POWER(SI!E3,2)</f>
        <v>1</v>
      </c>
      <c r="G88" s="1" t="s">
        <v>1129</v>
      </c>
      <c r="H88" s="1" t="s">
        <v>42</v>
      </c>
    </row>
    <row r="89" spans="1:8" ht="16.5">
      <c r="A89" t="s">
        <v>3494</v>
      </c>
      <c r="B89" t="s">
        <v>3514</v>
      </c>
      <c r="C89" s="1" t="s">
        <v>203</v>
      </c>
      <c r="D89" s="1" t="s">
        <v>2922</v>
      </c>
      <c r="E89" s="26">
        <f>0.001*F89</f>
        <v>1E-3</v>
      </c>
      <c r="F89" s="12">
        <f>SI!E8*SI!E11/POWER(SI!E3,2)</f>
        <v>1</v>
      </c>
      <c r="G89" s="1" t="s">
        <v>1129</v>
      </c>
      <c r="H89" s="1" t="s">
        <v>42</v>
      </c>
    </row>
    <row r="90" spans="1:8" ht="16.5">
      <c r="A90" t="s">
        <v>3495</v>
      </c>
      <c r="B90" t="s">
        <v>3515</v>
      </c>
      <c r="C90" s="1" t="s">
        <v>203</v>
      </c>
      <c r="D90" s="1" t="s">
        <v>2922</v>
      </c>
      <c r="E90" s="26">
        <f>0.000001*F90</f>
        <v>9.9999999999999995E-7</v>
      </c>
      <c r="F90" s="12">
        <f>SI!E8*SI!E11/POWER(SI!E3,2)</f>
        <v>1</v>
      </c>
      <c r="G90" s="1" t="s">
        <v>1129</v>
      </c>
      <c r="H90" s="1" t="s">
        <v>42</v>
      </c>
    </row>
    <row r="91" spans="1:8" ht="16.5">
      <c r="A91" t="s">
        <v>3496</v>
      </c>
      <c r="B91" t="s">
        <v>3516</v>
      </c>
      <c r="C91" s="1" t="s">
        <v>203</v>
      </c>
      <c r="D91" s="1" t="s">
        <v>2922</v>
      </c>
      <c r="E91" s="26">
        <f>0.000000001*F91</f>
        <v>1.0000000000000001E-9</v>
      </c>
      <c r="F91" s="12">
        <f>SI!E8*SI!E11/POWER(SI!E3,2)</f>
        <v>1</v>
      </c>
      <c r="G91" s="1" t="s">
        <v>1129</v>
      </c>
      <c r="H91" s="1" t="s">
        <v>42</v>
      </c>
    </row>
    <row r="92" spans="1:8" ht="16.5">
      <c r="A92" t="s">
        <v>3497</v>
      </c>
      <c r="B92" t="s">
        <v>3517</v>
      </c>
      <c r="C92" s="1" t="s">
        <v>203</v>
      </c>
      <c r="D92" s="1" t="s">
        <v>2922</v>
      </c>
      <c r="E92" s="26">
        <f>0.000000000001*F92</f>
        <v>9.9999999999999998E-13</v>
      </c>
      <c r="F92" s="12">
        <f>SI!E8*SI!E11/POWER(SI!E3,2)</f>
        <v>1</v>
      </c>
      <c r="G92" s="1" t="s">
        <v>1129</v>
      </c>
      <c r="H92" s="1" t="s">
        <v>42</v>
      </c>
    </row>
    <row r="93" spans="1:8" ht="16.5">
      <c r="A93" t="s">
        <v>3498</v>
      </c>
      <c r="B93" t="s">
        <v>3518</v>
      </c>
      <c r="C93" s="1" t="s">
        <v>203</v>
      </c>
      <c r="D93" s="1" t="s">
        <v>2922</v>
      </c>
      <c r="E93" s="26">
        <f>0.000000000000001*F93</f>
        <v>1.0000000000000001E-15</v>
      </c>
      <c r="F93" s="12">
        <f>SI!E8*SI!E11/POWER(SI!E3,2)</f>
        <v>1</v>
      </c>
      <c r="G93" s="1" t="s">
        <v>1129</v>
      </c>
      <c r="H93" s="1" t="s">
        <v>42</v>
      </c>
    </row>
    <row r="94" spans="1:8" ht="16.5">
      <c r="A94" t="s">
        <v>3499</v>
      </c>
      <c r="B94" t="s">
        <v>3519</v>
      </c>
      <c r="C94" s="1" t="s">
        <v>203</v>
      </c>
      <c r="D94" s="1" t="s">
        <v>2922</v>
      </c>
      <c r="E94" s="26">
        <f>0.000000000000000001*F94</f>
        <v>1.0000000000000001E-18</v>
      </c>
      <c r="F94" s="12">
        <f>SI!E8*SI!E11/POWER(SI!E3,2)</f>
        <v>1</v>
      </c>
      <c r="G94" s="1" t="s">
        <v>1129</v>
      </c>
      <c r="H94" s="1" t="s">
        <v>42</v>
      </c>
    </row>
    <row r="95" spans="1:8" ht="16.5">
      <c r="A95" t="s">
        <v>3500</v>
      </c>
      <c r="B95" t="s">
        <v>3520</v>
      </c>
      <c r="C95" s="1" t="s">
        <v>203</v>
      </c>
      <c r="D95" s="1" t="s">
        <v>2922</v>
      </c>
      <c r="E95" s="26">
        <f>1E-21*F95</f>
        <v>9.9999999999999991E-22</v>
      </c>
      <c r="F95" s="12">
        <f>SI!E8*SI!E11/POWER(SI!E3,2)</f>
        <v>1</v>
      </c>
      <c r="G95" s="1" t="s">
        <v>1129</v>
      </c>
      <c r="H95" s="1" t="s">
        <v>42</v>
      </c>
    </row>
    <row r="96" spans="1:8" ht="16.5">
      <c r="A96" t="s">
        <v>3501</v>
      </c>
      <c r="B96" t="s">
        <v>3521</v>
      </c>
      <c r="C96" s="1" t="s">
        <v>203</v>
      </c>
      <c r="D96" s="1" t="s">
        <v>2922</v>
      </c>
      <c r="E96" s="26">
        <f>1E-24*F96</f>
        <v>9.9999999999999992E-25</v>
      </c>
      <c r="F96" s="12">
        <f>SI!E8*SI!E11/POWER(SI!E3,2)</f>
        <v>1</v>
      </c>
      <c r="G96" s="1" t="s">
        <v>1129</v>
      </c>
      <c r="H96" s="1" t="s">
        <v>42</v>
      </c>
    </row>
    <row r="97" spans="1:8">
      <c r="A97" s="248"/>
      <c r="B97" s="248"/>
      <c r="C97" s="248"/>
      <c r="D97" s="248"/>
      <c r="E97" s="250"/>
      <c r="F97" s="250"/>
      <c r="G97" s="248"/>
      <c r="H97" s="248"/>
    </row>
    <row r="98" spans="1:8" ht="16.5">
      <c r="A98" s="1" t="s">
        <v>1990</v>
      </c>
      <c r="B98" s="1" t="s">
        <v>26</v>
      </c>
      <c r="C98" s="1" t="s">
        <v>4244</v>
      </c>
      <c r="D98" s="1" t="s">
        <v>2893</v>
      </c>
      <c r="E98" s="12">
        <f>0.0000001*F98</f>
        <v>9.9999999999999995E-8</v>
      </c>
      <c r="F98" s="12">
        <f>SI!E2*POWER(SI!E3/SI!E4,2)/(SI!E4*SI!E11)</f>
        <v>1</v>
      </c>
      <c r="G98" s="1" t="s">
        <v>1138</v>
      </c>
      <c r="H98" s="1" t="s">
        <v>36</v>
      </c>
    </row>
    <row r="99" spans="1:8" ht="16.5">
      <c r="A99" s="1" t="s">
        <v>6102</v>
      </c>
      <c r="B99" s="1" t="s">
        <v>4209</v>
      </c>
      <c r="C99" s="1" t="s">
        <v>4244</v>
      </c>
      <c r="D99" s="1" t="s">
        <v>2893</v>
      </c>
      <c r="E99" s="12">
        <f>F99</f>
        <v>1</v>
      </c>
      <c r="F99" s="12">
        <f>SI!E2*POWER(SI!E3/SI!E4,2)/(SI!E4*SI!E11)</f>
        <v>1</v>
      </c>
      <c r="G99" s="1" t="s">
        <v>1138</v>
      </c>
      <c r="H99" s="1" t="s">
        <v>42</v>
      </c>
    </row>
    <row r="100" spans="1:8" ht="16.5">
      <c r="A100" s="1" t="s">
        <v>6103</v>
      </c>
      <c r="B100" s="1" t="s">
        <v>4211</v>
      </c>
      <c r="C100" s="1" t="s">
        <v>4244</v>
      </c>
      <c r="D100" s="1" t="s">
        <v>2893</v>
      </c>
      <c r="E100" s="12">
        <f>1000000000*F100</f>
        <v>1000000000</v>
      </c>
      <c r="F100" s="12">
        <f>SI!E2*POWER(SI!E3/SI!E4,2)/(SI!E4*SI!E11)</f>
        <v>1</v>
      </c>
      <c r="G100" s="1" t="s">
        <v>1138</v>
      </c>
      <c r="H100" s="1" t="s">
        <v>42</v>
      </c>
    </row>
    <row r="101" spans="1:8" ht="16.5">
      <c r="A101" s="1" t="s">
        <v>6104</v>
      </c>
      <c r="B101" s="1" t="s">
        <v>4210</v>
      </c>
      <c r="C101" s="1" t="s">
        <v>4244</v>
      </c>
      <c r="D101" s="1" t="s">
        <v>2893</v>
      </c>
      <c r="E101" s="12">
        <f>1000000*F101</f>
        <v>1000000</v>
      </c>
      <c r="F101" s="12">
        <f>SI!E2*POWER(SI!E3/SI!E4,2)/(SI!E4*SI!E11)</f>
        <v>1</v>
      </c>
      <c r="G101" s="1" t="s">
        <v>1138</v>
      </c>
      <c r="H101" s="1" t="s">
        <v>42</v>
      </c>
    </row>
    <row r="102" spans="1:8" ht="16.5">
      <c r="A102" s="1" t="s">
        <v>6105</v>
      </c>
      <c r="B102" s="1" t="s">
        <v>4212</v>
      </c>
      <c r="C102" s="1" t="s">
        <v>4244</v>
      </c>
      <c r="D102" s="1" t="s">
        <v>2893</v>
      </c>
      <c r="E102" s="12">
        <f>1000*F102</f>
        <v>1000</v>
      </c>
      <c r="F102" s="12">
        <f>SI!E2*POWER(SI!E3/SI!E4,2)/(SI!E4*SI!E11)</f>
        <v>1</v>
      </c>
      <c r="G102" s="1" t="s">
        <v>1138</v>
      </c>
      <c r="H102" s="1" t="s">
        <v>42</v>
      </c>
    </row>
    <row r="103" spans="1:8" ht="16.5">
      <c r="A103" s="1" t="s">
        <v>6106</v>
      </c>
      <c r="B103" s="1" t="s">
        <v>4213</v>
      </c>
      <c r="C103" s="1" t="s">
        <v>4244</v>
      </c>
      <c r="D103" s="1" t="s">
        <v>2893</v>
      </c>
      <c r="E103" s="12">
        <f>F103/1000</f>
        <v>1E-3</v>
      </c>
      <c r="F103" s="12">
        <f>SI!E2*POWER(SI!E3/SI!E4,2)/(SI!E4*SI!E11)</f>
        <v>1</v>
      </c>
      <c r="G103" s="1" t="s">
        <v>1138</v>
      </c>
      <c r="H103" s="1" t="s">
        <v>42</v>
      </c>
    </row>
    <row r="104" spans="1:8" ht="16.5">
      <c r="A104" s="1" t="s">
        <v>6107</v>
      </c>
      <c r="B104" s="1" t="s">
        <v>4214</v>
      </c>
      <c r="C104" s="1" t="s">
        <v>4244</v>
      </c>
      <c r="D104" s="1" t="s">
        <v>2893</v>
      </c>
      <c r="E104" s="12">
        <f>F104/1000000</f>
        <v>9.9999999999999995E-7</v>
      </c>
      <c r="F104" s="12">
        <f>SI!E2*POWER(SI!E3/SI!E4,2)/(SI!E4*SI!E11)</f>
        <v>1</v>
      </c>
      <c r="G104" s="1" t="s">
        <v>1138</v>
      </c>
      <c r="H104" s="1" t="s">
        <v>42</v>
      </c>
    </row>
    <row r="105" spans="1:8">
      <c r="A105" s="248"/>
      <c r="B105" s="248"/>
      <c r="C105" s="248"/>
      <c r="D105" s="248"/>
      <c r="E105" s="250"/>
      <c r="F105" s="250"/>
      <c r="G105" s="248"/>
      <c r="H105" s="248"/>
    </row>
  </sheetData>
  <phoneticPr fontId="2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E6A-6C6C-4F5D-848C-7A660E26FDFB}">
  <sheetPr codeName="Sheet24"/>
  <dimension ref="A1:H58"/>
  <sheetViews>
    <sheetView topLeftCell="A34" workbookViewId="0">
      <selection activeCell="A44" sqref="A44"/>
    </sheetView>
  </sheetViews>
  <sheetFormatPr defaultRowHeight="14.4"/>
  <cols>
    <col min="1" max="1" width="25.68359375" customWidth="1"/>
    <col min="2" max="2" width="21.62890625" customWidth="1"/>
    <col min="3" max="3" width="20.578125" customWidth="1"/>
    <col min="4" max="4" width="22.9453125" customWidth="1"/>
    <col min="5" max="5" width="24.3671875" customWidth="1"/>
    <col min="6" max="6" width="19.89453125" customWidth="1"/>
    <col min="7" max="7" width="14.5234375" customWidth="1"/>
    <col min="8" max="8" width="11.47265625" customWidth="1"/>
  </cols>
  <sheetData>
    <row r="1" spans="1:8">
      <c r="A1" s="2" t="s">
        <v>11</v>
      </c>
      <c r="B1" s="2" t="s">
        <v>1</v>
      </c>
      <c r="C1" s="2" t="s">
        <v>2</v>
      </c>
      <c r="D1" s="2" t="s">
        <v>3</v>
      </c>
      <c r="E1" s="2" t="s">
        <v>4</v>
      </c>
      <c r="F1" s="128" t="s">
        <v>937</v>
      </c>
      <c r="G1" s="2" t="s">
        <v>0</v>
      </c>
      <c r="H1" s="2" t="s">
        <v>5</v>
      </c>
    </row>
    <row r="2" spans="1:8" ht="28.8">
      <c r="A2" s="1" t="s">
        <v>6108</v>
      </c>
      <c r="B2" s="1" t="s">
        <v>502</v>
      </c>
      <c r="C2" s="1" t="s">
        <v>304</v>
      </c>
      <c r="D2" s="1" t="s">
        <v>2908</v>
      </c>
      <c r="E2" s="12">
        <f>F2</f>
        <v>44.620253164556956</v>
      </c>
      <c r="F2" s="12">
        <f>(0.141/(3.16*0.001))*SI!E6/POWER(SI!E3,3)</f>
        <v>44.620253164556956</v>
      </c>
      <c r="G2" s="1" t="s">
        <v>1093</v>
      </c>
      <c r="H2" s="1" t="s">
        <v>58</v>
      </c>
    </row>
    <row r="3" spans="1:8" ht="28.8">
      <c r="A3" s="1" t="s">
        <v>563</v>
      </c>
      <c r="B3" s="1" t="s">
        <v>20</v>
      </c>
      <c r="C3" s="1" t="s">
        <v>304</v>
      </c>
      <c r="D3" s="1" t="s">
        <v>2908</v>
      </c>
      <c r="E3" s="12">
        <f>1000*F3</f>
        <v>1000</v>
      </c>
      <c r="F3" s="12">
        <f>SI!E6/POWER(SI!E3,3)</f>
        <v>1</v>
      </c>
      <c r="G3" s="1" t="s">
        <v>1093</v>
      </c>
      <c r="H3" s="1" t="s">
        <v>58</v>
      </c>
    </row>
    <row r="4" spans="1:8" ht="28.8">
      <c r="A4" s="1" t="s">
        <v>6109</v>
      </c>
      <c r="B4" s="1" t="s">
        <v>26</v>
      </c>
      <c r="C4" s="1" t="s">
        <v>304</v>
      </c>
      <c r="D4" s="1" t="s">
        <v>2908</v>
      </c>
      <c r="E4" s="12">
        <f>F4</f>
        <v>44.614988374997729</v>
      </c>
      <c r="F4" s="12">
        <f>('Physical Measurements'!E11/'Physical Constants'!E6)*SI!E6/POWER(SI!E3,3)</f>
        <v>44.614988374997729</v>
      </c>
      <c r="G4" s="1" t="s">
        <v>1093</v>
      </c>
      <c r="H4" s="1" t="s">
        <v>982</v>
      </c>
    </row>
    <row r="5" spans="1:8" ht="28.8">
      <c r="A5" s="1" t="s">
        <v>6110</v>
      </c>
      <c r="B5" s="1" t="s">
        <v>26</v>
      </c>
      <c r="C5" s="1" t="s">
        <v>304</v>
      </c>
      <c r="D5" s="1" t="s">
        <v>2908</v>
      </c>
      <c r="E5" s="12">
        <f>F5</f>
        <v>44.031570071549694</v>
      </c>
      <c r="F5" s="12">
        <f>((100000/'Physical Definitions'!E2)*('Physical Measurements'!E11/'Physical Constants'!E6))*SI!E6/POWER(SI!E3,3)</f>
        <v>44.031570071549694</v>
      </c>
      <c r="G5" s="1" t="s">
        <v>1093</v>
      </c>
      <c r="H5" s="1" t="s">
        <v>982</v>
      </c>
    </row>
    <row r="6" spans="1:8" ht="28.8">
      <c r="A6" s="1" t="s">
        <v>175</v>
      </c>
      <c r="B6" s="1" t="s">
        <v>164</v>
      </c>
      <c r="C6" s="1" t="s">
        <v>304</v>
      </c>
      <c r="D6" s="1" t="s">
        <v>2908</v>
      </c>
      <c r="E6" s="12">
        <f>1000*F6</f>
        <v>1000</v>
      </c>
      <c r="F6" s="12">
        <f>SI!E6/POWER(SI!E3,3)</f>
        <v>1</v>
      </c>
      <c r="G6" s="1" t="s">
        <v>1093</v>
      </c>
      <c r="H6" s="1" t="s">
        <v>982</v>
      </c>
    </row>
    <row r="7" spans="1:8" ht="28.8">
      <c r="A7" s="1" t="s">
        <v>6111</v>
      </c>
      <c r="B7" s="1" t="s">
        <v>4215</v>
      </c>
      <c r="C7" s="1" t="s">
        <v>304</v>
      </c>
      <c r="D7" s="1" t="s">
        <v>2908</v>
      </c>
      <c r="E7" s="12">
        <f t="shared" ref="E7:E15" si="0">F7</f>
        <v>999.99999999999977</v>
      </c>
      <c r="F7" s="12">
        <f>SI!E6/POWER('Physical Definitions'!E25*SI!E3,3)</f>
        <v>999.99999999999977</v>
      </c>
      <c r="G7" s="1" t="s">
        <v>1093</v>
      </c>
      <c r="H7" s="1" t="s">
        <v>982</v>
      </c>
    </row>
    <row r="8" spans="1:8" ht="28.8">
      <c r="A8" s="1" t="s">
        <v>6112</v>
      </c>
      <c r="B8" s="1" t="s">
        <v>4216</v>
      </c>
      <c r="C8" s="1" t="s">
        <v>304</v>
      </c>
      <c r="D8" s="1" t="s">
        <v>2908</v>
      </c>
      <c r="E8" s="12">
        <f t="shared" si="0"/>
        <v>999999.99999999988</v>
      </c>
      <c r="F8" s="12">
        <f>SI!E6/POWER('Physical Definitions'!E22*SI!E3,3)</f>
        <v>999999.99999999988</v>
      </c>
      <c r="G8" s="1" t="s">
        <v>1093</v>
      </c>
      <c r="H8" s="1" t="s">
        <v>982</v>
      </c>
    </row>
    <row r="9" spans="1:8" ht="28.8">
      <c r="A9" s="1" t="s">
        <v>6113</v>
      </c>
      <c r="B9" s="1" t="s">
        <v>1093</v>
      </c>
      <c r="C9" s="1" t="s">
        <v>304</v>
      </c>
      <c r="D9" s="1" t="s">
        <v>2908</v>
      </c>
      <c r="E9" s="12">
        <f t="shared" si="0"/>
        <v>1</v>
      </c>
      <c r="F9" s="12">
        <f>SI!E6/POWER(SI!E3,3)</f>
        <v>1</v>
      </c>
      <c r="G9" s="1" t="s">
        <v>1093</v>
      </c>
      <c r="H9" s="1" t="s">
        <v>982</v>
      </c>
    </row>
    <row r="10" spans="1:8" ht="28.8">
      <c r="A10" s="1" t="s">
        <v>6115</v>
      </c>
      <c r="B10" s="1" t="s">
        <v>26</v>
      </c>
      <c r="C10" s="1" t="s">
        <v>304</v>
      </c>
      <c r="D10" s="1" t="s">
        <v>2908</v>
      </c>
      <c r="E10" s="12">
        <f t="shared" si="0"/>
        <v>999.99999999999977</v>
      </c>
      <c r="F10" s="12">
        <f>SI!E6/POWER(0.1*SI!E3,3)</f>
        <v>999.99999999999977</v>
      </c>
      <c r="G10" s="1" t="s">
        <v>1093</v>
      </c>
      <c r="H10" s="1" t="s">
        <v>982</v>
      </c>
    </row>
    <row r="11" spans="1:8" ht="28.8">
      <c r="A11" s="1" t="s">
        <v>6116</v>
      </c>
      <c r="B11" s="1" t="s">
        <v>26</v>
      </c>
      <c r="C11" s="1" t="s">
        <v>304</v>
      </c>
      <c r="D11" s="1" t="s">
        <v>2908</v>
      </c>
      <c r="E11" s="12">
        <f t="shared" si="0"/>
        <v>999999.99999999988</v>
      </c>
      <c r="F11" s="12">
        <f>SI!E6/POWER(0.01*SI!E3,3)</f>
        <v>999999.99999999988</v>
      </c>
      <c r="G11" s="1" t="s">
        <v>1093</v>
      </c>
      <c r="H11" s="1" t="s">
        <v>982</v>
      </c>
    </row>
    <row r="12" spans="1:8" ht="28.8">
      <c r="A12" s="1" t="s">
        <v>6117</v>
      </c>
      <c r="B12" s="1" t="s">
        <v>6118</v>
      </c>
      <c r="C12" s="1" t="s">
        <v>304</v>
      </c>
      <c r="D12" s="1" t="s">
        <v>2908</v>
      </c>
      <c r="E12" s="12">
        <f t="shared" si="0"/>
        <v>999999999.99999988</v>
      </c>
      <c r="F12" s="12">
        <f>SI!E6/POWER(0.001*SI!E3,3)</f>
        <v>999999999.99999988</v>
      </c>
      <c r="G12" s="1" t="s">
        <v>1093</v>
      </c>
      <c r="H12" s="1" t="s">
        <v>982</v>
      </c>
    </row>
    <row r="13" spans="1:8" ht="28.8">
      <c r="A13" s="1" t="s">
        <v>6119</v>
      </c>
      <c r="B13" s="1" t="s">
        <v>6120</v>
      </c>
      <c r="C13" s="1" t="s">
        <v>304</v>
      </c>
      <c r="D13" s="1" t="s">
        <v>2908</v>
      </c>
      <c r="E13" s="12">
        <f t="shared" si="0"/>
        <v>1.3079506193143917</v>
      </c>
      <c r="F13" s="12">
        <f>SI!E6/POWER(3*Systems!D6*SI!E3,3)</f>
        <v>1.3079506193143917</v>
      </c>
      <c r="G13" s="1" t="s">
        <v>1093</v>
      </c>
      <c r="H13" s="1" t="s">
        <v>982</v>
      </c>
    </row>
    <row r="14" spans="1:8" ht="28.8">
      <c r="A14" s="1" t="s">
        <v>6121</v>
      </c>
      <c r="B14" s="1" t="s">
        <v>6122</v>
      </c>
      <c r="C14" s="1" t="s">
        <v>304</v>
      </c>
      <c r="D14" s="1" t="s">
        <v>2908</v>
      </c>
      <c r="E14" s="12">
        <f t="shared" si="0"/>
        <v>35.314666721488585</v>
      </c>
      <c r="F14" s="12">
        <f>SI!E6/POWER(Systems!D6*SI!E3,3)</f>
        <v>35.314666721488585</v>
      </c>
      <c r="G14" s="1" t="s">
        <v>1093</v>
      </c>
      <c r="H14" s="1" t="s">
        <v>982</v>
      </c>
    </row>
    <row r="15" spans="1:8" ht="28.8">
      <c r="A15" s="1" t="s">
        <v>6123</v>
      </c>
      <c r="B15" s="1" t="s">
        <v>6124</v>
      </c>
      <c r="C15" s="1" t="s">
        <v>304</v>
      </c>
      <c r="D15" s="1" t="s">
        <v>2908</v>
      </c>
      <c r="E15" s="12">
        <f t="shared" si="0"/>
        <v>61023.744094732276</v>
      </c>
      <c r="F15" s="12">
        <f>SI!E6/POWER(Systems!D6*SI!E3/12,3)</f>
        <v>61023.744094732276</v>
      </c>
      <c r="G15" s="1" t="s">
        <v>1093</v>
      </c>
      <c r="H15" s="1" t="s">
        <v>982</v>
      </c>
    </row>
    <row r="16" spans="1:8" ht="28.8">
      <c r="A16" s="1" t="s">
        <v>6114</v>
      </c>
      <c r="B16" s="1" t="s">
        <v>4217</v>
      </c>
      <c r="C16" s="1" t="s">
        <v>304</v>
      </c>
      <c r="D16" s="1" t="s">
        <v>2908</v>
      </c>
      <c r="E16" s="12">
        <f>1000*F16</f>
        <v>1000</v>
      </c>
      <c r="F16" s="12">
        <f>SI!E6/POWER(SI!E3,3)</f>
        <v>1</v>
      </c>
      <c r="G16" s="1" t="s">
        <v>1093</v>
      </c>
      <c r="H16" s="1" t="s">
        <v>982</v>
      </c>
    </row>
    <row r="17" spans="1:8" ht="28.8">
      <c r="A17" s="1" t="s">
        <v>7500</v>
      </c>
      <c r="B17" s="1" t="s">
        <v>3009</v>
      </c>
      <c r="C17" s="1" t="s">
        <v>304</v>
      </c>
      <c r="D17" s="1" t="s">
        <v>2908</v>
      </c>
      <c r="E17" s="12">
        <f>100*F17</f>
        <v>3225.451080669633</v>
      </c>
      <c r="F17" s="12">
        <f>(3*16*Systems!D6/Systems!L6)*SI!E6/POWER(SI!E3,3)</f>
        <v>32.254510806696331</v>
      </c>
      <c r="G17" s="1" t="s">
        <v>1093</v>
      </c>
      <c r="H17" s="1" t="s">
        <v>47</v>
      </c>
    </row>
    <row r="18" spans="1:8">
      <c r="A18" s="248"/>
      <c r="B18" s="248"/>
      <c r="C18" s="248"/>
      <c r="D18" s="248"/>
      <c r="E18" s="250"/>
      <c r="F18" s="250"/>
      <c r="G18" s="248"/>
      <c r="H18" s="248"/>
    </row>
    <row r="19" spans="1:8" ht="28.8">
      <c r="A19" s="1" t="s">
        <v>220</v>
      </c>
      <c r="B19" s="1" t="s">
        <v>26</v>
      </c>
      <c r="C19" s="1" t="s">
        <v>4234</v>
      </c>
      <c r="D19" s="1" t="s">
        <v>2912</v>
      </c>
      <c r="E19" s="12">
        <f>0.000001*F19</f>
        <v>9.9999999999999995E-7</v>
      </c>
      <c r="F19" s="12">
        <f>SI!E6/POWER(SI!E3,2)</f>
        <v>1</v>
      </c>
      <c r="G19" s="1" t="s">
        <v>1130</v>
      </c>
      <c r="H19" s="1" t="s">
        <v>982</v>
      </c>
    </row>
    <row r="20" spans="1:8" ht="28.8">
      <c r="A20" s="1" t="s">
        <v>6125</v>
      </c>
      <c r="B20" s="1" t="s">
        <v>4059</v>
      </c>
      <c r="C20" s="1" t="s">
        <v>4234</v>
      </c>
      <c r="D20" s="1" t="s">
        <v>2912</v>
      </c>
      <c r="E20" s="12">
        <f>F20</f>
        <v>1</v>
      </c>
      <c r="F20" s="12">
        <f>SI!E6/POWER(SI!E3,2)</f>
        <v>1</v>
      </c>
      <c r="G20" s="1" t="s">
        <v>1130</v>
      </c>
      <c r="H20" s="1" t="s">
        <v>982</v>
      </c>
    </row>
    <row r="21" spans="1:8" ht="28.8">
      <c r="A21" s="1" t="s">
        <v>6126</v>
      </c>
      <c r="B21" s="1" t="s">
        <v>4058</v>
      </c>
      <c r="C21" s="1" t="s">
        <v>4234</v>
      </c>
      <c r="D21" s="1" t="s">
        <v>2912</v>
      </c>
      <c r="E21" s="12">
        <f>F21/POWER(0.01,2)</f>
        <v>10000</v>
      </c>
      <c r="F21" s="12">
        <f>SI!E6/POWER(SI!E3,2)</f>
        <v>1</v>
      </c>
      <c r="G21" s="1" t="s">
        <v>1130</v>
      </c>
      <c r="H21" s="1" t="s">
        <v>982</v>
      </c>
    </row>
    <row r="22" spans="1:8" ht="28.8">
      <c r="A22" s="1" t="s">
        <v>6127</v>
      </c>
      <c r="B22" s="1" t="s">
        <v>4057</v>
      </c>
      <c r="C22" s="1" t="s">
        <v>4234</v>
      </c>
      <c r="D22" s="1" t="s">
        <v>2912</v>
      </c>
      <c r="E22" s="12">
        <f>F22/POWER(0.001,2)</f>
        <v>1000000</v>
      </c>
      <c r="F22" s="12">
        <f>SI!E6/POWER(SI!E3,2)</f>
        <v>1</v>
      </c>
      <c r="G22" s="1" t="s">
        <v>1130</v>
      </c>
      <c r="H22" s="1" t="s">
        <v>982</v>
      </c>
    </row>
    <row r="23" spans="1:8" ht="28.8">
      <c r="A23" s="1" t="s">
        <v>6128</v>
      </c>
      <c r="B23" s="1" t="s">
        <v>4061</v>
      </c>
      <c r="C23" s="1" t="s">
        <v>4234</v>
      </c>
      <c r="D23" s="1" t="s">
        <v>2912</v>
      </c>
      <c r="E23" s="12">
        <f>F24/POWER(3*Systems!D12,2)</f>
        <v>1.19599004630108</v>
      </c>
      <c r="F23" s="12">
        <f>SI!E6/POWER(SI!E3,2)</f>
        <v>1</v>
      </c>
      <c r="G23" s="1" t="s">
        <v>1130</v>
      </c>
      <c r="H23" s="1" t="s">
        <v>982</v>
      </c>
    </row>
    <row r="24" spans="1:8" ht="28.8">
      <c r="A24" s="1" t="s">
        <v>6129</v>
      </c>
      <c r="B24" s="1" t="s">
        <v>4060</v>
      </c>
      <c r="C24" s="1" t="s">
        <v>4234</v>
      </c>
      <c r="D24" s="1" t="s">
        <v>2912</v>
      </c>
      <c r="E24" s="12">
        <f>F24/POWER(Systems!D12,2)</f>
        <v>10.763910416709722</v>
      </c>
      <c r="F24" s="12">
        <f>SI!E6/POWER(SI!E3,2)</f>
        <v>1</v>
      </c>
      <c r="G24" s="1" t="s">
        <v>1130</v>
      </c>
      <c r="H24" s="1" t="s">
        <v>982</v>
      </c>
    </row>
    <row r="25" spans="1:8" ht="28.8">
      <c r="A25" s="1" t="s">
        <v>6130</v>
      </c>
      <c r="B25" s="1" t="s">
        <v>4062</v>
      </c>
      <c r="C25" s="1" t="s">
        <v>4234</v>
      </c>
      <c r="D25" s="1" t="s">
        <v>2912</v>
      </c>
      <c r="E25" s="12">
        <f>F24/POWER(Systems!D12/12,2)</f>
        <v>1550.0031000061997</v>
      </c>
      <c r="F25" s="12">
        <f>SI!E6/POWER(SI!E3,2)</f>
        <v>1</v>
      </c>
      <c r="G25" s="1" t="s">
        <v>1130</v>
      </c>
      <c r="H25" s="1" t="s">
        <v>982</v>
      </c>
    </row>
    <row r="26" spans="1:8">
      <c r="A26" s="248"/>
      <c r="B26" s="248"/>
      <c r="C26" s="248"/>
      <c r="D26" s="248"/>
      <c r="E26" s="250"/>
      <c r="F26" s="250"/>
      <c r="G26" s="248"/>
      <c r="H26" s="248"/>
    </row>
    <row r="27" spans="1:8" ht="16.5">
      <c r="A27" s="1" t="s">
        <v>6109</v>
      </c>
      <c r="B27" s="1" t="s">
        <v>26</v>
      </c>
      <c r="C27" s="1" t="s">
        <v>4235</v>
      </c>
      <c r="D27" s="1" t="s">
        <v>2914</v>
      </c>
      <c r="E27" s="12">
        <f>F27</f>
        <v>2.2413992167717358E-2</v>
      </c>
      <c r="F27" s="12">
        <f>('Physical Constants'!E6/'Physical Measurements'!E11)*POWER(SI!E3,3)/SI!E6</f>
        <v>2.2413992167717358E-2</v>
      </c>
      <c r="G27" s="1" t="s">
        <v>1094</v>
      </c>
      <c r="H27" s="1" t="s">
        <v>982</v>
      </c>
    </row>
    <row r="28" spans="1:8" ht="16.5">
      <c r="A28" s="1" t="s">
        <v>6110</v>
      </c>
      <c r="B28" s="1" t="s">
        <v>26</v>
      </c>
      <c r="C28" s="1" t="s">
        <v>4235</v>
      </c>
      <c r="D28" s="1" t="s">
        <v>2914</v>
      </c>
      <c r="E28" s="12">
        <f>F28</f>
        <v>2.2710977563939614E-2</v>
      </c>
      <c r="F28" s="12">
        <f>(('Physical Definitions'!E2/100000)*'Physical Constants'!E6/'Physical Measurements'!E11)*POWER(SI!E3,3)/SI!E6</f>
        <v>2.2710977563939614E-2</v>
      </c>
      <c r="G28" s="1" t="s">
        <v>1094</v>
      </c>
      <c r="H28" s="1" t="s">
        <v>982</v>
      </c>
    </row>
    <row r="29" spans="1:8" ht="16.5">
      <c r="A29" s="1" t="s">
        <v>6131</v>
      </c>
      <c r="B29" s="1" t="s">
        <v>1094</v>
      </c>
      <c r="C29" s="1" t="s">
        <v>4235</v>
      </c>
      <c r="D29" s="1" t="s">
        <v>2914</v>
      </c>
      <c r="E29" s="12">
        <f>F29</f>
        <v>1</v>
      </c>
      <c r="F29" s="12">
        <f>POWER(SI!E3,3)/SI!E6</f>
        <v>1</v>
      </c>
      <c r="G29" s="1" t="s">
        <v>1094</v>
      </c>
      <c r="H29" s="1" t="s">
        <v>42</v>
      </c>
    </row>
    <row r="30" spans="1:8" ht="16.5">
      <c r="A30" s="1" t="s">
        <v>6132</v>
      </c>
      <c r="B30" s="1" t="s">
        <v>4218</v>
      </c>
      <c r="C30" s="1" t="s">
        <v>4235</v>
      </c>
      <c r="D30" s="1" t="s">
        <v>2914</v>
      </c>
      <c r="E30" s="12">
        <f>F30*POWER('Physical Definitions'!E22,3)</f>
        <v>1.0000000000000002E-6</v>
      </c>
      <c r="F30" s="12">
        <f>POWER(SI!E3,3)/SI!E6</f>
        <v>1</v>
      </c>
      <c r="G30" s="1" t="s">
        <v>1094</v>
      </c>
      <c r="H30" s="1" t="s">
        <v>42</v>
      </c>
    </row>
    <row r="31" spans="1:8" ht="16.5">
      <c r="A31" s="1" t="s">
        <v>6133</v>
      </c>
      <c r="B31" s="1" t="s">
        <v>4219</v>
      </c>
      <c r="C31" s="1" t="s">
        <v>4235</v>
      </c>
      <c r="D31" s="1" t="s">
        <v>2914</v>
      </c>
      <c r="E31" s="12">
        <f>F31*POWER('Physical Definitions'!E21,3)</f>
        <v>1.0000000000000001E-9</v>
      </c>
      <c r="F31" s="12">
        <f>POWER(SI!E3,3)/SI!E6</f>
        <v>1</v>
      </c>
      <c r="G31" s="1" t="s">
        <v>1094</v>
      </c>
      <c r="H31" s="1" t="s">
        <v>42</v>
      </c>
    </row>
    <row r="32" spans="1:8" ht="16.5">
      <c r="A32" s="1" t="s">
        <v>6134</v>
      </c>
      <c r="B32" s="1" t="s">
        <v>6137</v>
      </c>
      <c r="C32" s="1" t="s">
        <v>4235</v>
      </c>
      <c r="D32" s="1" t="s">
        <v>2914</v>
      </c>
      <c r="E32" s="12">
        <f>F32</f>
        <v>0.76455485798400025</v>
      </c>
      <c r="F32" s="12">
        <f>POWER(3*Systems!D6*SI!E3,3)/SI!E6</f>
        <v>0.76455485798400025</v>
      </c>
      <c r="G32" s="1" t="s">
        <v>1094</v>
      </c>
      <c r="H32" s="1" t="s">
        <v>982</v>
      </c>
    </row>
    <row r="33" spans="1:8" ht="16.5">
      <c r="A33" s="1" t="s">
        <v>6135</v>
      </c>
      <c r="B33" s="1" t="s">
        <v>6138</v>
      </c>
      <c r="C33" s="1" t="s">
        <v>4235</v>
      </c>
      <c r="D33" s="1" t="s">
        <v>2914</v>
      </c>
      <c r="E33" s="12">
        <f>F33</f>
        <v>2.8316846592000004E-2</v>
      </c>
      <c r="F33" s="12">
        <f>POWER(Systems!D6*SI!E3,3)/SI!E6</f>
        <v>2.8316846592000004E-2</v>
      </c>
      <c r="G33" s="1" t="s">
        <v>1094</v>
      </c>
      <c r="H33" s="1" t="s">
        <v>982</v>
      </c>
    </row>
    <row r="34" spans="1:8" ht="16.5">
      <c r="A34" s="1" t="s">
        <v>6136</v>
      </c>
      <c r="B34" s="1" t="s">
        <v>6139</v>
      </c>
      <c r="C34" s="1" t="s">
        <v>4235</v>
      </c>
      <c r="D34" s="1" t="s">
        <v>2914</v>
      </c>
      <c r="E34" s="12">
        <f>F34</f>
        <v>1.6387064000000003E-5</v>
      </c>
      <c r="F34" s="12">
        <f>POWER(Systems!D6*SI!E3/12,3)/SI!E6</f>
        <v>1.6387064000000003E-5</v>
      </c>
      <c r="G34" s="1" t="s">
        <v>1094</v>
      </c>
      <c r="H34" s="1" t="s">
        <v>982</v>
      </c>
    </row>
    <row r="35" spans="1:8">
      <c r="A35" s="248"/>
      <c r="B35" s="248"/>
      <c r="C35" s="248"/>
      <c r="D35" s="248"/>
      <c r="E35" s="250"/>
      <c r="F35" s="250"/>
      <c r="G35" s="248"/>
      <c r="H35" s="248"/>
    </row>
    <row r="36" spans="1:8" ht="28.8">
      <c r="A36" s="1" t="s">
        <v>6140</v>
      </c>
      <c r="B36" s="1" t="s">
        <v>1144</v>
      </c>
      <c r="C36" s="1" t="s">
        <v>4236</v>
      </c>
      <c r="D36" s="1" t="s">
        <v>2923</v>
      </c>
      <c r="E36" s="12">
        <f>F36</f>
        <v>1</v>
      </c>
      <c r="F36" s="12">
        <f>POWER(SI!E3,2)/SI!E6</f>
        <v>1</v>
      </c>
      <c r="G36" s="1" t="s">
        <v>1144</v>
      </c>
      <c r="H36" s="1" t="s">
        <v>42</v>
      </c>
    </row>
    <row r="37" spans="1:8" ht="28.8">
      <c r="A37" s="1" t="s">
        <v>6141</v>
      </c>
      <c r="B37" s="1" t="s">
        <v>4054</v>
      </c>
      <c r="C37" s="1" t="s">
        <v>4236</v>
      </c>
      <c r="D37" s="1" t="s">
        <v>2923</v>
      </c>
      <c r="E37" s="12">
        <f>POWER(0.01,2)*F37</f>
        <v>1E-4</v>
      </c>
      <c r="F37" s="12">
        <f>POWER(SI!E3,2)/SI!E6</f>
        <v>1</v>
      </c>
      <c r="G37" s="1" t="s">
        <v>1144</v>
      </c>
      <c r="H37" s="1" t="s">
        <v>42</v>
      </c>
    </row>
    <row r="38" spans="1:8" ht="28.8">
      <c r="A38" s="1" t="s">
        <v>6142</v>
      </c>
      <c r="B38" s="1" t="s">
        <v>4055</v>
      </c>
      <c r="C38" s="1" t="s">
        <v>4236</v>
      </c>
      <c r="D38" s="1" t="s">
        <v>2923</v>
      </c>
      <c r="E38" s="12">
        <f>POWER(0.001,2)*F38</f>
        <v>9.9999999999999995E-7</v>
      </c>
      <c r="F38" s="12">
        <f>POWER(SI!E3,2)/SI!E6</f>
        <v>1</v>
      </c>
      <c r="G38" s="1" t="s">
        <v>1144</v>
      </c>
      <c r="H38" s="1" t="s">
        <v>42</v>
      </c>
    </row>
    <row r="39" spans="1:8" ht="28.8">
      <c r="A39" s="1" t="s">
        <v>6143</v>
      </c>
      <c r="B39" s="1" t="s">
        <v>4064</v>
      </c>
      <c r="C39" s="1" t="s">
        <v>4236</v>
      </c>
      <c r="D39" s="1" t="s">
        <v>2923</v>
      </c>
      <c r="E39" s="12">
        <f>POWER(3*Systems!D12,2)*Molarity!F40</f>
        <v>0.83612736000000021</v>
      </c>
      <c r="F39" s="12">
        <f>POWER(SI!E3,2)/SI!E6</f>
        <v>1</v>
      </c>
      <c r="G39" s="1" t="s">
        <v>1144</v>
      </c>
      <c r="H39" s="1" t="s">
        <v>982</v>
      </c>
    </row>
    <row r="40" spans="1:8" ht="28.8">
      <c r="A40" s="1" t="s">
        <v>6144</v>
      </c>
      <c r="B40" s="1" t="s">
        <v>4056</v>
      </c>
      <c r="C40" s="1" t="s">
        <v>4236</v>
      </c>
      <c r="D40" s="1" t="s">
        <v>2923</v>
      </c>
      <c r="E40" s="12">
        <f>POWER(Systems!D12,2)*Molarity!F40</f>
        <v>9.2903040000000006E-2</v>
      </c>
      <c r="F40" s="12">
        <f>POWER(SI!E3,2)/SI!E6</f>
        <v>1</v>
      </c>
      <c r="G40" s="1" t="s">
        <v>1144</v>
      </c>
      <c r="H40" s="1" t="s">
        <v>982</v>
      </c>
    </row>
    <row r="41" spans="1:8" ht="28.8">
      <c r="A41" s="1" t="s">
        <v>6145</v>
      </c>
      <c r="B41" s="1" t="s">
        <v>4063</v>
      </c>
      <c r="C41" s="1" t="s">
        <v>4236</v>
      </c>
      <c r="D41" s="1" t="s">
        <v>2923</v>
      </c>
      <c r="E41" s="12">
        <f>POWER(Systems!D12/12,2)*Molarity!F40</f>
        <v>6.4516000000000009E-4</v>
      </c>
      <c r="F41" s="12">
        <f>POWER(SI!E3,2)/SI!E6</f>
        <v>1</v>
      </c>
      <c r="G41" s="1" t="s">
        <v>1144</v>
      </c>
      <c r="H41" s="1" t="s">
        <v>982</v>
      </c>
    </row>
    <row r="42" spans="1:8">
      <c r="A42" s="248"/>
      <c r="B42" s="248"/>
      <c r="C42" s="248"/>
      <c r="D42" s="248"/>
      <c r="E42" s="250"/>
      <c r="F42" s="250"/>
      <c r="G42" s="248"/>
      <c r="H42" s="248"/>
    </row>
    <row r="43" spans="1:8" ht="16.5">
      <c r="A43" s="1" t="s">
        <v>6146</v>
      </c>
      <c r="B43" s="1" t="s">
        <v>26</v>
      </c>
      <c r="C43" s="1" t="s">
        <v>4237</v>
      </c>
      <c r="D43" s="1" t="s">
        <v>2909</v>
      </c>
      <c r="E43" s="12">
        <f>F43</f>
        <v>1.0364269656262175E-7</v>
      </c>
      <c r="F43" s="12">
        <f>(1/(100*'Physical Constants'!E4*'Physical Constants'!E6))*POWER(SI!E4/SI!E3,2)*(SI!E6/SI!E2)</f>
        <v>1.0364269656262175E-7</v>
      </c>
      <c r="G43" s="1" t="s">
        <v>1131</v>
      </c>
      <c r="H43" s="1" t="s">
        <v>58</v>
      </c>
    </row>
    <row r="44" spans="1:8" ht="16.5">
      <c r="A44" s="1" t="s">
        <v>1703</v>
      </c>
      <c r="B44" s="1" t="s">
        <v>26</v>
      </c>
      <c r="C44" s="1" t="s">
        <v>4237</v>
      </c>
      <c r="D44" s="1" t="s">
        <v>2909</v>
      </c>
      <c r="E44" s="12">
        <f>F44</f>
        <v>1</v>
      </c>
      <c r="F44" s="12">
        <f>POWER(SI!E4/SI!E3,2)*(SI!E6/SI!E2)</f>
        <v>1</v>
      </c>
      <c r="G44" s="1" t="s">
        <v>1131</v>
      </c>
      <c r="H44" s="1" t="s">
        <v>42</v>
      </c>
    </row>
    <row r="45" spans="1:8">
      <c r="A45" s="248"/>
      <c r="B45" s="248"/>
      <c r="C45" s="248"/>
      <c r="D45" s="248"/>
      <c r="E45" s="250"/>
      <c r="F45" s="250"/>
      <c r="G45" s="248"/>
      <c r="H45" s="248"/>
    </row>
    <row r="46" spans="1:8" ht="28.8">
      <c r="A46" s="1" t="s">
        <v>6147</v>
      </c>
      <c r="B46" s="1" t="s">
        <v>343</v>
      </c>
      <c r="C46" s="1" t="s">
        <v>4240</v>
      </c>
      <c r="D46" s="1" t="s">
        <v>24</v>
      </c>
      <c r="E46" s="12">
        <f>F46</f>
        <v>0.45359237000000002</v>
      </c>
      <c r="F46" s="12">
        <f>Systems!L6*SI!E6</f>
        <v>0.45359237000000002</v>
      </c>
      <c r="G46" s="1" t="s">
        <v>301</v>
      </c>
      <c r="H46" s="1" t="s">
        <v>1148</v>
      </c>
    </row>
    <row r="47" spans="1:8" ht="28.8">
      <c r="A47" s="1" t="s">
        <v>4849</v>
      </c>
      <c r="B47" s="1" t="s">
        <v>6159</v>
      </c>
      <c r="C47" s="1" t="s">
        <v>4240</v>
      </c>
      <c r="D47" s="1" t="s">
        <v>24</v>
      </c>
      <c r="E47" s="166">
        <f>F47</f>
        <v>1.1952869398618757</v>
      </c>
      <c r="F47" s="12">
        <f>(POWER(Systems!D6,3)/(((60-32)*5/9 + 273.15)*('Physical Constants'!E5*'Physical Constants'!E6)/'Physical Definitions'!E2))*SI!E6</f>
        <v>1.1952869398618757</v>
      </c>
      <c r="G47" s="1" t="s">
        <v>301</v>
      </c>
      <c r="H47" s="1" t="s">
        <v>58</v>
      </c>
    </row>
    <row r="48" spans="1:8" ht="28.8">
      <c r="A48" s="1" t="s">
        <v>6148</v>
      </c>
      <c r="B48" s="1" t="s">
        <v>6151</v>
      </c>
      <c r="C48" s="1" t="s">
        <v>4240</v>
      </c>
      <c r="D48" s="1" t="s">
        <v>24</v>
      </c>
      <c r="E48" s="12">
        <f>F48</f>
        <v>44.031614513170808</v>
      </c>
      <c r="F48" s="12">
        <f>(POWER(SI!E3,3)/(((32-32)*5/9 + 273.15)*('Physical Constants'!E5*'Physical Constants'!E6)/'Physical Definitions'!E3))*SI!E6</f>
        <v>44.031614513170808</v>
      </c>
      <c r="G48" s="1" t="s">
        <v>301</v>
      </c>
      <c r="H48" s="1" t="s">
        <v>58</v>
      </c>
    </row>
    <row r="49" spans="1:8" ht="28.8">
      <c r="A49" s="1" t="s">
        <v>6149</v>
      </c>
      <c r="B49" s="1" t="s">
        <v>6150</v>
      </c>
      <c r="C49" s="1" t="s">
        <v>4240</v>
      </c>
      <c r="D49" s="1" t="s">
        <v>24</v>
      </c>
      <c r="E49" s="12">
        <f>F49</f>
        <v>44.615033405470314</v>
      </c>
      <c r="F49" s="12">
        <f>(POWER(SI!E3,3)/(((32-32)*5/9 + 273.15)*('Physical Constants'!E5*'Physical Constants'!E6)/'Physical Definitions'!E2))*SI!E6</f>
        <v>44.615033405470314</v>
      </c>
      <c r="G49" s="1" t="s">
        <v>301</v>
      </c>
      <c r="H49" s="1" t="s">
        <v>982</v>
      </c>
    </row>
    <row r="50" spans="1:8" ht="28.8">
      <c r="A50" s="1" t="s">
        <v>300</v>
      </c>
      <c r="B50" s="1" t="s">
        <v>301</v>
      </c>
      <c r="C50" s="1" t="s">
        <v>4240</v>
      </c>
      <c r="D50" s="1" t="s">
        <v>24</v>
      </c>
      <c r="E50" s="12">
        <f>F50</f>
        <v>1</v>
      </c>
      <c r="F50" s="12">
        <f>SI!E6</f>
        <v>1</v>
      </c>
      <c r="G50" s="1" t="s">
        <v>301</v>
      </c>
      <c r="H50" s="1" t="s">
        <v>42</v>
      </c>
    </row>
    <row r="51" spans="1:8">
      <c r="A51" s="48"/>
      <c r="B51" s="48"/>
      <c r="C51" s="48"/>
      <c r="D51" s="48"/>
      <c r="E51" s="48"/>
      <c r="F51" s="48"/>
      <c r="G51" s="48"/>
      <c r="H51" s="48"/>
    </row>
    <row r="52" spans="1:8">
      <c r="A52" s="1" t="s">
        <v>6152</v>
      </c>
      <c r="B52" s="1" t="s">
        <v>249</v>
      </c>
      <c r="C52" s="1" t="s">
        <v>4238</v>
      </c>
      <c r="D52" s="1" t="s">
        <v>2845</v>
      </c>
      <c r="E52" s="12">
        <f>0.000001*F52</f>
        <v>1.6666666666666667E-8</v>
      </c>
      <c r="F52" s="12">
        <f>(1/'Physical Definitions'!E4)*SI!E6/SI!E4</f>
        <v>1.6666666666666666E-2</v>
      </c>
      <c r="G52" s="1" t="s">
        <v>1133</v>
      </c>
      <c r="H52" s="1" t="s">
        <v>982</v>
      </c>
    </row>
    <row r="53" spans="1:8">
      <c r="A53" s="1" t="s">
        <v>256</v>
      </c>
      <c r="B53" s="1" t="s">
        <v>258</v>
      </c>
      <c r="C53" s="1" t="s">
        <v>4238</v>
      </c>
      <c r="D53" s="1" t="s">
        <v>2845</v>
      </c>
      <c r="E53" s="12">
        <f>F53</f>
        <v>1</v>
      </c>
      <c r="F53" s="12">
        <f>SI!E6/SI!E4</f>
        <v>1</v>
      </c>
      <c r="G53" s="1" t="s">
        <v>1133</v>
      </c>
      <c r="H53" s="1" t="s">
        <v>42</v>
      </c>
    </row>
    <row r="54" spans="1:8">
      <c r="A54" s="48"/>
      <c r="B54" s="48"/>
      <c r="C54" s="48"/>
      <c r="D54" s="48"/>
      <c r="E54" s="48"/>
      <c r="F54" s="48"/>
      <c r="G54" s="48"/>
      <c r="H54" s="48"/>
    </row>
    <row r="55" spans="1:8" ht="28.8">
      <c r="A55" s="1" t="s">
        <v>6153</v>
      </c>
      <c r="B55" s="1" t="s">
        <v>6154</v>
      </c>
      <c r="C55" s="1" t="s">
        <v>4239</v>
      </c>
      <c r="D55" s="1" t="s">
        <v>2920</v>
      </c>
      <c r="E55" s="12">
        <f>96485.309*F55</f>
        <v>96485.308999999994</v>
      </c>
      <c r="F55" s="12">
        <f>SI!E4*SI!E7/SI!E6</f>
        <v>1</v>
      </c>
      <c r="G55" s="1" t="s">
        <v>1128</v>
      </c>
      <c r="H55" s="1" t="s">
        <v>982</v>
      </c>
    </row>
    <row r="56" spans="1:8" ht="28.8">
      <c r="A56" s="1" t="s">
        <v>6155</v>
      </c>
      <c r="B56" s="1" t="s">
        <v>6157</v>
      </c>
      <c r="C56" s="1" t="s">
        <v>4239</v>
      </c>
      <c r="D56" s="1" t="s">
        <v>2920</v>
      </c>
      <c r="E56" s="12">
        <f>96495.7*F56</f>
        <v>96495.7</v>
      </c>
      <c r="F56" s="12">
        <f>SI!E4*SI!E7/SI!E6</f>
        <v>1</v>
      </c>
      <c r="G56" s="1" t="s">
        <v>1128</v>
      </c>
      <c r="H56" s="1" t="s">
        <v>982</v>
      </c>
    </row>
    <row r="57" spans="1:8" ht="28.8">
      <c r="A57" s="1" t="s">
        <v>6156</v>
      </c>
      <c r="B57" s="1" t="s">
        <v>6158</v>
      </c>
      <c r="C57" s="1" t="s">
        <v>4239</v>
      </c>
      <c r="D57" s="1" t="s">
        <v>2920</v>
      </c>
      <c r="E57" s="12">
        <f>96512.9*F57</f>
        <v>96512.9</v>
      </c>
      <c r="F57" s="12">
        <f>SI!E4*SI!E7/SI!E6</f>
        <v>1</v>
      </c>
      <c r="G57" s="1" t="s">
        <v>1128</v>
      </c>
      <c r="H57" s="1" t="s">
        <v>982</v>
      </c>
    </row>
    <row r="58" spans="1:8">
      <c r="A58" s="48"/>
      <c r="B58" s="48"/>
      <c r="C58" s="48"/>
      <c r="D58" s="48"/>
      <c r="E58" s="48"/>
      <c r="F58" s="48"/>
      <c r="G58" s="48"/>
      <c r="H58" s="4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E7AAB-DDA7-4262-B5D6-57F2B0D0BB93}">
  <sheetPr codeName="Sheet25"/>
  <dimension ref="A1:H98"/>
  <sheetViews>
    <sheetView topLeftCell="A22" workbookViewId="0">
      <selection activeCell="A44" sqref="A44"/>
    </sheetView>
  </sheetViews>
  <sheetFormatPr defaultRowHeight="14.4"/>
  <cols>
    <col min="1" max="1" width="36.1015625" customWidth="1"/>
    <col min="2" max="2" width="19.89453125" customWidth="1"/>
    <col min="3" max="3" width="25.41796875" customWidth="1"/>
    <col min="4" max="4" width="18.83984375" customWidth="1"/>
    <col min="5" max="5" width="22.9453125" customWidth="1"/>
    <col min="6" max="6" width="30.05078125" customWidth="1"/>
    <col min="7" max="7" width="14.62890625" customWidth="1"/>
    <col min="8" max="8" width="13.20703125" customWidth="1"/>
  </cols>
  <sheetData>
    <row r="1" spans="1:8">
      <c r="A1" s="2" t="s">
        <v>11</v>
      </c>
      <c r="B1" s="2" t="s">
        <v>1</v>
      </c>
      <c r="C1" s="2" t="s">
        <v>2</v>
      </c>
      <c r="D1" s="2" t="s">
        <v>3</v>
      </c>
      <c r="E1" s="2" t="s">
        <v>4</v>
      </c>
      <c r="F1" s="128" t="s">
        <v>937</v>
      </c>
      <c r="G1" s="2" t="s">
        <v>0</v>
      </c>
      <c r="H1" s="2" t="s">
        <v>5</v>
      </c>
    </row>
    <row r="2" spans="1:8" ht="16.5">
      <c r="A2" s="1" t="s">
        <v>1156</v>
      </c>
      <c r="B2" s="1" t="s">
        <v>25</v>
      </c>
      <c r="C2" s="1" t="s">
        <v>31</v>
      </c>
      <c r="D2" s="1" t="s">
        <v>2851</v>
      </c>
      <c r="E2" s="12">
        <f>0.0000001*F2</f>
        <v>9.9999999999999995E-8</v>
      </c>
      <c r="F2" s="12">
        <f>SI!E2*POWER(SI!E3/SI!E4,2)/SI!E4</f>
        <v>1</v>
      </c>
      <c r="G2" s="1" t="s">
        <v>1098</v>
      </c>
      <c r="H2" s="1" t="s">
        <v>36</v>
      </c>
    </row>
    <row r="3" spans="1:8" ht="16.5">
      <c r="A3" s="1" t="s">
        <v>6160</v>
      </c>
      <c r="B3" s="1" t="s">
        <v>6163</v>
      </c>
      <c r="C3" s="1" t="s">
        <v>31</v>
      </c>
      <c r="D3" s="1" t="s">
        <v>2851</v>
      </c>
      <c r="E3" s="12">
        <f>0.0000001*F3</f>
        <v>9.9999999999999995E-8</v>
      </c>
      <c r="F3" s="12">
        <f>SI!E2*POWER(SI!E3/SI!E4,2)/SI!E4</f>
        <v>1</v>
      </c>
      <c r="G3" s="1" t="s">
        <v>1098</v>
      </c>
      <c r="H3" s="1" t="s">
        <v>36</v>
      </c>
    </row>
    <row r="4" spans="1:8" ht="16.5">
      <c r="A4" s="1" t="s">
        <v>6161</v>
      </c>
      <c r="B4" s="1" t="s">
        <v>6184</v>
      </c>
      <c r="C4" s="1" t="s">
        <v>31</v>
      </c>
      <c r="D4" s="1" t="s">
        <v>2851</v>
      </c>
      <c r="E4" s="12">
        <f>0.0000001*F4</f>
        <v>9.9999999999999995E-8</v>
      </c>
      <c r="F4" s="12">
        <f>SI!E2*POWER(SI!E3/SI!E4,2)/SI!E4</f>
        <v>1</v>
      </c>
      <c r="G4" s="1" t="s">
        <v>1098</v>
      </c>
      <c r="H4" s="1" t="s">
        <v>36</v>
      </c>
    </row>
    <row r="5" spans="1:8" ht="16.5">
      <c r="A5" s="1" t="s">
        <v>6162</v>
      </c>
      <c r="B5" s="1" t="s">
        <v>6183</v>
      </c>
      <c r="C5" s="1" t="s">
        <v>31</v>
      </c>
      <c r="D5" s="1" t="s">
        <v>2851</v>
      </c>
      <c r="E5" s="12">
        <f>F5</f>
        <v>3.7661609675872237E-4</v>
      </c>
      <c r="F5" s="12">
        <f>(Systems!L15*Systems!D15*'Physical Definitions'!E13/'Physical Definitions'!E5)*SI!E2*POWER(SI!E3/SI!E4,2)/SI!E4</f>
        <v>3.7661609675872237E-4</v>
      </c>
      <c r="G5" s="1" t="s">
        <v>1098</v>
      </c>
      <c r="H5" s="1" t="s">
        <v>117</v>
      </c>
    </row>
    <row r="6" spans="1:8" ht="16.5">
      <c r="A6" s="1" t="s">
        <v>6166</v>
      </c>
      <c r="B6" s="1" t="s">
        <v>6164</v>
      </c>
      <c r="C6" s="1" t="s">
        <v>31</v>
      </c>
      <c r="D6" s="1" t="s">
        <v>2851</v>
      </c>
      <c r="E6" s="12">
        <f>F6</f>
        <v>2.2596965805523343E-2</v>
      </c>
      <c r="F6" s="12">
        <f>(Systems!L15*Systems!D15*'Physical Definitions'!E13/'Physical Definitions'!E4)*SI!E2*POWER(SI!E3/SI!E4,2)/SI!E4</f>
        <v>2.2596965805523343E-2</v>
      </c>
      <c r="G6" s="1" t="s">
        <v>1098</v>
      </c>
      <c r="H6" s="1" t="s">
        <v>117</v>
      </c>
    </row>
    <row r="7" spans="1:8" ht="16.5">
      <c r="A7" s="1" t="s">
        <v>6167</v>
      </c>
      <c r="B7" s="1" t="s">
        <v>6185</v>
      </c>
      <c r="C7" s="1" t="s">
        <v>31</v>
      </c>
      <c r="D7" s="1" t="s">
        <v>2851</v>
      </c>
      <c r="E7" s="12">
        <f>F7</f>
        <v>1.3558179483314006</v>
      </c>
      <c r="F7" s="12">
        <f>Systems!L15*Systems!D15*'Physical Definitions'!E13*SI!E2*POWER(SI!E3/SI!E4,2)/SI!E4</f>
        <v>1.3558179483314006</v>
      </c>
      <c r="G7" s="1" t="s">
        <v>1098</v>
      </c>
      <c r="H7" s="1" t="s">
        <v>117</v>
      </c>
    </row>
    <row r="8" spans="1:8" ht="16.5">
      <c r="A8" s="1" t="s">
        <v>6168</v>
      </c>
      <c r="B8" s="1" t="s">
        <v>6186</v>
      </c>
      <c r="C8" s="1" t="s">
        <v>31</v>
      </c>
      <c r="D8" s="1" t="s">
        <v>2851</v>
      </c>
      <c r="E8" s="12">
        <f>F8</f>
        <v>4.2140110093804806E-2</v>
      </c>
      <c r="F8" s="12">
        <f>Systems!L15*POWER(Systems!D15,2)*SI!E2*POWER(SI!E3/SI!E4,2)/SI!E4</f>
        <v>4.2140110093804806E-2</v>
      </c>
      <c r="G8" s="1" t="s">
        <v>1098</v>
      </c>
      <c r="H8" s="1" t="s">
        <v>117</v>
      </c>
    </row>
    <row r="9" spans="1:8" ht="16.5">
      <c r="A9" s="1" t="s">
        <v>338</v>
      </c>
      <c r="B9" s="1" t="s">
        <v>26</v>
      </c>
      <c r="C9" s="1" t="s">
        <v>31</v>
      </c>
      <c r="D9" s="1" t="s">
        <v>2851</v>
      </c>
      <c r="E9" s="12">
        <f>100*F9</f>
        <v>980.66499999999996</v>
      </c>
      <c r="F9" s="12">
        <f>'Physical Definitions'!E13*SI!E2*POWER(SI!E3/SI!E4,2)/SI!E4</f>
        <v>9.8066499999999994</v>
      </c>
      <c r="G9" s="1" t="s">
        <v>1098</v>
      </c>
      <c r="H9" s="1" t="s">
        <v>65</v>
      </c>
    </row>
    <row r="10" spans="1:8" ht="16.5">
      <c r="A10" s="1" t="s">
        <v>6169</v>
      </c>
      <c r="B10" s="1" t="s">
        <v>6187</v>
      </c>
      <c r="C10" s="1" t="s">
        <v>31</v>
      </c>
      <c r="D10" s="1" t="s">
        <v>2851</v>
      </c>
      <c r="E10" s="12">
        <f>F10</f>
        <v>0.79700124470400013</v>
      </c>
      <c r="F10" s="12">
        <f>('Physical Definitions'!E2*POWER(Systems!D6,3)/'Physical Definitions'!E5)*SI!E2*POWER(SI!E3/SI!E4,2)/SI!E4</f>
        <v>0.79700124470400013</v>
      </c>
      <c r="G10" s="1" t="s">
        <v>1098</v>
      </c>
      <c r="H10" s="1" t="s">
        <v>1148</v>
      </c>
    </row>
    <row r="11" spans="1:8" ht="16.5">
      <c r="A11" s="1" t="s">
        <v>6170</v>
      </c>
      <c r="B11" s="1" t="s">
        <v>6165</v>
      </c>
      <c r="C11" s="1" t="s">
        <v>31</v>
      </c>
      <c r="D11" s="1" t="s">
        <v>2851</v>
      </c>
      <c r="E11" s="12">
        <f>F11</f>
        <v>47.820074682240012</v>
      </c>
      <c r="F11" s="12">
        <f>('Physical Definitions'!E2*POWER(Systems!D6,3)/'Physical Definitions'!E4)*SI!E2*POWER(SI!E3/SI!E4,2)/SI!E4</f>
        <v>47.820074682240012</v>
      </c>
      <c r="G11" s="1" t="s">
        <v>1098</v>
      </c>
      <c r="H11" s="1" t="s">
        <v>1148</v>
      </c>
    </row>
    <row r="12" spans="1:8" ht="16.5">
      <c r="A12" s="1" t="s">
        <v>7482</v>
      </c>
      <c r="B12" s="1" t="s">
        <v>6171</v>
      </c>
      <c r="C12" s="1" t="s">
        <v>31</v>
      </c>
      <c r="D12" s="1" t="s">
        <v>2851</v>
      </c>
      <c r="E12" s="12">
        <f>'Physical Measurements'!E21*F12/'Physical Definitions'!E5</f>
        <v>0.29329722222222221</v>
      </c>
      <c r="F12" s="12">
        <f>SI!E2*POWER(SI!E3/SI!E4,2)/SI!E4</f>
        <v>1</v>
      </c>
      <c r="G12" s="1" t="s">
        <v>1098</v>
      </c>
      <c r="H12" s="1" t="s">
        <v>117</v>
      </c>
    </row>
    <row r="13" spans="1:8" ht="16.5">
      <c r="A13" s="1" t="s">
        <v>7483</v>
      </c>
      <c r="B13" s="1" t="s">
        <v>6172</v>
      </c>
      <c r="C13" s="1" t="s">
        <v>31</v>
      </c>
      <c r="D13" s="1" t="s">
        <v>2851</v>
      </c>
      <c r="E13" s="12">
        <f>'Physical Measurements'!E21*F13/'Physical Definitions'!E4</f>
        <v>17.59783333333333</v>
      </c>
      <c r="F13" s="12">
        <f>SI!E2*POWER(SI!E3/SI!E4,2)/SI!E4</f>
        <v>1</v>
      </c>
      <c r="G13" s="1" t="s">
        <v>1098</v>
      </c>
      <c r="H13" s="1" t="s">
        <v>117</v>
      </c>
    </row>
    <row r="14" spans="1:8" ht="16.5">
      <c r="A14" s="1" t="s">
        <v>7484</v>
      </c>
      <c r="B14" s="1" t="s">
        <v>6188</v>
      </c>
      <c r="C14" s="1" t="s">
        <v>31</v>
      </c>
      <c r="D14" s="1" t="s">
        <v>2851</v>
      </c>
      <c r="E14" s="12">
        <f>'Physical Measurements'!E21*F14</f>
        <v>1055.8699999999999</v>
      </c>
      <c r="F14" s="12">
        <f>SI!E2*POWER(SI!E3/SI!E4,2)/SI!E4</f>
        <v>1</v>
      </c>
      <c r="G14" s="1" t="s">
        <v>1098</v>
      </c>
      <c r="H14" s="1" t="s">
        <v>117</v>
      </c>
    </row>
    <row r="15" spans="1:8" ht="16.5">
      <c r="A15" s="1" t="s">
        <v>7485</v>
      </c>
      <c r="B15" s="1" t="s">
        <v>6173</v>
      </c>
      <c r="C15" s="1" t="s">
        <v>31</v>
      </c>
      <c r="D15" s="1" t="s">
        <v>2851</v>
      </c>
      <c r="E15" s="12">
        <f>1055.06*F15/'Physical Definitions'!E5</f>
        <v>0.29307222222222223</v>
      </c>
      <c r="F15" s="12">
        <f>SI!E2*POWER(SI!E3/SI!E4,2)/SI!E4</f>
        <v>1</v>
      </c>
      <c r="G15" s="1" t="s">
        <v>1098</v>
      </c>
      <c r="H15" s="1" t="s">
        <v>46</v>
      </c>
    </row>
    <row r="16" spans="1:8" ht="16.5">
      <c r="A16" s="1" t="s">
        <v>7486</v>
      </c>
      <c r="B16" s="1" t="s">
        <v>6174</v>
      </c>
      <c r="C16" s="1" t="s">
        <v>31</v>
      </c>
      <c r="D16" s="1" t="s">
        <v>2851</v>
      </c>
      <c r="E16" s="12">
        <f>1055.06*F16/'Physical Definitions'!E4</f>
        <v>17.584333333333333</v>
      </c>
      <c r="F16" s="12">
        <f>SI!E2*POWER(SI!E3/SI!E4,2)/SI!E4</f>
        <v>1</v>
      </c>
      <c r="G16" s="1" t="s">
        <v>1098</v>
      </c>
      <c r="H16" s="1" t="s">
        <v>46</v>
      </c>
    </row>
    <row r="17" spans="1:8" ht="16.5">
      <c r="A17" s="1" t="s">
        <v>7487</v>
      </c>
      <c r="B17" s="1" t="s">
        <v>6175</v>
      </c>
      <c r="C17" s="1" t="s">
        <v>31</v>
      </c>
      <c r="D17" s="1" t="s">
        <v>2851</v>
      </c>
      <c r="E17" s="12">
        <f>1055.06*F17</f>
        <v>1055.06</v>
      </c>
      <c r="F17" s="12">
        <f>SI!E2*POWER(SI!E3/SI!E4,2)/SI!E4</f>
        <v>1</v>
      </c>
      <c r="G17" s="1" t="s">
        <v>1098</v>
      </c>
      <c r="H17" s="1" t="s">
        <v>46</v>
      </c>
    </row>
    <row r="18" spans="1:8" ht="16.5">
      <c r="A18" s="1" t="s">
        <v>7488</v>
      </c>
      <c r="B18" s="1" t="s">
        <v>6176</v>
      </c>
      <c r="C18" s="1" t="s">
        <v>31</v>
      </c>
      <c r="D18" s="1" t="s">
        <v>2851</v>
      </c>
      <c r="E18" s="12">
        <f>1059.67*F18/'Physical Definitions'!E5</f>
        <v>0.2943527777777778</v>
      </c>
      <c r="F18" s="12">
        <f>SI!E2*POWER(SI!E3/SI!E4,2)/SI!E4</f>
        <v>1</v>
      </c>
      <c r="G18" s="1" t="s">
        <v>1098</v>
      </c>
      <c r="H18" s="1" t="s">
        <v>46</v>
      </c>
    </row>
    <row r="19" spans="1:8" ht="16.5">
      <c r="A19" s="1" t="s">
        <v>7489</v>
      </c>
      <c r="B19" s="1" t="s">
        <v>6177</v>
      </c>
      <c r="C19" s="1" t="s">
        <v>31</v>
      </c>
      <c r="D19" s="1" t="s">
        <v>2851</v>
      </c>
      <c r="E19" s="12">
        <f>1059.67*F19/'Physical Definitions'!E4</f>
        <v>17.661166666666666</v>
      </c>
      <c r="F19" s="12">
        <f>SI!E2*POWER(SI!E3/SI!E4,2)/SI!E4</f>
        <v>1</v>
      </c>
      <c r="G19" s="1" t="s">
        <v>1098</v>
      </c>
      <c r="H19" s="1" t="s">
        <v>46</v>
      </c>
    </row>
    <row r="20" spans="1:8" ht="16.5">
      <c r="A20" s="1" t="s">
        <v>7490</v>
      </c>
      <c r="B20" s="1" t="s">
        <v>6178</v>
      </c>
      <c r="C20" s="1" t="s">
        <v>31</v>
      </c>
      <c r="D20" s="1" t="s">
        <v>2851</v>
      </c>
      <c r="E20" s="12">
        <f>1059.67*F20</f>
        <v>1059.67</v>
      </c>
      <c r="F20" s="12">
        <f>SI!E2*POWER(SI!E3/SI!E4,2)/SI!E4</f>
        <v>1</v>
      </c>
      <c r="G20" s="1" t="s">
        <v>1098</v>
      </c>
      <c r="H20" s="1" t="s">
        <v>46</v>
      </c>
    </row>
    <row r="21" spans="1:8" ht="16.5">
      <c r="A21" s="1" t="s">
        <v>7491</v>
      </c>
      <c r="B21" s="1" t="s">
        <v>6180</v>
      </c>
      <c r="C21" s="1" t="s">
        <v>31</v>
      </c>
      <c r="D21" s="1" t="s">
        <v>2851</v>
      </c>
      <c r="E21" s="12">
        <f>1054.678*F21/'Physical Definitions'!E5</f>
        <v>0.29296611111111115</v>
      </c>
      <c r="F21" s="12">
        <f>SI!E2*POWER(SI!E3/SI!E4,2)/SI!E4</f>
        <v>1</v>
      </c>
      <c r="G21" s="1" t="s">
        <v>1098</v>
      </c>
      <c r="H21" s="1" t="s">
        <v>46</v>
      </c>
    </row>
    <row r="22" spans="1:8" ht="16.5">
      <c r="A22" s="1" t="s">
        <v>7492</v>
      </c>
      <c r="B22" s="1" t="s">
        <v>6179</v>
      </c>
      <c r="C22" s="1" t="s">
        <v>31</v>
      </c>
      <c r="D22" s="1" t="s">
        <v>2851</v>
      </c>
      <c r="E22" s="12">
        <f>1054.678*F22/'Physical Definitions'!E4</f>
        <v>17.577966666666669</v>
      </c>
      <c r="F22" s="12">
        <f>SI!E2*POWER(SI!E3/SI!E4,2)/SI!E4</f>
        <v>1</v>
      </c>
      <c r="G22" s="1" t="s">
        <v>1098</v>
      </c>
      <c r="H22" s="1" t="s">
        <v>46</v>
      </c>
    </row>
    <row r="23" spans="1:8" ht="16.5">
      <c r="A23" s="1" t="s">
        <v>7493</v>
      </c>
      <c r="B23" s="1" t="s">
        <v>6181</v>
      </c>
      <c r="C23" s="1" t="s">
        <v>31</v>
      </c>
      <c r="D23" s="1" t="s">
        <v>2851</v>
      </c>
      <c r="E23" s="12">
        <f>1054.678*F23</f>
        <v>1054.6780000000001</v>
      </c>
      <c r="F23" s="12">
        <f>SI!E2*POWER(SI!E3/SI!E4,2)/SI!E4</f>
        <v>1</v>
      </c>
      <c r="G23" s="1" t="s">
        <v>1098</v>
      </c>
      <c r="H23" s="1" t="s">
        <v>46</v>
      </c>
    </row>
    <row r="24" spans="1:8" ht="16.5">
      <c r="A24" s="1" t="s">
        <v>7494</v>
      </c>
      <c r="B24" s="1" t="s">
        <v>6182</v>
      </c>
      <c r="C24" s="1" t="s">
        <v>31</v>
      </c>
      <c r="D24" s="1" t="s">
        <v>2851</v>
      </c>
      <c r="E24" s="12">
        <f t="shared" ref="E24:E39" si="0">F24</f>
        <v>0.29307107017222223</v>
      </c>
      <c r="F24" s="12">
        <f>('Physical Definitions'!E15/'Physical Definitions'!E5)*SI!E2*POWER(SI!E3/SI!E4,2)/SI!E4</f>
        <v>0.29307107017222223</v>
      </c>
      <c r="G24" s="1" t="s">
        <v>1098</v>
      </c>
      <c r="H24" s="1" t="s">
        <v>1148</v>
      </c>
    </row>
    <row r="25" spans="1:8" ht="16.5">
      <c r="A25" s="1" t="s">
        <v>7495</v>
      </c>
      <c r="B25" s="1" t="s">
        <v>6191</v>
      </c>
      <c r="C25" s="1" t="s">
        <v>31</v>
      </c>
      <c r="D25" s="1" t="s">
        <v>2851</v>
      </c>
      <c r="E25" s="12">
        <f t="shared" si="0"/>
        <v>17.584264210333334</v>
      </c>
      <c r="F25" s="12">
        <f>('Physical Definitions'!E15/'Physical Definitions'!E4)*SI!E2*POWER(SI!E3/SI!E4,2)/SI!E4</f>
        <v>17.584264210333334</v>
      </c>
      <c r="G25" s="1" t="s">
        <v>1098</v>
      </c>
      <c r="H25" s="1" t="s">
        <v>1148</v>
      </c>
    </row>
    <row r="26" spans="1:8" ht="16.5">
      <c r="A26" s="1" t="s">
        <v>7496</v>
      </c>
      <c r="B26" s="1" t="s">
        <v>6190</v>
      </c>
      <c r="C26" s="1" t="s">
        <v>31</v>
      </c>
      <c r="D26" s="1" t="s">
        <v>2851</v>
      </c>
      <c r="E26" s="12">
        <f t="shared" si="0"/>
        <v>1055.05585262</v>
      </c>
      <c r="F26" s="12">
        <f>'Physical Definitions'!E15*SI!E2*POWER(SI!E3/SI!E4,2)/SI!E4</f>
        <v>1055.05585262</v>
      </c>
      <c r="G26" s="1" t="s">
        <v>1098</v>
      </c>
      <c r="H26" s="1" t="s">
        <v>1148</v>
      </c>
    </row>
    <row r="27" spans="1:8" ht="16.5">
      <c r="A27" s="1" t="s">
        <v>7497</v>
      </c>
      <c r="B27" s="1" t="s">
        <v>6189</v>
      </c>
      <c r="C27" s="1" t="s">
        <v>31</v>
      </c>
      <c r="D27" s="1" t="s">
        <v>2851</v>
      </c>
      <c r="E27" s="12">
        <f t="shared" si="0"/>
        <v>0.29287507346913583</v>
      </c>
      <c r="F27" s="12">
        <f>(5*1000*Systems!L6*'Physical Definitions'!E16/(9*'Physical Definitions'!E5))*SI!E2*POWER(SI!E3/SI!E4,2)/SI!E4</f>
        <v>0.29287507346913583</v>
      </c>
      <c r="G27" s="1" t="s">
        <v>1098</v>
      </c>
      <c r="H27" s="1" t="s">
        <v>1148</v>
      </c>
    </row>
    <row r="28" spans="1:8" ht="16.5">
      <c r="A28" s="1" t="s">
        <v>7498</v>
      </c>
      <c r="B28" s="1" t="s">
        <v>6192</v>
      </c>
      <c r="C28" s="1" t="s">
        <v>31</v>
      </c>
      <c r="D28" s="1" t="s">
        <v>2851</v>
      </c>
      <c r="E28" s="12">
        <f t="shared" si="0"/>
        <v>17.572504408148149</v>
      </c>
      <c r="F28" s="12">
        <f>(5*1000*Systems!L6*'Physical Definitions'!E16/(9*'Physical Definitions'!E4))*SI!E2*POWER(SI!E3/SI!E4,2)/SI!E4</f>
        <v>17.572504408148149</v>
      </c>
      <c r="G28" s="1" t="s">
        <v>1098</v>
      </c>
      <c r="H28" s="1" t="s">
        <v>1148</v>
      </c>
    </row>
    <row r="29" spans="1:8" ht="16.5">
      <c r="A29" s="1" t="s">
        <v>7499</v>
      </c>
      <c r="B29" s="1" t="s">
        <v>6193</v>
      </c>
      <c r="C29" s="1" t="s">
        <v>31</v>
      </c>
      <c r="D29" s="1" t="s">
        <v>2851</v>
      </c>
      <c r="E29" s="12">
        <f t="shared" si="0"/>
        <v>1054.350264488889</v>
      </c>
      <c r="F29" s="12">
        <f>(5*1000*Systems!L6*'Physical Definitions'!E16/9)*SI!E2*POWER(SI!E3/SI!E4,2)/SI!E4</f>
        <v>1054.350264488889</v>
      </c>
      <c r="G29" s="1" t="s">
        <v>1098</v>
      </c>
      <c r="H29" s="1" t="s">
        <v>1148</v>
      </c>
    </row>
    <row r="30" spans="1:8" ht="16.5">
      <c r="A30" s="1" t="s">
        <v>6162</v>
      </c>
      <c r="B30" s="1" t="s">
        <v>6183</v>
      </c>
      <c r="C30" s="1" t="s">
        <v>31</v>
      </c>
      <c r="D30" s="1" t="s">
        <v>2851</v>
      </c>
      <c r="E30" s="12">
        <f t="shared" si="0"/>
        <v>3.7661609675872237E-4</v>
      </c>
      <c r="F30" s="12">
        <f>(Systems!L6*Systems!D6*'Physical Definitions'!E13/'Physical Definitions'!E5)*SI!E2*POWER(SI!E3/SI!E4,2)/SI!E4</f>
        <v>3.7661609675872237E-4</v>
      </c>
      <c r="G30" s="1" t="s">
        <v>1098</v>
      </c>
      <c r="H30" s="1" t="s">
        <v>1148</v>
      </c>
    </row>
    <row r="31" spans="1:8" ht="16.5">
      <c r="A31" s="1" t="s">
        <v>6166</v>
      </c>
      <c r="B31" s="1" t="s">
        <v>6164</v>
      </c>
      <c r="C31" s="1" t="s">
        <v>31</v>
      </c>
      <c r="D31" s="1" t="s">
        <v>2851</v>
      </c>
      <c r="E31" s="12">
        <f t="shared" si="0"/>
        <v>2.2596965805523343E-2</v>
      </c>
      <c r="F31" s="12">
        <f>(Systems!L6*Systems!D6*'Physical Definitions'!E13/'Physical Definitions'!E4)*SI!E2*POWER(SI!E3/SI!E4,2)/SI!E4</f>
        <v>2.2596965805523343E-2</v>
      </c>
      <c r="G31" s="1" t="s">
        <v>1098</v>
      </c>
      <c r="H31" s="1" t="s">
        <v>1148</v>
      </c>
    </row>
    <row r="32" spans="1:8" ht="16.5">
      <c r="A32" s="1" t="s">
        <v>6167</v>
      </c>
      <c r="B32" s="1" t="s">
        <v>6185</v>
      </c>
      <c r="C32" s="1" t="s">
        <v>31</v>
      </c>
      <c r="D32" s="1" t="s">
        <v>2851</v>
      </c>
      <c r="E32" s="12">
        <f t="shared" si="0"/>
        <v>1.3558179483314006</v>
      </c>
      <c r="F32" s="12">
        <f>(Systems!L6*Systems!D6*'Physical Definitions'!E13)*SI!E2*POWER(SI!E3/SI!E4,2)/SI!E4</f>
        <v>1.3558179483314006</v>
      </c>
      <c r="G32" s="1" t="s">
        <v>1098</v>
      </c>
      <c r="H32" s="1" t="s">
        <v>1148</v>
      </c>
    </row>
    <row r="33" spans="1:8" ht="16.5">
      <c r="A33" s="1" t="s">
        <v>539</v>
      </c>
      <c r="B33" s="1" t="s">
        <v>243</v>
      </c>
      <c r="C33" s="1" t="s">
        <v>31</v>
      </c>
      <c r="D33" s="1" t="s">
        <v>2851</v>
      </c>
      <c r="E33" s="12">
        <f t="shared" si="0"/>
        <v>745.69987158227025</v>
      </c>
      <c r="F33" s="12">
        <f>(550*Systems!L6*Systems!D6*'Physical Definitions'!E13)*SI!E2*POWER(SI!E3/SI!E4,2)/SI!E4</f>
        <v>745.69987158227025</v>
      </c>
      <c r="G33" s="1" t="s">
        <v>1098</v>
      </c>
      <c r="H33" s="1" t="s">
        <v>1148</v>
      </c>
    </row>
    <row r="34" spans="1:8" ht="16.5">
      <c r="A34" s="1" t="s">
        <v>6195</v>
      </c>
      <c r="B34" s="1" t="s">
        <v>6194</v>
      </c>
      <c r="C34" s="1" t="s">
        <v>31</v>
      </c>
      <c r="D34" s="1" t="s">
        <v>2851</v>
      </c>
      <c r="E34" s="12">
        <f t="shared" si="0"/>
        <v>28.145833333333332</v>
      </c>
      <c r="F34" s="12">
        <f>('Physical Definitions'!E2/'Physical Definitions'!E5)*SI!E2*POWER(SI!E3/SI!E4,2)/SI!E4</f>
        <v>28.145833333333332</v>
      </c>
      <c r="G34" s="1" t="s">
        <v>1098</v>
      </c>
      <c r="H34" s="1" t="s">
        <v>58</v>
      </c>
    </row>
    <row r="35" spans="1:8" ht="16.5">
      <c r="A35" s="1" t="s">
        <v>6197</v>
      </c>
      <c r="B35" s="1" t="s">
        <v>6196</v>
      </c>
      <c r="C35" s="1" t="s">
        <v>31</v>
      </c>
      <c r="D35" s="1" t="s">
        <v>2851</v>
      </c>
      <c r="E35" s="12">
        <f t="shared" si="0"/>
        <v>1688.75</v>
      </c>
      <c r="F35" s="12">
        <f>('Physical Definitions'!E2/'Physical Definitions'!E4)*SI!E2*POWER(SI!E3/SI!E4,2)/SI!E4</f>
        <v>1688.75</v>
      </c>
      <c r="G35" s="1" t="s">
        <v>1098</v>
      </c>
      <c r="H35" s="1" t="s">
        <v>58</v>
      </c>
    </row>
    <row r="36" spans="1:8" ht="16.5">
      <c r="A36" s="1" t="s">
        <v>6199</v>
      </c>
      <c r="B36" s="1" t="s">
        <v>6198</v>
      </c>
      <c r="C36" s="1" t="s">
        <v>31</v>
      </c>
      <c r="D36" s="1" t="s">
        <v>2851</v>
      </c>
      <c r="E36" s="12">
        <f t="shared" si="0"/>
        <v>101325</v>
      </c>
      <c r="F36" s="12">
        <f>'Physical Definitions'!E2*SI!E2*POWER(SI!E3/SI!E4,2)/SI!E4</f>
        <v>101325</v>
      </c>
      <c r="G36" s="1" t="s">
        <v>1098</v>
      </c>
      <c r="H36" s="1" t="s">
        <v>58</v>
      </c>
    </row>
    <row r="37" spans="1:8" ht="16.5">
      <c r="A37" s="1" t="s">
        <v>6200</v>
      </c>
      <c r="B37" s="1" t="s">
        <v>6204</v>
      </c>
      <c r="C37" s="1" t="s">
        <v>31</v>
      </c>
      <c r="D37" s="1" t="s">
        <v>2851</v>
      </c>
      <c r="E37" s="12">
        <f t="shared" si="0"/>
        <v>2.8145833333333339E-2</v>
      </c>
      <c r="F37" s="12">
        <f>(POWER('Physical Definitions'!E25,3)*'Physical Definitions'!E2/'Physical Definitions'!E5)*SI!E2*POWER(SI!E3/SI!E4,2)/SI!E4</f>
        <v>2.8145833333333339E-2</v>
      </c>
      <c r="G37" s="1" t="s">
        <v>1098</v>
      </c>
      <c r="H37" s="1" t="s">
        <v>58</v>
      </c>
    </row>
    <row r="38" spans="1:8" ht="16.5">
      <c r="A38" s="1" t="s">
        <v>6202</v>
      </c>
      <c r="B38" s="1" t="s">
        <v>6201</v>
      </c>
      <c r="C38" s="1" t="s">
        <v>31</v>
      </c>
      <c r="D38" s="1" t="s">
        <v>2851</v>
      </c>
      <c r="E38" s="12">
        <f t="shared" si="0"/>
        <v>1.6887500000000002</v>
      </c>
      <c r="F38" s="12">
        <f>(POWER('Physical Definitions'!E25,3)*'Physical Definitions'!E2/'Physical Definitions'!E4)*SI!E2*POWER(SI!E3/SI!E4,2)/SI!E4</f>
        <v>1.6887500000000002</v>
      </c>
      <c r="G38" s="1" t="s">
        <v>1098</v>
      </c>
      <c r="H38" s="1" t="s">
        <v>58</v>
      </c>
    </row>
    <row r="39" spans="1:8" ht="16.5">
      <c r="A39" s="1" t="s">
        <v>6205</v>
      </c>
      <c r="B39" s="1" t="s">
        <v>6203</v>
      </c>
      <c r="C39" s="1" t="s">
        <v>31</v>
      </c>
      <c r="D39" s="1" t="s">
        <v>2851</v>
      </c>
      <c r="E39" s="12">
        <f t="shared" si="0"/>
        <v>101.32500000000002</v>
      </c>
      <c r="F39" s="12">
        <f>(POWER('Physical Definitions'!E25,3)*'Physical Definitions'!E2)*SI!E2*POWER(SI!E3/SI!E4,2)/SI!E4</f>
        <v>101.32500000000002</v>
      </c>
      <c r="G39" s="1" t="s">
        <v>1098</v>
      </c>
      <c r="H39" s="1" t="s">
        <v>58</v>
      </c>
    </row>
    <row r="40" spans="1:8" ht="16.5">
      <c r="A40" s="1" t="s">
        <v>1399</v>
      </c>
      <c r="B40" s="1" t="s">
        <v>3025</v>
      </c>
      <c r="C40" s="1" t="s">
        <v>31</v>
      </c>
      <c r="D40" s="1" t="s">
        <v>2851</v>
      </c>
      <c r="E40" s="12">
        <f>75*F40</f>
        <v>735.49874999999997</v>
      </c>
      <c r="F40" s="12">
        <f>'Physical Definitions'!E13*SI!E2*POWER(SI!E3/SI!E4,2)/SI!E4</f>
        <v>9.8066499999999994</v>
      </c>
      <c r="G40" s="1" t="s">
        <v>1098</v>
      </c>
      <c r="H40" s="1" t="s">
        <v>58</v>
      </c>
    </row>
    <row r="41" spans="1:8" ht="16.5">
      <c r="A41" s="1" t="s">
        <v>6206</v>
      </c>
      <c r="B41" s="1" t="s">
        <v>6207</v>
      </c>
      <c r="C41" s="1" t="s">
        <v>31</v>
      </c>
      <c r="D41" s="1" t="s">
        <v>2851</v>
      </c>
      <c r="E41" s="12">
        <f t="shared" ref="E41:E49" si="1">F41</f>
        <v>745.69987158227025</v>
      </c>
      <c r="F41" s="12">
        <f>(550*Systems!L6*Systems!D6*'Physical Definitions'!E13)*SI!E2*POWER(SI!E3/SI!E4,2)/SI!E4</f>
        <v>745.69987158227025</v>
      </c>
      <c r="G41" s="1" t="s">
        <v>1098</v>
      </c>
      <c r="H41" s="1" t="s">
        <v>982</v>
      </c>
    </row>
    <row r="42" spans="1:8" ht="16.5">
      <c r="A42" s="1" t="s">
        <v>6209</v>
      </c>
      <c r="B42" s="1" t="s">
        <v>426</v>
      </c>
      <c r="C42" s="1" t="s">
        <v>31</v>
      </c>
      <c r="D42" s="1" t="s">
        <v>2851</v>
      </c>
      <c r="E42" s="12">
        <f t="shared" si="1"/>
        <v>1</v>
      </c>
      <c r="F42" s="12">
        <f>SI!E2*POWER(SI!E3/SI!E4,2)/SI!E4</f>
        <v>1</v>
      </c>
      <c r="G42" s="1" t="s">
        <v>1098</v>
      </c>
      <c r="H42" s="1" t="s">
        <v>58</v>
      </c>
    </row>
    <row r="43" spans="1:8" ht="16.5">
      <c r="A43" s="1" t="s">
        <v>6210</v>
      </c>
      <c r="B43" s="1" t="s">
        <v>6208</v>
      </c>
      <c r="C43" s="1" t="s">
        <v>31</v>
      </c>
      <c r="D43" s="1" t="s">
        <v>2851</v>
      </c>
      <c r="E43" s="12">
        <f t="shared" si="1"/>
        <v>9.8066499999999994</v>
      </c>
      <c r="F43" s="12">
        <f>'Physical Definitions'!E13*SI!E2*POWER(SI!E3/SI!E4,2)/SI!E4</f>
        <v>9.8066499999999994</v>
      </c>
      <c r="G43" s="1" t="s">
        <v>1098</v>
      </c>
      <c r="H43" s="1" t="s">
        <v>66</v>
      </c>
    </row>
    <row r="44" spans="1:8" ht="16.5">
      <c r="A44" s="1" t="s">
        <v>6211</v>
      </c>
      <c r="B44" s="1" t="s">
        <v>6212</v>
      </c>
      <c r="C44" s="1" t="s">
        <v>31</v>
      </c>
      <c r="D44" s="1" t="s">
        <v>2851</v>
      </c>
      <c r="E44" s="12">
        <f t="shared" si="1"/>
        <v>1.163E-3</v>
      </c>
      <c r="F44" s="12">
        <f>('Physical Definitions'!E18/('Physical Definitions'!E5))*SI!E2*POWER(SI!E3/SI!E4,2)/SI!E4</f>
        <v>1.163E-3</v>
      </c>
      <c r="G44" s="1" t="s">
        <v>1098</v>
      </c>
      <c r="H44" s="1" t="s">
        <v>982</v>
      </c>
    </row>
    <row r="45" spans="1:8" ht="16.5">
      <c r="A45" s="1" t="s">
        <v>6218</v>
      </c>
      <c r="B45" s="1" t="s">
        <v>6213</v>
      </c>
      <c r="C45" s="1" t="s">
        <v>31</v>
      </c>
      <c r="D45" s="1" t="s">
        <v>2851</v>
      </c>
      <c r="E45" s="12">
        <f t="shared" si="1"/>
        <v>6.9779999999999995E-2</v>
      </c>
      <c r="F45" s="12">
        <f>('Physical Definitions'!E18/('Physical Definitions'!E4))*SI!E2*POWER(SI!E3/SI!E4,2)/SI!E4</f>
        <v>6.9779999999999995E-2</v>
      </c>
      <c r="G45" s="1" t="s">
        <v>1098</v>
      </c>
      <c r="H45" s="1" t="s">
        <v>982</v>
      </c>
    </row>
    <row r="46" spans="1:8" ht="16.5">
      <c r="A46" s="1" t="s">
        <v>6219</v>
      </c>
      <c r="B46" s="1" t="s">
        <v>6214</v>
      </c>
      <c r="C46" s="1" t="s">
        <v>31</v>
      </c>
      <c r="D46" s="1" t="s">
        <v>2851</v>
      </c>
      <c r="E46" s="12">
        <f t="shared" si="1"/>
        <v>4.1867999999999999</v>
      </c>
      <c r="F46" s="12">
        <f>'Physical Definitions'!E18*SI!E2*POWER(SI!E3/SI!E4,2)/SI!E4</f>
        <v>4.1867999999999999</v>
      </c>
      <c r="G46" s="1" t="s">
        <v>1098</v>
      </c>
      <c r="H46" s="1" t="s">
        <v>982</v>
      </c>
    </row>
    <row r="47" spans="1:8" ht="16.5">
      <c r="A47" s="1" t="s">
        <v>6220</v>
      </c>
      <c r="B47" s="1" t="s">
        <v>6215</v>
      </c>
      <c r="C47" s="1" t="s">
        <v>31</v>
      </c>
      <c r="D47" s="1" t="s">
        <v>2851</v>
      </c>
      <c r="E47" s="12">
        <f t="shared" si="1"/>
        <v>1.1622222222222223E-3</v>
      </c>
      <c r="F47" s="12">
        <f>('Physical Definitions'!E16/'Physical Definitions'!E5)*SI!E2*POWER(SI!E3/SI!E4,2)/SI!E4</f>
        <v>1.1622222222222223E-3</v>
      </c>
      <c r="G47" s="1" t="s">
        <v>1098</v>
      </c>
      <c r="H47" s="1" t="s">
        <v>982</v>
      </c>
    </row>
    <row r="48" spans="1:8" ht="16.5">
      <c r="A48" s="1" t="s">
        <v>6221</v>
      </c>
      <c r="B48" s="1" t="s">
        <v>6216</v>
      </c>
      <c r="C48" s="1" t="s">
        <v>31</v>
      </c>
      <c r="D48" s="1" t="s">
        <v>2851</v>
      </c>
      <c r="E48" s="12">
        <f t="shared" si="1"/>
        <v>6.9733333333333342E-2</v>
      </c>
      <c r="F48" s="12">
        <f>('Physical Definitions'!E16/'Physical Definitions'!E4)*SI!E2*POWER(SI!E3/SI!E4,2)/SI!E4</f>
        <v>6.9733333333333342E-2</v>
      </c>
      <c r="G48" s="1" t="s">
        <v>1098</v>
      </c>
      <c r="H48" s="1" t="s">
        <v>982</v>
      </c>
    </row>
    <row r="49" spans="1:8" ht="16.5">
      <c r="A49" s="1" t="s">
        <v>6222</v>
      </c>
      <c r="B49" s="1" t="s">
        <v>6217</v>
      </c>
      <c r="C49" s="1" t="s">
        <v>31</v>
      </c>
      <c r="D49" s="1" t="s">
        <v>2851</v>
      </c>
      <c r="E49" s="12">
        <f t="shared" si="1"/>
        <v>4.1840000000000002</v>
      </c>
      <c r="F49" s="12">
        <f>'Physical Definitions'!E16*SI!E2*POWER(SI!E3/SI!E4,2)/SI!E4</f>
        <v>4.1840000000000002</v>
      </c>
      <c r="G49" s="1" t="s">
        <v>1098</v>
      </c>
      <c r="H49" s="1" t="s">
        <v>982</v>
      </c>
    </row>
    <row r="50" spans="1:8" ht="16.5">
      <c r="A50" s="1" t="s">
        <v>6223</v>
      </c>
      <c r="B50" s="1" t="s">
        <v>6224</v>
      </c>
      <c r="C50" s="1" t="s">
        <v>31</v>
      </c>
      <c r="D50" s="1" t="s">
        <v>2851</v>
      </c>
      <c r="E50" s="12">
        <f>'Physical Measurements'!E22*F50/'Physical Definitions'!E5</f>
        <v>1.1626388888888891E-3</v>
      </c>
      <c r="F50" s="12">
        <f>SI!E2*POWER(SI!E3/SI!E4,2)/SI!E4</f>
        <v>1</v>
      </c>
      <c r="G50" s="1" t="s">
        <v>1098</v>
      </c>
      <c r="H50" s="1" t="s">
        <v>982</v>
      </c>
    </row>
    <row r="51" spans="1:8" ht="16.5">
      <c r="A51" s="1" t="s">
        <v>6226</v>
      </c>
      <c r="B51" s="1" t="s">
        <v>4133</v>
      </c>
      <c r="C51" s="1" t="s">
        <v>31</v>
      </c>
      <c r="D51" s="1" t="s">
        <v>2851</v>
      </c>
      <c r="E51" s="12">
        <f>'Physical Measurements'!E22*F51/'Physical Definitions'!E4</f>
        <v>6.9758333333333339E-2</v>
      </c>
      <c r="F51" s="12">
        <f>SI!E2*POWER(SI!E3/SI!E4,2)/SI!E4</f>
        <v>1</v>
      </c>
      <c r="G51" s="1" t="s">
        <v>1098</v>
      </c>
      <c r="H51" s="1" t="s">
        <v>982</v>
      </c>
    </row>
    <row r="52" spans="1:8" ht="16.5">
      <c r="A52" s="1" t="s">
        <v>6227</v>
      </c>
      <c r="B52" s="1" t="s">
        <v>6225</v>
      </c>
      <c r="C52" s="1" t="s">
        <v>31</v>
      </c>
      <c r="D52" s="1" t="s">
        <v>2851</v>
      </c>
      <c r="E52" s="12">
        <f>'Physical Measurements'!E22*F52</f>
        <v>4.1855000000000002</v>
      </c>
      <c r="F52" s="12">
        <f>SI!E2*POWER(SI!E3/SI!E4,2)/SI!E4</f>
        <v>1</v>
      </c>
      <c r="G52" s="1" t="s">
        <v>1098</v>
      </c>
      <c r="H52" s="1" t="s">
        <v>982</v>
      </c>
    </row>
    <row r="53" spans="1:8" ht="16.5">
      <c r="A53" s="1" t="s">
        <v>6228</v>
      </c>
      <c r="B53" s="1" t="s">
        <v>6229</v>
      </c>
      <c r="C53" s="1" t="s">
        <v>31</v>
      </c>
      <c r="D53" s="1" t="s">
        <v>2851</v>
      </c>
      <c r="E53" s="12">
        <f>'Physical Measurements'!E24*F53/'Physical Definitions'!E5</f>
        <v>1.1679166666666667E-3</v>
      </c>
      <c r="F53" s="12">
        <f>SI!E2*POWER(SI!E3/SI!E4,2)/SI!E4</f>
        <v>1</v>
      </c>
      <c r="G53" s="1" t="s">
        <v>1098</v>
      </c>
      <c r="H53" s="1" t="s">
        <v>982</v>
      </c>
    </row>
    <row r="54" spans="1:8" ht="16.5">
      <c r="A54" s="1" t="s">
        <v>6231</v>
      </c>
      <c r="B54" s="1" t="s">
        <v>6230</v>
      </c>
      <c r="C54" s="1" t="s">
        <v>31</v>
      </c>
      <c r="D54" s="1" t="s">
        <v>2851</v>
      </c>
      <c r="E54" s="12">
        <f>'Physical Measurements'!E24*F54/'Physical Definitions'!E4</f>
        <v>7.0075000000000012E-2</v>
      </c>
      <c r="F54" s="12">
        <f>SI!E2*POWER(SI!E3/SI!E4,2)/SI!E4</f>
        <v>1</v>
      </c>
      <c r="G54" s="1" t="s">
        <v>1098</v>
      </c>
      <c r="H54" s="1" t="s">
        <v>982</v>
      </c>
    </row>
    <row r="55" spans="1:8" ht="16.5">
      <c r="A55" s="1" t="s">
        <v>6232</v>
      </c>
      <c r="B55" s="1" t="s">
        <v>6233</v>
      </c>
      <c r="C55" s="1" t="s">
        <v>31</v>
      </c>
      <c r="D55" s="1" t="s">
        <v>2851</v>
      </c>
      <c r="E55" s="12">
        <f>'Physical Measurements'!E24*F55</f>
        <v>4.2045000000000003</v>
      </c>
      <c r="F55" s="12">
        <f>SI!E2*POWER(SI!E3/SI!E4,2)/SI!E4</f>
        <v>1</v>
      </c>
      <c r="G55" s="1" t="s">
        <v>1098</v>
      </c>
      <c r="H55" s="1" t="s">
        <v>982</v>
      </c>
    </row>
    <row r="56" spans="1:8" ht="16.5">
      <c r="A56" s="1" t="s">
        <v>6237</v>
      </c>
      <c r="B56" s="1" t="s">
        <v>6234</v>
      </c>
      <c r="C56" s="1" t="s">
        <v>31</v>
      </c>
      <c r="D56" s="1" t="s">
        <v>2851</v>
      </c>
      <c r="E56" s="12">
        <f>'Physical Measurements'!E25*F56/'Physical Definitions'!E5</f>
        <v>1.1638944444444443E-3</v>
      </c>
      <c r="F56" s="12">
        <f>SI!E2*POWER(SI!E3/SI!E4,2)/SI!E4</f>
        <v>1</v>
      </c>
      <c r="G56" s="1" t="s">
        <v>1098</v>
      </c>
      <c r="H56" s="1" t="s">
        <v>982</v>
      </c>
    </row>
    <row r="57" spans="1:8" ht="16.5">
      <c r="A57" s="1" t="s">
        <v>6238</v>
      </c>
      <c r="B57" s="1" t="s">
        <v>6235</v>
      </c>
      <c r="C57" s="1" t="s">
        <v>31</v>
      </c>
      <c r="D57" s="1" t="s">
        <v>2851</v>
      </c>
      <c r="E57" s="12">
        <f>'Physical Measurements'!E25*F57/'Physical Definitions'!E4</f>
        <v>6.9833666666666655E-2</v>
      </c>
      <c r="F57" s="12">
        <f>SI!E2*POWER(SI!E3/SI!E4,2)/SI!E4</f>
        <v>1</v>
      </c>
      <c r="G57" s="1" t="s">
        <v>1098</v>
      </c>
      <c r="H57" s="1" t="s">
        <v>982</v>
      </c>
    </row>
    <row r="58" spans="1:8" ht="16.5">
      <c r="A58" s="1" t="s">
        <v>6239</v>
      </c>
      <c r="B58" s="1" t="s">
        <v>6236</v>
      </c>
      <c r="C58" s="1" t="s">
        <v>31</v>
      </c>
      <c r="D58" s="1" t="s">
        <v>2851</v>
      </c>
      <c r="E58" s="12">
        <f>'Physical Measurements'!E25*F58</f>
        <v>4.1900199999999996</v>
      </c>
      <c r="F58" s="12">
        <f>SI!E2*POWER(SI!E3/SI!E4,2)/SI!E4</f>
        <v>1</v>
      </c>
      <c r="G58" s="1" t="s">
        <v>1098</v>
      </c>
      <c r="H58" s="1" t="s">
        <v>982</v>
      </c>
    </row>
    <row r="59" spans="1:8" ht="16.5">
      <c r="A59" s="1" t="s">
        <v>139</v>
      </c>
      <c r="B59" s="1" t="s">
        <v>26</v>
      </c>
      <c r="C59" s="1" t="s">
        <v>31</v>
      </c>
      <c r="D59" s="1" t="s">
        <v>2851</v>
      </c>
      <c r="E59" s="12">
        <f>F59</f>
        <v>1.3332236842105266E-6</v>
      </c>
      <c r="F59" s="12">
        <f>(('Physical Definitions'!E2/760)*POWER('Physical Definitions'!E22,3)/100)*SI!E2*POWER(SI!E3/SI!E4,2)/SI!E4</f>
        <v>1.3332236842105266E-6</v>
      </c>
      <c r="G59" s="1" t="s">
        <v>1098</v>
      </c>
      <c r="H59" s="1" t="s">
        <v>982</v>
      </c>
    </row>
    <row r="60" spans="1:8" ht="16.5">
      <c r="A60" s="1" t="s">
        <v>539</v>
      </c>
      <c r="B60" s="1" t="s">
        <v>3026</v>
      </c>
      <c r="C60" s="1" t="s">
        <v>31</v>
      </c>
      <c r="D60" s="1" t="s">
        <v>2851</v>
      </c>
      <c r="E60" s="12">
        <f>75*F60</f>
        <v>735.49874999999997</v>
      </c>
      <c r="F60" s="12">
        <f>'Physical Definitions'!E13*SI!E2*POWER(SI!E3/SI!E4,2)/SI!E4</f>
        <v>9.8066499999999994</v>
      </c>
      <c r="G60" s="1" t="s">
        <v>1098</v>
      </c>
      <c r="H60" s="1" t="s">
        <v>982</v>
      </c>
    </row>
    <row r="61" spans="1:8" ht="16.5">
      <c r="A61" s="1" t="s">
        <v>6241</v>
      </c>
      <c r="B61" s="1" t="s">
        <v>6240</v>
      </c>
      <c r="C61" s="1" t="s">
        <v>31</v>
      </c>
      <c r="D61" s="1" t="s">
        <v>2851</v>
      </c>
      <c r="E61" s="12">
        <f>F61</f>
        <v>745.69987158227025</v>
      </c>
      <c r="F61" s="12">
        <f>(550*Systems!L6*Systems!D6*'Physical Definitions'!E13)*SI!E2*POWER(SI!E3/SI!E4,2)/SI!E4</f>
        <v>745.69987158227025</v>
      </c>
      <c r="G61" s="1" t="s">
        <v>1098</v>
      </c>
      <c r="H61" s="1" t="s">
        <v>982</v>
      </c>
    </row>
    <row r="62" spans="1:8" ht="16.5">
      <c r="A62" s="1" t="s">
        <v>348</v>
      </c>
      <c r="B62" s="1" t="s">
        <v>26</v>
      </c>
      <c r="C62" s="1" t="s">
        <v>31</v>
      </c>
      <c r="D62" s="1" t="s">
        <v>2851</v>
      </c>
      <c r="E62" s="12">
        <f>10*F62</f>
        <v>98.066499999999991</v>
      </c>
      <c r="F62" s="12">
        <f>'Physical Definitions'!E13*SI!E2*POWER(SI!E3/SI!E4,2)/SI!E4</f>
        <v>9.8066499999999994</v>
      </c>
      <c r="G62" s="1" t="s">
        <v>1098</v>
      </c>
      <c r="H62" s="1" t="s">
        <v>982</v>
      </c>
    </row>
    <row r="63" spans="1:8" ht="16.5">
      <c r="A63" s="1" t="s">
        <v>6242</v>
      </c>
      <c r="B63" s="1" t="s">
        <v>425</v>
      </c>
      <c r="C63" s="1" t="s">
        <v>31</v>
      </c>
      <c r="D63" s="1" t="s">
        <v>2851</v>
      </c>
      <c r="E63" s="12">
        <f>F63</f>
        <v>1</v>
      </c>
      <c r="F63" s="12">
        <f>SI!E2*POWER(SI!E3/SI!E4,2)/SI!E4</f>
        <v>1</v>
      </c>
      <c r="G63" s="1" t="s">
        <v>1098</v>
      </c>
      <c r="H63" s="1" t="s">
        <v>982</v>
      </c>
    </row>
    <row r="64" spans="1:8" ht="16.5">
      <c r="A64" s="1" t="s">
        <v>424</v>
      </c>
      <c r="B64" s="1" t="s">
        <v>315</v>
      </c>
      <c r="C64" s="1" t="s">
        <v>31</v>
      </c>
      <c r="D64" s="1" t="s">
        <v>2851</v>
      </c>
      <c r="E64" s="12">
        <f>F64</f>
        <v>1</v>
      </c>
      <c r="F64" s="12">
        <f>SI!E2*POWER(SI!E3/SI!E4,2)/SI!E4</f>
        <v>1</v>
      </c>
      <c r="G64" s="1" t="s">
        <v>1098</v>
      </c>
      <c r="H64" s="1" t="s">
        <v>42</v>
      </c>
    </row>
    <row r="65" spans="1:8" ht="16.5">
      <c r="A65" s="1" t="s">
        <v>178</v>
      </c>
      <c r="B65" s="1" t="s">
        <v>26</v>
      </c>
      <c r="C65" s="1" t="s">
        <v>31</v>
      </c>
      <c r="D65" s="1" t="s">
        <v>2851</v>
      </c>
      <c r="E65" s="12">
        <f>F65</f>
        <v>248.56662386075675</v>
      </c>
      <c r="F65" s="12">
        <f>(550*Systems!L6*'Physical Definitions'!E13*Systems!D6/3)*SI!E2*POWER(SI!E3/SI!E4,2)/SI!E4</f>
        <v>248.56662386075675</v>
      </c>
      <c r="G65" s="1" t="s">
        <v>1091</v>
      </c>
      <c r="H65" s="1" t="s">
        <v>46</v>
      </c>
    </row>
    <row r="66" spans="1:8" ht="16.5">
      <c r="A66" s="1" t="s">
        <v>6168</v>
      </c>
      <c r="B66" s="1" t="s">
        <v>6186</v>
      </c>
      <c r="C66" s="1" t="s">
        <v>31</v>
      </c>
      <c r="D66" s="1" t="s">
        <v>2851</v>
      </c>
      <c r="E66" s="12">
        <f>F66</f>
        <v>4.2140110093804806E-2</v>
      </c>
      <c r="F66" s="12">
        <f>Systems!L6*POWER(Systems!D6,2)*SI!E2*POWER(SI!E3/SI!E4,2)/SI!E4</f>
        <v>4.2140110093804806E-2</v>
      </c>
      <c r="G66" s="1" t="s">
        <v>1098</v>
      </c>
      <c r="H66" s="1" t="s">
        <v>46</v>
      </c>
    </row>
    <row r="67" spans="1:8" ht="16.5">
      <c r="A67" s="1" t="s">
        <v>2677</v>
      </c>
      <c r="B67" s="1" t="s">
        <v>2678</v>
      </c>
      <c r="C67" s="1" t="s">
        <v>31</v>
      </c>
      <c r="D67" s="1" t="s">
        <v>2851</v>
      </c>
      <c r="E67" s="12">
        <f>13440*F67</f>
        <v>3938.8751831146669</v>
      </c>
      <c r="F67" s="12">
        <f>('Physical Definitions'!E15/'Physical Definitions'!E5)*SI!E2*POWER(SI!E3/SI!E4,2)/SI!E4</f>
        <v>0.29307107017222223</v>
      </c>
      <c r="G67" s="1" t="s">
        <v>1098</v>
      </c>
      <c r="H67" s="1" t="s">
        <v>46</v>
      </c>
    </row>
    <row r="68" spans="1:8" s="31" customFormat="1" ht="16.5">
      <c r="A68" s="1" t="s">
        <v>6243</v>
      </c>
      <c r="B68" s="1" t="s">
        <v>1190</v>
      </c>
      <c r="C68" s="1" t="s">
        <v>31</v>
      </c>
      <c r="D68" s="1" t="s">
        <v>2851</v>
      </c>
      <c r="E68" s="12">
        <f>F68</f>
        <v>0.99907305376815425</v>
      </c>
      <c r="F68" s="12">
        <f>(8.5*'Physical Measurements'!E6*(Systems!D6/12)*'Physical Definitions'!E13*POWER(Systems!D6,3)/'Physical Definitions'!E4)*SI!E2*POWER(SI!E3/SI!E4,2)/SI!E4</f>
        <v>0.99907305376815425</v>
      </c>
      <c r="G68" s="1" t="s">
        <v>1098</v>
      </c>
      <c r="H68" s="1" t="s">
        <v>47</v>
      </c>
    </row>
    <row r="69" spans="1:8" ht="16.5">
      <c r="A69" s="1" t="s">
        <v>539</v>
      </c>
      <c r="B69" s="1" t="s">
        <v>540</v>
      </c>
      <c r="C69" s="1" t="s">
        <v>31</v>
      </c>
      <c r="D69" s="1" t="s">
        <v>2851</v>
      </c>
      <c r="E69" s="12">
        <f>F69</f>
        <v>745.69987158227025</v>
      </c>
      <c r="F69" s="12">
        <f>(550*Systems!L6*Systems!D6*'Physical Definitions'!E13)*SI!E2*POWER(SI!E3/SI!E4,2)/SI!E4</f>
        <v>745.69987158227025</v>
      </c>
      <c r="G69" s="1" t="s">
        <v>1098</v>
      </c>
      <c r="H69" s="1" t="s">
        <v>47</v>
      </c>
    </row>
    <row r="70" spans="1:8" ht="16.5">
      <c r="A70" s="1" t="s">
        <v>6244</v>
      </c>
      <c r="B70" s="1" t="s">
        <v>6245</v>
      </c>
      <c r="C70" s="1" t="s">
        <v>31</v>
      </c>
      <c r="D70" s="1" t="s">
        <v>2851</v>
      </c>
      <c r="E70" s="12">
        <f>33475*F70</f>
        <v>9810.5540740151391</v>
      </c>
      <c r="F70" s="12">
        <f>('Physical Definitions'!E15/'Physical Definitions'!E5)*SI!E2*POWER(SI!E3/SI!E4,2)/SI!E4</f>
        <v>0.29307107017222223</v>
      </c>
      <c r="G70" s="1" t="s">
        <v>1098</v>
      </c>
      <c r="H70" s="1" t="s">
        <v>47</v>
      </c>
    </row>
    <row r="71" spans="1:8" ht="16.5">
      <c r="A71" s="1" t="s">
        <v>6247</v>
      </c>
      <c r="B71" s="1" t="s">
        <v>6246</v>
      </c>
      <c r="C71" s="1" t="s">
        <v>31</v>
      </c>
      <c r="D71" s="1" t="s">
        <v>2851</v>
      </c>
      <c r="E71" s="12">
        <f>746*F71</f>
        <v>746</v>
      </c>
      <c r="F71" s="12">
        <f>SI!E2*POWER(SI!E3/SI!E4,2)/SI!E4</f>
        <v>1</v>
      </c>
      <c r="G71" s="1" t="s">
        <v>1098</v>
      </c>
      <c r="H71" s="1" t="s">
        <v>47</v>
      </c>
    </row>
    <row r="72" spans="1:8" ht="16.5">
      <c r="A72" s="1" t="s">
        <v>6248</v>
      </c>
      <c r="B72" s="1" t="s">
        <v>6249</v>
      </c>
      <c r="C72" s="1" t="s">
        <v>31</v>
      </c>
      <c r="D72" s="1" t="s">
        <v>2851</v>
      </c>
      <c r="E72" s="12">
        <f>75*F72</f>
        <v>735.49874999999997</v>
      </c>
      <c r="F72" s="12">
        <f>'Physical Definitions'!E13*SI!E2*POWER(SI!E3/SI!E4,2)/SI!E4</f>
        <v>9.8066499999999994</v>
      </c>
      <c r="G72" s="1" t="s">
        <v>1098</v>
      </c>
      <c r="H72" s="1" t="s">
        <v>47</v>
      </c>
    </row>
    <row r="73" spans="1:8" ht="16.5">
      <c r="A73" s="1" t="s">
        <v>6251</v>
      </c>
      <c r="B73" s="1" t="s">
        <v>6250</v>
      </c>
      <c r="C73" s="1" t="s">
        <v>31</v>
      </c>
      <c r="D73" s="1" t="s">
        <v>2851</v>
      </c>
      <c r="E73" s="12">
        <f>F73*3960</f>
        <v>746.04379293598151</v>
      </c>
      <c r="F73" s="12">
        <f>(Systems!D6*Systems!P8*'Physical Definitions'!E13*'Physical Measurements'!E7/'Physical Definitions'!E4)*SI!E2*POWER(SI!E3/SI!E4,2)/SI!E4</f>
        <v>0.18839489720605593</v>
      </c>
      <c r="G73" s="1" t="s">
        <v>1098</v>
      </c>
      <c r="H73" s="1" t="s">
        <v>47</v>
      </c>
    </row>
    <row r="74" spans="1:8" ht="16.5">
      <c r="A74" s="1" t="s">
        <v>2009</v>
      </c>
      <c r="B74" s="1" t="s">
        <v>26</v>
      </c>
      <c r="C74" s="1" t="s">
        <v>31</v>
      </c>
      <c r="D74" s="1" t="s">
        <v>2851</v>
      </c>
      <c r="E74" s="12">
        <f>55*F74</f>
        <v>74.569987158227036</v>
      </c>
      <c r="F74" s="12">
        <f>(Systems!L6*Systems!D6*'Physical Definitions'!E13)*SI!E2*POWER(SI!E3/SI!E4,2)/SI!E4</f>
        <v>1.3558179483314006</v>
      </c>
      <c r="G74" s="1" t="s">
        <v>1098</v>
      </c>
      <c r="H74" s="1" t="s">
        <v>47</v>
      </c>
    </row>
    <row r="75" spans="1:8" ht="16.5">
      <c r="A75" s="1" t="s">
        <v>2677</v>
      </c>
      <c r="B75" s="1" t="s">
        <v>2678</v>
      </c>
      <c r="C75" s="1" t="s">
        <v>31</v>
      </c>
      <c r="D75" s="1" t="s">
        <v>2851</v>
      </c>
      <c r="E75" s="12">
        <f>12000*F75</f>
        <v>3516.8528420666667</v>
      </c>
      <c r="F75" s="12">
        <f>('Physical Definitions'!E15/'Physical Definitions'!E5)*SI!E2*POWER(SI!E3/SI!E4,2)/SI!E4</f>
        <v>0.29307107017222223</v>
      </c>
      <c r="G75" s="1" t="s">
        <v>1098</v>
      </c>
      <c r="H75" s="1" t="s">
        <v>47</v>
      </c>
    </row>
    <row r="76" spans="1:8" ht="16.5">
      <c r="A76" s="1" t="s">
        <v>424</v>
      </c>
      <c r="B76" s="1" t="s">
        <v>315</v>
      </c>
      <c r="C76" s="1" t="s">
        <v>31</v>
      </c>
      <c r="D76" s="1" t="s">
        <v>2851</v>
      </c>
      <c r="E76" s="12">
        <f>1.000165*F76</f>
        <v>1.000165</v>
      </c>
      <c r="F76" s="12">
        <f>SI!E2*POWER(SI!E3/SI!E4,2)/SI!E4</f>
        <v>1</v>
      </c>
      <c r="G76" s="1" t="s">
        <v>1098</v>
      </c>
      <c r="H76" s="1" t="s">
        <v>47</v>
      </c>
    </row>
    <row r="77" spans="1:8" ht="16.5">
      <c r="A77" s="1" t="s">
        <v>6253</v>
      </c>
      <c r="B77" s="1" t="s">
        <v>6252</v>
      </c>
      <c r="C77" s="1" t="s">
        <v>31</v>
      </c>
      <c r="D77" s="1" t="s">
        <v>2851</v>
      </c>
      <c r="E77" s="12">
        <f>1.00019*F77</f>
        <v>1.0001899999999999</v>
      </c>
      <c r="F77" s="12">
        <f>SI!E2*POWER(SI!E3/SI!E4,2)/SI!E4</f>
        <v>1</v>
      </c>
      <c r="G77" s="1" t="s">
        <v>1098</v>
      </c>
      <c r="H77" s="1" t="s">
        <v>47</v>
      </c>
    </row>
    <row r="78" spans="1:8" ht="16.5">
      <c r="A78" t="s">
        <v>3769</v>
      </c>
      <c r="B78" t="s">
        <v>3791</v>
      </c>
      <c r="C78" s="1" t="s">
        <v>31</v>
      </c>
      <c r="D78" s="1" t="s">
        <v>2851</v>
      </c>
      <c r="E78" s="26">
        <f>1E+24*F78</f>
        <v>9.9999999999999998E+23</v>
      </c>
      <c r="F78" s="12">
        <f>SI!E2*POWER(SI!E3/SI!E4,2)/SI!E4</f>
        <v>1</v>
      </c>
      <c r="G78" s="1" t="s">
        <v>1098</v>
      </c>
      <c r="H78" s="1" t="s">
        <v>42</v>
      </c>
    </row>
    <row r="79" spans="1:8" ht="16.5">
      <c r="A79" t="s">
        <v>3770</v>
      </c>
      <c r="B79" t="s">
        <v>3792</v>
      </c>
      <c r="C79" s="1" t="s">
        <v>31</v>
      </c>
      <c r="D79" s="1" t="s">
        <v>2851</v>
      </c>
      <c r="E79" s="26">
        <f>1E+21*F79</f>
        <v>1E+21</v>
      </c>
      <c r="F79" s="12">
        <f>SI!E2*POWER(SI!E3/SI!E4,2)/SI!E4</f>
        <v>1</v>
      </c>
      <c r="G79" s="1" t="s">
        <v>1098</v>
      </c>
      <c r="H79" s="1" t="s">
        <v>42</v>
      </c>
    </row>
    <row r="80" spans="1:8" ht="16.5">
      <c r="A80" t="s">
        <v>3771</v>
      </c>
      <c r="B80" t="s">
        <v>3793</v>
      </c>
      <c r="C80" s="1" t="s">
        <v>31</v>
      </c>
      <c r="D80" s="1" t="s">
        <v>2851</v>
      </c>
      <c r="E80" s="26">
        <f>1000000000000000000*F80</f>
        <v>1E+18</v>
      </c>
      <c r="F80" s="12">
        <f>SI!E2*POWER(SI!E3/SI!E4,2)/SI!E4</f>
        <v>1</v>
      </c>
      <c r="G80" s="1" t="s">
        <v>1098</v>
      </c>
      <c r="H80" s="1" t="s">
        <v>42</v>
      </c>
    </row>
    <row r="81" spans="1:8" ht="16.5">
      <c r="A81" t="s">
        <v>3772</v>
      </c>
      <c r="B81" t="s">
        <v>3794</v>
      </c>
      <c r="C81" s="1" t="s">
        <v>31</v>
      </c>
      <c r="D81" s="1" t="s">
        <v>2851</v>
      </c>
      <c r="E81" s="26">
        <f>1000000000000000*F81</f>
        <v>1000000000000000</v>
      </c>
      <c r="F81" s="12">
        <f>SI!E2*POWER(SI!E3/SI!E4,2)/SI!E4</f>
        <v>1</v>
      </c>
      <c r="G81" s="1" t="s">
        <v>1098</v>
      </c>
      <c r="H81" s="1" t="s">
        <v>42</v>
      </c>
    </row>
    <row r="82" spans="1:8" ht="16.5">
      <c r="A82" t="s">
        <v>3773</v>
      </c>
      <c r="B82" t="s">
        <v>3795</v>
      </c>
      <c r="C82" s="1" t="s">
        <v>31</v>
      </c>
      <c r="D82" s="1" t="s">
        <v>2851</v>
      </c>
      <c r="E82" s="26">
        <f>1000000000000*F82</f>
        <v>1000000000000</v>
      </c>
      <c r="F82" s="12">
        <f>SI!E2*POWER(SI!E3/SI!E4,2)/SI!E4</f>
        <v>1</v>
      </c>
      <c r="G82" s="1" t="s">
        <v>1098</v>
      </c>
      <c r="H82" s="1" t="s">
        <v>42</v>
      </c>
    </row>
    <row r="83" spans="1:8" ht="16.5">
      <c r="A83" t="s">
        <v>3774</v>
      </c>
      <c r="B83" t="s">
        <v>3796</v>
      </c>
      <c r="C83" s="1" t="s">
        <v>31</v>
      </c>
      <c r="D83" s="1" t="s">
        <v>2851</v>
      </c>
      <c r="E83" s="26">
        <f>1000000000*F83</f>
        <v>1000000000</v>
      </c>
      <c r="F83" s="12">
        <f>SI!E2*POWER(SI!E3/SI!E4,2)/SI!E4</f>
        <v>1</v>
      </c>
      <c r="G83" s="1" t="s">
        <v>1098</v>
      </c>
      <c r="H83" s="1" t="s">
        <v>42</v>
      </c>
    </row>
    <row r="84" spans="1:8" ht="16.5">
      <c r="A84" t="s">
        <v>3775</v>
      </c>
      <c r="B84" t="s">
        <v>3797</v>
      </c>
      <c r="C84" s="1" t="s">
        <v>31</v>
      </c>
      <c r="D84" s="1" t="s">
        <v>2851</v>
      </c>
      <c r="E84" s="26">
        <f>1000000*F84</f>
        <v>1000000</v>
      </c>
      <c r="F84" s="12">
        <f>SI!E2*POWER(SI!E3/SI!E4,2)/SI!E4</f>
        <v>1</v>
      </c>
      <c r="G84" s="1" t="s">
        <v>1098</v>
      </c>
      <c r="H84" s="1" t="s">
        <v>42</v>
      </c>
    </row>
    <row r="85" spans="1:8" ht="16.5">
      <c r="A85" t="s">
        <v>3776</v>
      </c>
      <c r="B85" t="s">
        <v>3743</v>
      </c>
      <c r="C85" s="1" t="s">
        <v>31</v>
      </c>
      <c r="D85" s="1" t="s">
        <v>2851</v>
      </c>
      <c r="E85" s="26">
        <f>1000*F85</f>
        <v>1000</v>
      </c>
      <c r="F85" s="12">
        <f>SI!E2*POWER(SI!E3/SI!E4,2)/SI!E4</f>
        <v>1</v>
      </c>
      <c r="G85" s="1" t="s">
        <v>1098</v>
      </c>
      <c r="H85" s="1" t="s">
        <v>42</v>
      </c>
    </row>
    <row r="86" spans="1:8" ht="16.5">
      <c r="A86" t="s">
        <v>3777</v>
      </c>
      <c r="B86" t="s">
        <v>3744</v>
      </c>
      <c r="C86" s="1" t="s">
        <v>31</v>
      </c>
      <c r="D86" s="1" t="s">
        <v>2851</v>
      </c>
      <c r="E86" s="26">
        <f>100*F86</f>
        <v>100</v>
      </c>
      <c r="F86" s="12">
        <f>SI!E2*POWER(SI!E3/SI!E4,2)/SI!E4</f>
        <v>1</v>
      </c>
      <c r="G86" s="1" t="s">
        <v>1098</v>
      </c>
      <c r="H86" s="1" t="s">
        <v>42</v>
      </c>
    </row>
    <row r="87" spans="1:8" ht="16.5">
      <c r="A87" t="s">
        <v>3778</v>
      </c>
      <c r="B87" t="s">
        <v>3745</v>
      </c>
      <c r="C87" s="1" t="s">
        <v>31</v>
      </c>
      <c r="D87" s="1" t="s">
        <v>2851</v>
      </c>
      <c r="E87" s="26">
        <f>10*F87</f>
        <v>10</v>
      </c>
      <c r="F87" s="12">
        <f>SI!E2*POWER(SI!E3/SI!E4,2)/SI!E4</f>
        <v>1</v>
      </c>
      <c r="G87" s="1" t="s">
        <v>1098</v>
      </c>
      <c r="H87" s="1" t="s">
        <v>42</v>
      </c>
    </row>
    <row r="88" spans="1:8" ht="16.5">
      <c r="A88" t="s">
        <v>3779</v>
      </c>
      <c r="B88" t="s">
        <v>3746</v>
      </c>
      <c r="C88" s="1" t="s">
        <v>31</v>
      </c>
      <c r="D88" s="1" t="s">
        <v>2851</v>
      </c>
      <c r="E88" s="26">
        <f>0.1*F88</f>
        <v>0.1</v>
      </c>
      <c r="F88" s="12">
        <f>SI!E2*POWER(SI!E3/SI!E4,2)/SI!E4</f>
        <v>1</v>
      </c>
      <c r="G88" s="1" t="s">
        <v>1098</v>
      </c>
      <c r="H88" s="1" t="s">
        <v>42</v>
      </c>
    </row>
    <row r="89" spans="1:8" ht="16.5">
      <c r="A89" t="s">
        <v>3780</v>
      </c>
      <c r="B89" t="s">
        <v>3747</v>
      </c>
      <c r="C89" s="1" t="s">
        <v>31</v>
      </c>
      <c r="D89" s="1" t="s">
        <v>2851</v>
      </c>
      <c r="E89" s="26">
        <f>0.01*F89</f>
        <v>0.01</v>
      </c>
      <c r="F89" s="12">
        <f>SI!E2*POWER(SI!E3/SI!E4,2)/SI!E4</f>
        <v>1</v>
      </c>
      <c r="G89" s="1" t="s">
        <v>1098</v>
      </c>
      <c r="H89" s="1" t="s">
        <v>42</v>
      </c>
    </row>
    <row r="90" spans="1:8" ht="16.5">
      <c r="A90" t="s">
        <v>3781</v>
      </c>
      <c r="B90" t="s">
        <v>3748</v>
      </c>
      <c r="C90" s="1" t="s">
        <v>31</v>
      </c>
      <c r="D90" s="1" t="s">
        <v>2851</v>
      </c>
      <c r="E90" s="26">
        <f>0.001*F90</f>
        <v>1E-3</v>
      </c>
      <c r="F90" s="12">
        <f>SI!E2*POWER(SI!E3/SI!E4,2)/SI!E4</f>
        <v>1</v>
      </c>
      <c r="G90" s="1" t="s">
        <v>1098</v>
      </c>
      <c r="H90" s="1" t="s">
        <v>42</v>
      </c>
    </row>
    <row r="91" spans="1:8" ht="16.5">
      <c r="A91" t="s">
        <v>3782</v>
      </c>
      <c r="B91" t="s">
        <v>3749</v>
      </c>
      <c r="C91" s="1" t="s">
        <v>31</v>
      </c>
      <c r="D91" s="1" t="s">
        <v>2851</v>
      </c>
      <c r="E91" s="26">
        <f>0.000001*F91</f>
        <v>9.9999999999999995E-7</v>
      </c>
      <c r="F91" s="12">
        <f>SI!E2*POWER(SI!E3/SI!E4,2)/SI!E4</f>
        <v>1</v>
      </c>
      <c r="G91" s="1" t="s">
        <v>1098</v>
      </c>
      <c r="H91" s="1" t="s">
        <v>42</v>
      </c>
    </row>
    <row r="92" spans="1:8" ht="16.5">
      <c r="A92" t="s">
        <v>3783</v>
      </c>
      <c r="B92" t="s">
        <v>3750</v>
      </c>
      <c r="C92" s="1" t="s">
        <v>31</v>
      </c>
      <c r="D92" s="1" t="s">
        <v>2851</v>
      </c>
      <c r="E92" s="26">
        <f>0.000000001*F92</f>
        <v>1.0000000000000001E-9</v>
      </c>
      <c r="F92" s="12">
        <f>SI!E2*POWER(SI!E3/SI!E4,2)/SI!E4</f>
        <v>1</v>
      </c>
      <c r="G92" s="1" t="s">
        <v>1098</v>
      </c>
      <c r="H92" s="1" t="s">
        <v>42</v>
      </c>
    </row>
    <row r="93" spans="1:8" ht="16.5">
      <c r="A93" t="s">
        <v>3784</v>
      </c>
      <c r="B93" t="s">
        <v>3751</v>
      </c>
      <c r="C93" s="1" t="s">
        <v>31</v>
      </c>
      <c r="D93" s="1" t="s">
        <v>2851</v>
      </c>
      <c r="E93" s="26">
        <f>0.000000000001*F93</f>
        <v>9.9999999999999998E-13</v>
      </c>
      <c r="F93" s="12">
        <f>SI!E2*POWER(SI!E3/SI!E4,2)/SI!E4</f>
        <v>1</v>
      </c>
      <c r="G93" s="1" t="s">
        <v>1098</v>
      </c>
      <c r="H93" s="1" t="s">
        <v>42</v>
      </c>
    </row>
    <row r="94" spans="1:8" ht="16.5">
      <c r="A94" t="s">
        <v>3785</v>
      </c>
      <c r="B94" t="s">
        <v>3752</v>
      </c>
      <c r="C94" s="1" t="s">
        <v>31</v>
      </c>
      <c r="D94" s="1" t="s">
        <v>2851</v>
      </c>
      <c r="E94" s="26">
        <f>0.000000000000001*F94</f>
        <v>1.0000000000000001E-15</v>
      </c>
      <c r="F94" s="12">
        <f>SI!E2*POWER(SI!E3/SI!E4,2)/SI!E4</f>
        <v>1</v>
      </c>
      <c r="G94" s="1" t="s">
        <v>1098</v>
      </c>
      <c r="H94" s="1" t="s">
        <v>42</v>
      </c>
    </row>
    <row r="95" spans="1:8" ht="16.5">
      <c r="A95" t="s">
        <v>3786</v>
      </c>
      <c r="B95" t="s">
        <v>3753</v>
      </c>
      <c r="C95" s="1" t="s">
        <v>31</v>
      </c>
      <c r="D95" s="1" t="s">
        <v>2851</v>
      </c>
      <c r="E95" s="26">
        <f>0.000000000000000001*F95</f>
        <v>1.0000000000000001E-18</v>
      </c>
      <c r="F95" s="12">
        <f>SI!E2*POWER(SI!E3/SI!E4,2)/SI!E4</f>
        <v>1</v>
      </c>
      <c r="G95" s="1" t="s">
        <v>1098</v>
      </c>
      <c r="H95" s="1" t="s">
        <v>42</v>
      </c>
    </row>
    <row r="96" spans="1:8" ht="16.5">
      <c r="A96" t="s">
        <v>3787</v>
      </c>
      <c r="B96" t="s">
        <v>3754</v>
      </c>
      <c r="C96" s="1" t="s">
        <v>31</v>
      </c>
      <c r="D96" s="1" t="s">
        <v>2851</v>
      </c>
      <c r="E96" s="26">
        <f>1E-21*F96</f>
        <v>9.9999999999999991E-22</v>
      </c>
      <c r="F96" s="12">
        <f>SI!E2*POWER(SI!E3/SI!E4,2)/SI!E4</f>
        <v>1</v>
      </c>
      <c r="G96" s="1" t="s">
        <v>1098</v>
      </c>
      <c r="H96" s="1" t="s">
        <v>42</v>
      </c>
    </row>
    <row r="97" spans="1:8" ht="16.5">
      <c r="A97" t="s">
        <v>3788</v>
      </c>
      <c r="B97" t="s">
        <v>3755</v>
      </c>
      <c r="C97" s="1" t="s">
        <v>31</v>
      </c>
      <c r="D97" s="1" t="s">
        <v>2851</v>
      </c>
      <c r="E97" s="26">
        <f>1E-24*F97</f>
        <v>9.9999999999999992E-25</v>
      </c>
      <c r="F97" s="12">
        <f>SI!E2*POWER(SI!E3/SI!E4,2)/SI!E4</f>
        <v>1</v>
      </c>
      <c r="G97" s="1" t="s">
        <v>1098</v>
      </c>
      <c r="H97" s="1" t="s">
        <v>42</v>
      </c>
    </row>
    <row r="98" spans="1:8">
      <c r="A98" s="248"/>
      <c r="B98" s="248"/>
      <c r="C98" s="248"/>
      <c r="D98" s="248"/>
      <c r="E98" s="250"/>
      <c r="F98" s="250"/>
      <c r="G98" s="248"/>
      <c r="H98" s="248"/>
    </row>
  </sheetData>
  <phoneticPr fontId="24"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82E23-1312-4781-A227-FCF4DB44F1E7}">
  <sheetPr codeName="Sheet26"/>
  <dimension ref="A1:H93"/>
  <sheetViews>
    <sheetView topLeftCell="A34" workbookViewId="0">
      <selection activeCell="A15" sqref="A15"/>
    </sheetView>
  </sheetViews>
  <sheetFormatPr defaultRowHeight="14.4"/>
  <cols>
    <col min="1" max="1" width="32.47265625" customWidth="1"/>
    <col min="2" max="2" width="14.89453125" customWidth="1"/>
    <col min="3" max="3" width="15.9453125" customWidth="1"/>
    <col min="4" max="4" width="20.41796875" customWidth="1"/>
    <col min="5" max="5" width="21.62890625" customWidth="1"/>
    <col min="6" max="6" width="32.41796875" customWidth="1"/>
    <col min="7" max="7" width="17.5234375" customWidth="1"/>
  </cols>
  <sheetData>
    <row r="1" spans="1:8">
      <c r="A1" s="2" t="s">
        <v>11</v>
      </c>
      <c r="B1" s="2" t="s">
        <v>1</v>
      </c>
      <c r="C1" s="2" t="s">
        <v>2</v>
      </c>
      <c r="D1" s="2" t="s">
        <v>3</v>
      </c>
      <c r="E1" s="2" t="s">
        <v>4</v>
      </c>
      <c r="F1" s="128" t="s">
        <v>937</v>
      </c>
      <c r="G1" s="2" t="s">
        <v>0</v>
      </c>
      <c r="H1" s="2" t="s">
        <v>5</v>
      </c>
    </row>
    <row r="2" spans="1:8" ht="16.8">
      <c r="A2" s="1" t="s">
        <v>1240</v>
      </c>
      <c r="B2" s="1" t="s">
        <v>67</v>
      </c>
      <c r="C2" s="1" t="s">
        <v>76</v>
      </c>
      <c r="D2" s="1" t="s">
        <v>2847</v>
      </c>
      <c r="E2" s="12">
        <f>F2</f>
        <v>101325</v>
      </c>
      <c r="F2" s="12">
        <f>'Physical Definitions'!E2*SI!E2/(SI!E3*POWER(SI!E4,2))</f>
        <v>101325</v>
      </c>
      <c r="G2" s="1" t="s">
        <v>1076</v>
      </c>
      <c r="H2" s="1" t="s">
        <v>58</v>
      </c>
    </row>
    <row r="3" spans="1:8" ht="16.5">
      <c r="A3" s="1" t="s">
        <v>1240</v>
      </c>
      <c r="B3" s="1" t="s">
        <v>68</v>
      </c>
      <c r="C3" s="1" t="s">
        <v>76</v>
      </c>
      <c r="D3" s="1" t="s">
        <v>2847</v>
      </c>
      <c r="E3" s="12">
        <f>98066.5*F3</f>
        <v>98066.5</v>
      </c>
      <c r="F3" s="12">
        <f>SI!E2/(SI!E3*POWER(SI!E4,2))</f>
        <v>1</v>
      </c>
      <c r="G3" s="1" t="s">
        <v>1076</v>
      </c>
      <c r="H3" s="1" t="s">
        <v>66</v>
      </c>
    </row>
    <row r="4" spans="1:8" ht="16.5">
      <c r="A4" s="1" t="s">
        <v>74</v>
      </c>
      <c r="B4" s="1" t="s">
        <v>26</v>
      </c>
      <c r="C4" s="1" t="s">
        <v>76</v>
      </c>
      <c r="D4" s="1" t="s">
        <v>2847</v>
      </c>
      <c r="E4" s="12">
        <f>F4</f>
        <v>100000</v>
      </c>
      <c r="F4" s="12">
        <f>'Physical Definitions'!E3*SI!E2/(SI!E3*POWER(SI!E4,2))</f>
        <v>100000</v>
      </c>
      <c r="G4" s="1" t="s">
        <v>1076</v>
      </c>
      <c r="H4" s="1" t="s">
        <v>982</v>
      </c>
    </row>
    <row r="5" spans="1:8" ht="16.5">
      <c r="A5" s="1" t="s">
        <v>75</v>
      </c>
      <c r="B5" s="1" t="s">
        <v>26</v>
      </c>
      <c r="C5" s="1" t="s">
        <v>76</v>
      </c>
      <c r="D5" s="1" t="s">
        <v>2847</v>
      </c>
      <c r="E5" s="12">
        <f>F5</f>
        <v>0.1</v>
      </c>
      <c r="F5" s="12">
        <f>('Physical Definitions'!E24/POWER('Physical Definitions'!E22,2))*SI!E2/(SI!E3*POWER(SI!E4,2))</f>
        <v>0.1</v>
      </c>
      <c r="G5" s="1" t="s">
        <v>1076</v>
      </c>
      <c r="H5" s="1" t="s">
        <v>982</v>
      </c>
    </row>
    <row r="6" spans="1:8" ht="16.5">
      <c r="A6" s="1" t="s">
        <v>3015</v>
      </c>
      <c r="B6" s="8" t="s">
        <v>26</v>
      </c>
      <c r="C6" s="1" t="s">
        <v>76</v>
      </c>
      <c r="D6" s="1" t="s">
        <v>2847</v>
      </c>
      <c r="E6" s="12">
        <f>F6</f>
        <v>0.1</v>
      </c>
      <c r="F6" s="12">
        <f>('Physical Definitions'!E24/POWER('Physical Definitions'!E22,2))*SI!E2/(SI!E3*POWER(SI!E4,2))</f>
        <v>0.1</v>
      </c>
      <c r="G6" s="1" t="s">
        <v>1076</v>
      </c>
      <c r="H6" s="1" t="s">
        <v>36</v>
      </c>
    </row>
    <row r="7" spans="1:8" ht="16.5">
      <c r="A7" s="1" t="s">
        <v>1271</v>
      </c>
      <c r="B7" s="1" t="s">
        <v>26</v>
      </c>
      <c r="C7" s="1" t="s">
        <v>76</v>
      </c>
      <c r="D7" s="1" t="s">
        <v>2847</v>
      </c>
      <c r="E7" s="12">
        <f>F7</f>
        <v>0.1</v>
      </c>
      <c r="F7" s="12">
        <f>('Physical Definitions'!E24/POWER('Physical Definitions'!E22,2))*SI!E2/(SI!E3*POWER(SI!E4,2))</f>
        <v>0.1</v>
      </c>
      <c r="G7" s="1" t="s">
        <v>1076</v>
      </c>
      <c r="H7" s="1" t="s">
        <v>36</v>
      </c>
    </row>
    <row r="8" spans="1:8" ht="16.5">
      <c r="A8" s="1" t="s">
        <v>7479</v>
      </c>
      <c r="B8" s="1" t="s">
        <v>6316</v>
      </c>
      <c r="C8" s="1" t="s">
        <v>76</v>
      </c>
      <c r="D8" s="1" t="s">
        <v>2847</v>
      </c>
      <c r="E8" s="12">
        <v>6636.1016652099997</v>
      </c>
      <c r="F8" s="12">
        <f>('Physical Definitions'!E15/(42*231*Systems!P8))*SI!E2/(SI!E3*POWER(SI!E4,2))</f>
        <v>28.727712836435941</v>
      </c>
      <c r="G8" s="1" t="s">
        <v>1076</v>
      </c>
      <c r="H8" s="1" t="s">
        <v>47</v>
      </c>
    </row>
    <row r="9" spans="1:8" ht="16.5">
      <c r="A9" s="1" t="s">
        <v>7480</v>
      </c>
      <c r="B9" s="1" t="s">
        <v>6317</v>
      </c>
      <c r="C9" s="1" t="s">
        <v>76</v>
      </c>
      <c r="D9" s="1" t="s">
        <v>2847</v>
      </c>
      <c r="E9" s="12">
        <f>F9</f>
        <v>37258.945807831282</v>
      </c>
      <c r="F9" s="12">
        <f>('Physical Definitions'!E15/POWER(Systems!D6,3))*SI!E2/(SI!E3*POWER(SI!E4,2))</f>
        <v>37258.945807831282</v>
      </c>
      <c r="G9" s="1" t="s">
        <v>1076</v>
      </c>
      <c r="H9" s="1" t="s">
        <v>1148</v>
      </c>
    </row>
    <row r="10" spans="1:8" ht="16.5">
      <c r="A10" s="1" t="s">
        <v>7481</v>
      </c>
      <c r="B10" s="1" t="s">
        <v>6318</v>
      </c>
      <c r="C10" s="1" t="s">
        <v>76</v>
      </c>
      <c r="D10" s="1" t="s">
        <v>2847</v>
      </c>
      <c r="E10" s="12">
        <f>F10</f>
        <v>232079.74071356235</v>
      </c>
      <c r="F10" s="12">
        <f>('Physical Definitions'!E15/Systems!P6)*SI!E2/(SI!E3*POWER(SI!E4,2))</f>
        <v>232079.74071356235</v>
      </c>
      <c r="G10" s="1" t="s">
        <v>1076</v>
      </c>
      <c r="H10" s="1" t="s">
        <v>46</v>
      </c>
    </row>
    <row r="11" spans="1:8" ht="16.5">
      <c r="A11" s="1" t="s">
        <v>7481</v>
      </c>
      <c r="B11" s="1" t="s">
        <v>6318</v>
      </c>
      <c r="C11" s="1" t="s">
        <v>76</v>
      </c>
      <c r="D11" s="1" t="s">
        <v>2847</v>
      </c>
      <c r="E11" s="12">
        <f>F11</f>
        <v>278716.26993910153</v>
      </c>
      <c r="F11" s="12">
        <f>('Physical Definitions'!E15/Systems!P8)*SI!E2/(SI!E3*POWER(SI!E4,2))</f>
        <v>278716.26993910153</v>
      </c>
      <c r="G11" s="1" t="s">
        <v>1076</v>
      </c>
      <c r="H11" s="1" t="s">
        <v>47</v>
      </c>
    </row>
    <row r="12" spans="1:8" ht="16.5">
      <c r="A12" s="1" t="s">
        <v>7501</v>
      </c>
      <c r="B12" s="1" t="s">
        <v>26</v>
      </c>
      <c r="C12" s="1" t="s">
        <v>76</v>
      </c>
      <c r="D12" s="1" t="s">
        <v>2847</v>
      </c>
      <c r="E12" s="12">
        <f>F12/76</f>
        <v>1333.2236842105262</v>
      </c>
      <c r="F12" s="12">
        <f>'Physical Definitions'!E2*SI!E2/(SI!E3*POWER(SI!E4,2))</f>
        <v>101325</v>
      </c>
      <c r="G12" s="1" t="s">
        <v>1076</v>
      </c>
      <c r="H12" s="1" t="s">
        <v>982</v>
      </c>
    </row>
    <row r="13" spans="1:8" ht="16.5">
      <c r="A13" s="1" t="s">
        <v>6321</v>
      </c>
      <c r="B13" s="1" t="s">
        <v>6319</v>
      </c>
      <c r="C13" s="1" t="s">
        <v>76</v>
      </c>
      <c r="D13" s="1" t="s">
        <v>2847</v>
      </c>
      <c r="E13" s="12">
        <f>F13/76</f>
        <v>1333.2236842105262</v>
      </c>
      <c r="F13" s="12">
        <f>'Physical Definitions'!E2*SI!E2/(SI!E3*POWER(SI!E4,2))</f>
        <v>101325</v>
      </c>
      <c r="G13" s="1" t="s">
        <v>1076</v>
      </c>
      <c r="H13" s="1" t="s">
        <v>1148</v>
      </c>
    </row>
    <row r="14" spans="1:8" ht="16.5">
      <c r="A14" s="1" t="s">
        <v>6322</v>
      </c>
      <c r="B14" s="1" t="s">
        <v>6320</v>
      </c>
      <c r="C14" s="1" t="s">
        <v>76</v>
      </c>
      <c r="D14" s="1" t="s">
        <v>2847</v>
      </c>
      <c r="E14" s="12">
        <f>F14</f>
        <v>1329.4669465349998</v>
      </c>
      <c r="F14" s="166">
        <f>('Physical Measurements'!E9*'Physical Definitions'!E13*'Physical Definitions'!E22)*SI!E2/(SI!E3*POWER(SI!E4,2))</f>
        <v>1329.4669465349998</v>
      </c>
      <c r="G14" s="1" t="s">
        <v>1076</v>
      </c>
      <c r="H14" s="1" t="s">
        <v>1148</v>
      </c>
    </row>
    <row r="15" spans="1:8" ht="16.5">
      <c r="A15" s="1" t="s">
        <v>6324</v>
      </c>
      <c r="B15" s="1" t="s">
        <v>6323</v>
      </c>
      <c r="C15" s="1" t="s">
        <v>76</v>
      </c>
      <c r="D15" s="1" t="s">
        <v>2847</v>
      </c>
      <c r="E15" s="12">
        <f>F15/76</f>
        <v>1333.2236842105262</v>
      </c>
      <c r="F15" s="12">
        <f>'Physical Definitions'!E2*SI!E2/(SI!E3*POWER(SI!E4,2))</f>
        <v>101325</v>
      </c>
      <c r="G15" s="1" t="s">
        <v>1076</v>
      </c>
      <c r="H15" s="1" t="s">
        <v>1148</v>
      </c>
    </row>
    <row r="16" spans="1:8" ht="17.7">
      <c r="A16" s="1" t="s">
        <v>6327</v>
      </c>
      <c r="B16" s="1" t="s">
        <v>6325</v>
      </c>
      <c r="C16" s="1" t="s">
        <v>76</v>
      </c>
      <c r="D16" s="1" t="s">
        <v>2847</v>
      </c>
      <c r="E16" s="12">
        <f>97.970590963*F16</f>
        <v>97.970590963000006</v>
      </c>
      <c r="F16" s="12">
        <f>SI!E2/(SI!E3*POWER(SI!E4,2))</f>
        <v>1</v>
      </c>
      <c r="G16" s="1" t="s">
        <v>1076</v>
      </c>
      <c r="H16" s="1" t="s">
        <v>982</v>
      </c>
    </row>
    <row r="17" spans="1:8" ht="17.7">
      <c r="A17" s="1" t="s">
        <v>6328</v>
      </c>
      <c r="B17" s="1" t="s">
        <v>6326</v>
      </c>
      <c r="C17" s="1" t="s">
        <v>76</v>
      </c>
      <c r="D17" s="1" t="s">
        <v>2847</v>
      </c>
      <c r="E17" s="12">
        <f>98.06375414138*F17</f>
        <v>98.063754141380002</v>
      </c>
      <c r="F17" s="12">
        <f>SI!E2/(SI!E3*POWER(SI!E4,2))</f>
        <v>1</v>
      </c>
      <c r="G17" s="1" t="s">
        <v>1076</v>
      </c>
      <c r="H17" s="1" t="s">
        <v>1148</v>
      </c>
    </row>
    <row r="18" spans="1:8" ht="17.7">
      <c r="A18" s="1" t="s">
        <v>6331</v>
      </c>
      <c r="B18" s="1" t="s">
        <v>6329</v>
      </c>
      <c r="C18" s="1" t="s">
        <v>76</v>
      </c>
      <c r="D18" s="1" t="s">
        <v>2847</v>
      </c>
      <c r="E18" s="12">
        <f>98.06375414138*F18</f>
        <v>98.063754141380002</v>
      </c>
      <c r="F18" s="12">
        <f>SI!E2/(SI!E3*POWER(SI!E4,2))</f>
        <v>1</v>
      </c>
      <c r="G18" s="1" t="s">
        <v>1076</v>
      </c>
      <c r="H18" s="1" t="s">
        <v>982</v>
      </c>
    </row>
    <row r="19" spans="1:8" ht="17.7">
      <c r="A19" s="1" t="s">
        <v>6332</v>
      </c>
      <c r="B19" s="1" t="s">
        <v>6330</v>
      </c>
      <c r="C19" s="1" t="s">
        <v>76</v>
      </c>
      <c r="D19" s="1" t="s">
        <v>2847</v>
      </c>
      <c r="E19" s="12">
        <f>97.970590963*F19</f>
        <v>97.970590963000006</v>
      </c>
      <c r="F19" s="12">
        <f>SI!E2/(SI!E3*POWER(SI!E4,2))</f>
        <v>1</v>
      </c>
      <c r="G19" s="1" t="s">
        <v>1076</v>
      </c>
      <c r="H19" s="1" t="s">
        <v>1148</v>
      </c>
    </row>
    <row r="20" spans="1:8" ht="16.5">
      <c r="A20" s="1" t="s">
        <v>1536</v>
      </c>
      <c r="B20" s="1" t="s">
        <v>3018</v>
      </c>
      <c r="C20" s="1" t="s">
        <v>76</v>
      </c>
      <c r="D20" s="1" t="s">
        <v>2847</v>
      </c>
      <c r="E20" s="12">
        <f>0.001*F20</f>
        <v>1.3332236842105263E-4</v>
      </c>
      <c r="F20" s="12">
        <f>(0.001*'Physical Definitions'!E2/760)*SI!E2/(SI!E3*POWER(SI!E4,2))</f>
        <v>0.13332236842105263</v>
      </c>
      <c r="G20" s="1" t="s">
        <v>1076</v>
      </c>
      <c r="H20" s="1" t="s">
        <v>982</v>
      </c>
    </row>
    <row r="21" spans="1:8" ht="16.5">
      <c r="A21" s="1" t="s">
        <v>6333</v>
      </c>
      <c r="B21" s="8" t="s">
        <v>4013</v>
      </c>
      <c r="C21" s="1" t="s">
        <v>76</v>
      </c>
      <c r="D21" s="1" t="s">
        <v>2847</v>
      </c>
      <c r="E21" s="12">
        <f t="shared" ref="E21:E48" si="0">F21</f>
        <v>0.1</v>
      </c>
      <c r="F21" s="12">
        <f>('Physical Definitions'!E24/POWER('Physical Definitions'!E22,2))*SI!E2/(SI!E3*POWER(SI!E4,2))</f>
        <v>0.1</v>
      </c>
      <c r="G21" s="1" t="s">
        <v>1076</v>
      </c>
      <c r="H21" s="1" t="s">
        <v>36</v>
      </c>
    </row>
    <row r="22" spans="1:8" ht="16.5">
      <c r="A22" s="1" t="s">
        <v>6334</v>
      </c>
      <c r="B22" s="1" t="s">
        <v>6335</v>
      </c>
      <c r="C22" s="1" t="s">
        <v>76</v>
      </c>
      <c r="D22" s="1" t="s">
        <v>2847</v>
      </c>
      <c r="E22" s="12">
        <f t="shared" si="0"/>
        <v>2988.5871747593401</v>
      </c>
      <c r="F22" s="12">
        <f>('Physical Measurements'!E6*'Physical Definitions'!E13*Systems!D6)*SI!E2/(SI!E3*POWER(SI!E4,2))</f>
        <v>2988.5871747593401</v>
      </c>
      <c r="G22" s="1" t="s">
        <v>1076</v>
      </c>
      <c r="H22" s="1" t="s">
        <v>47</v>
      </c>
    </row>
    <row r="23" spans="1:8" ht="16.5">
      <c r="A23" s="1" t="s">
        <v>6337</v>
      </c>
      <c r="B23" s="1" t="s">
        <v>6336</v>
      </c>
      <c r="C23" s="1" t="s">
        <v>76</v>
      </c>
      <c r="D23" s="1" t="s">
        <v>2847</v>
      </c>
      <c r="E23" s="12">
        <f t="shared" si="0"/>
        <v>40522.152530386804</v>
      </c>
      <c r="F23" s="12">
        <f>('Physical Measurements'!E9*Systems!D6*'Physical Definitions'!E13)*SI!E2/(SI!E3*POWER(SI!E4,2))</f>
        <v>40522.152530386804</v>
      </c>
      <c r="G23" s="1" t="s">
        <v>1076</v>
      </c>
      <c r="H23" s="1" t="s">
        <v>1148</v>
      </c>
    </row>
    <row r="24" spans="1:8" ht="16.5">
      <c r="A24" s="1" t="s">
        <v>6338</v>
      </c>
      <c r="B24" s="1" t="s">
        <v>6339</v>
      </c>
      <c r="C24" s="1" t="s">
        <v>76</v>
      </c>
      <c r="D24" s="1" t="s">
        <v>2847</v>
      </c>
      <c r="E24" s="12">
        <f t="shared" si="0"/>
        <v>40636.603902753603</v>
      </c>
      <c r="F24" s="12">
        <f>('Physical Measurements'!E8*Systems!D6*'Physical Definitions'!E13)*SI!E2/(SI!E3*POWER(SI!E4,2))</f>
        <v>40636.603902753603</v>
      </c>
      <c r="G24" s="1" t="s">
        <v>1076</v>
      </c>
      <c r="H24" s="1" t="s">
        <v>1148</v>
      </c>
    </row>
    <row r="25" spans="1:8" ht="17.7">
      <c r="A25" s="1" t="s">
        <v>6343</v>
      </c>
      <c r="B25" s="1" t="s">
        <v>6340</v>
      </c>
      <c r="C25" s="1" t="s">
        <v>76</v>
      </c>
      <c r="D25" s="1" t="s">
        <v>2847</v>
      </c>
      <c r="E25" s="12">
        <f t="shared" si="0"/>
        <v>2986.119998923572</v>
      </c>
      <c r="F25" s="12">
        <f>('Physical Measurements'!E7*'Physical Definitions'!E13*Systems!D6)*SI!E2/(SI!E3*POWER(SI!E4,2))</f>
        <v>2986.119998923572</v>
      </c>
      <c r="G25" s="1" t="s">
        <v>1076</v>
      </c>
      <c r="H25" s="1" t="s">
        <v>1148</v>
      </c>
    </row>
    <row r="26" spans="1:8" ht="17.7">
      <c r="A26" s="1" t="s">
        <v>6344</v>
      </c>
      <c r="B26" s="1" t="s">
        <v>6341</v>
      </c>
      <c r="C26" s="1" t="s">
        <v>76</v>
      </c>
      <c r="D26" s="1" t="s">
        <v>2847</v>
      </c>
      <c r="E26" s="12">
        <f t="shared" si="0"/>
        <v>2988.5871747593401</v>
      </c>
      <c r="F26" s="12">
        <f>('Physical Measurements'!E6*'Physical Definitions'!E13*Systems!D6)*SI!E2/(SI!E3*POWER(SI!E4,2))</f>
        <v>2988.5871747593401</v>
      </c>
      <c r="G26" s="1" t="s">
        <v>1076</v>
      </c>
      <c r="H26" s="1" t="s">
        <v>1148</v>
      </c>
    </row>
    <row r="27" spans="1:8" ht="17.7">
      <c r="A27" s="1" t="s">
        <v>6345</v>
      </c>
      <c r="B27" s="1" t="s">
        <v>6342</v>
      </c>
      <c r="C27" s="1" t="s">
        <v>76</v>
      </c>
      <c r="D27" s="1" t="s">
        <v>2847</v>
      </c>
      <c r="E27" s="12">
        <f t="shared" si="0"/>
        <v>2988.5871747593401</v>
      </c>
      <c r="F27" s="12">
        <f>('Physical Measurements'!E6*'Physical Definitions'!E13*Systems!D6)*SI!E2/(SI!E3*POWER(SI!E4,2))</f>
        <v>2988.5871747593401</v>
      </c>
      <c r="G27" s="1" t="s">
        <v>1076</v>
      </c>
      <c r="H27" s="1" t="s">
        <v>1148</v>
      </c>
    </row>
    <row r="28" spans="1:8" ht="17.7">
      <c r="A28" s="1" t="s">
        <v>6347</v>
      </c>
      <c r="B28" s="1" t="s">
        <v>6346</v>
      </c>
      <c r="C28" s="1" t="s">
        <v>76</v>
      </c>
      <c r="D28" s="1" t="s">
        <v>2847</v>
      </c>
      <c r="E28" s="12">
        <f t="shared" si="0"/>
        <v>2986.119998923572</v>
      </c>
      <c r="F28" s="12">
        <f>('Physical Measurements'!E7*'Physical Definitions'!E13*Systems!D6)*SI!E2/(SI!E3*POWER(SI!E4,2))</f>
        <v>2986.119998923572</v>
      </c>
      <c r="G28" s="1" t="s">
        <v>1076</v>
      </c>
      <c r="H28" s="1" t="s">
        <v>1148</v>
      </c>
    </row>
    <row r="29" spans="1:8" ht="16.5">
      <c r="A29" s="1" t="s">
        <v>6349</v>
      </c>
      <c r="B29" s="1" t="s">
        <v>6348</v>
      </c>
      <c r="C29" s="1" t="s">
        <v>76</v>
      </c>
      <c r="D29" s="1" t="s">
        <v>2847</v>
      </c>
      <c r="E29" s="12">
        <f t="shared" si="0"/>
        <v>3386.3836585628001</v>
      </c>
      <c r="F29" s="12">
        <f>('Physical Measurements'!E8*Systems!D6*'Physical Definitions'!E13/12)*SI!E2/(SI!E3*POWER(SI!E4,2))</f>
        <v>3386.3836585628001</v>
      </c>
      <c r="G29" s="1" t="s">
        <v>1076</v>
      </c>
      <c r="H29" s="1" t="s">
        <v>1148</v>
      </c>
    </row>
    <row r="30" spans="1:8" ht="16.5">
      <c r="A30" s="1" t="s">
        <v>6351</v>
      </c>
      <c r="B30" s="1" t="s">
        <v>6350</v>
      </c>
      <c r="C30" s="1" t="s">
        <v>76</v>
      </c>
      <c r="D30" s="1" t="s">
        <v>2847</v>
      </c>
      <c r="E30" s="12">
        <f t="shared" si="0"/>
        <v>3376.8460441989005</v>
      </c>
      <c r="F30" s="12">
        <f>('Physical Measurements'!E9*Systems!D6*'Physical Definitions'!E13/12)*SI!E2/(SI!E3*POWER(SI!E4,2))</f>
        <v>3376.8460441989005</v>
      </c>
      <c r="G30" s="1" t="s">
        <v>1076</v>
      </c>
      <c r="H30" s="1" t="s">
        <v>1148</v>
      </c>
    </row>
    <row r="31" spans="1:8" ht="16.5">
      <c r="A31" s="1" t="s">
        <v>6353</v>
      </c>
      <c r="B31" s="1" t="s">
        <v>6352</v>
      </c>
      <c r="C31" s="1" t="s">
        <v>76</v>
      </c>
      <c r="D31" s="1" t="s">
        <v>2847</v>
      </c>
      <c r="E31" s="12">
        <f t="shared" si="0"/>
        <v>3386.3836585628001</v>
      </c>
      <c r="F31" s="12">
        <f>('Physical Measurements'!E8*Systems!D6*'Physical Definitions'!E13/12)*SI!E2/(SI!E3*POWER(SI!E4,2))</f>
        <v>3386.3836585628001</v>
      </c>
      <c r="G31" s="1" t="s">
        <v>1076</v>
      </c>
      <c r="H31" s="1" t="s">
        <v>1148</v>
      </c>
    </row>
    <row r="32" spans="1:8" ht="16.5">
      <c r="A32" s="1" t="s">
        <v>6355</v>
      </c>
      <c r="B32" s="1" t="s">
        <v>6354</v>
      </c>
      <c r="C32" s="1" t="s">
        <v>76</v>
      </c>
      <c r="D32" s="1" t="s">
        <v>2847</v>
      </c>
      <c r="E32" s="12">
        <f t="shared" si="0"/>
        <v>3376.8460441989005</v>
      </c>
      <c r="F32" s="12">
        <f>('Physical Measurements'!E9*Systems!D6*'Physical Definitions'!E13/12)*SI!E2/(SI!E3*POWER(SI!E4,2))</f>
        <v>3376.8460441989005</v>
      </c>
      <c r="G32" s="1" t="s">
        <v>1076</v>
      </c>
      <c r="H32" s="1" t="s">
        <v>1148</v>
      </c>
    </row>
    <row r="33" spans="1:8" ht="17.7">
      <c r="A33" s="1" t="s">
        <v>6356</v>
      </c>
      <c r="B33" s="1" t="s">
        <v>6357</v>
      </c>
      <c r="C33" s="1" t="s">
        <v>76</v>
      </c>
      <c r="D33" s="1" t="s">
        <v>2847</v>
      </c>
      <c r="E33" s="12">
        <f t="shared" si="0"/>
        <v>248.84333324363095</v>
      </c>
      <c r="F33" s="12">
        <f>(Systems!D6*'Physical Measurements'!E7*'Physical Definitions'!E13/12)*SI!E2/(SI!E3*POWER(SI!E4,2))</f>
        <v>248.84333324363095</v>
      </c>
      <c r="G33" s="1" t="s">
        <v>1076</v>
      </c>
      <c r="H33" s="1" t="s">
        <v>1148</v>
      </c>
    </row>
    <row r="34" spans="1:8" ht="17.7">
      <c r="A34" s="1" t="s">
        <v>6359</v>
      </c>
      <c r="B34" s="1" t="s">
        <v>6358</v>
      </c>
      <c r="C34" s="1" t="s">
        <v>76</v>
      </c>
      <c r="D34" s="1" t="s">
        <v>2847</v>
      </c>
      <c r="E34" s="12">
        <f t="shared" si="0"/>
        <v>249.048931229945</v>
      </c>
      <c r="F34" s="12">
        <f>(Systems!D6*'Physical Measurements'!E6*'Physical Definitions'!E13/12)*SI!E2/(SI!E3*POWER(SI!E4,2))</f>
        <v>249.048931229945</v>
      </c>
      <c r="G34" s="1" t="s">
        <v>1076</v>
      </c>
      <c r="H34" s="1" t="s">
        <v>1148</v>
      </c>
    </row>
    <row r="35" spans="1:8" ht="17.7">
      <c r="A35" s="1" t="s">
        <v>6361</v>
      </c>
      <c r="B35" s="1" t="s">
        <v>6360</v>
      </c>
      <c r="C35" s="1" t="s">
        <v>76</v>
      </c>
      <c r="D35" s="1" t="s">
        <v>2847</v>
      </c>
      <c r="E35" s="12">
        <f t="shared" si="0"/>
        <v>249.048931229945</v>
      </c>
      <c r="F35" s="12">
        <f>(Systems!D6*'Physical Measurements'!E6*'Physical Definitions'!E13/12)*SI!E2/(SI!E3*POWER(SI!E4,2))</f>
        <v>249.048931229945</v>
      </c>
      <c r="G35" s="1" t="s">
        <v>1076</v>
      </c>
      <c r="H35" s="1" t="s">
        <v>1148</v>
      </c>
    </row>
    <row r="36" spans="1:8" ht="17.7">
      <c r="A36" s="1" t="s">
        <v>6363</v>
      </c>
      <c r="B36" s="1" t="s">
        <v>6362</v>
      </c>
      <c r="C36" s="1" t="s">
        <v>76</v>
      </c>
      <c r="D36" s="1" t="s">
        <v>2847</v>
      </c>
      <c r="E36" s="12">
        <f t="shared" si="0"/>
        <v>248.84333324363095</v>
      </c>
      <c r="F36" s="12">
        <f>(Systems!D6*'Physical Measurements'!E7*'Physical Definitions'!E13/12)*SI!E2/(SI!E3*POWER(SI!E4,2))</f>
        <v>248.84333324363095</v>
      </c>
      <c r="G36" s="1" t="s">
        <v>1076</v>
      </c>
      <c r="H36" s="1" t="s">
        <v>1148</v>
      </c>
    </row>
    <row r="37" spans="1:8" ht="16.5">
      <c r="A37" s="1" t="s">
        <v>6364</v>
      </c>
      <c r="B37" s="1" t="s">
        <v>1777</v>
      </c>
      <c r="C37" s="1" t="s">
        <v>76</v>
      </c>
      <c r="D37" s="1" t="s">
        <v>2847</v>
      </c>
      <c r="E37" s="12">
        <f t="shared" si="0"/>
        <v>1</v>
      </c>
      <c r="F37" s="12">
        <f>SI!E2/(SI!E3*POWER(SI!E4,2))</f>
        <v>1</v>
      </c>
      <c r="G37" s="1" t="s">
        <v>1076</v>
      </c>
      <c r="H37" s="1" t="s">
        <v>42</v>
      </c>
    </row>
    <row r="38" spans="1:8" ht="16.5">
      <c r="A38" s="1" t="s">
        <v>6365</v>
      </c>
      <c r="B38" s="1" t="s">
        <v>6366</v>
      </c>
      <c r="C38" s="1" t="s">
        <v>76</v>
      </c>
      <c r="D38" s="1" t="s">
        <v>2847</v>
      </c>
      <c r="E38" s="12">
        <f t="shared" si="0"/>
        <v>1</v>
      </c>
      <c r="F38" s="12">
        <f>SI!E2/(SI!E3*POWER(SI!E4,2))</f>
        <v>1</v>
      </c>
      <c r="G38" s="1" t="s">
        <v>1076</v>
      </c>
      <c r="H38" s="1" t="s">
        <v>42</v>
      </c>
    </row>
    <row r="39" spans="1:8" ht="16.5">
      <c r="A39" s="1" t="s">
        <v>6367</v>
      </c>
      <c r="B39" s="1" t="s">
        <v>1845</v>
      </c>
      <c r="C39" s="1" t="s">
        <v>76</v>
      </c>
      <c r="D39" s="1" t="s">
        <v>2847</v>
      </c>
      <c r="E39" s="12">
        <f t="shared" si="0"/>
        <v>980.66499999999974</v>
      </c>
      <c r="F39" s="12">
        <f>('Physical Definitions'!E13/POWER('Physical Definitions'!E25,2))*SI!E2/(SI!E3*POWER(SI!E4,2))</f>
        <v>980.66499999999974</v>
      </c>
      <c r="G39" s="1" t="s">
        <v>1076</v>
      </c>
      <c r="H39" s="1" t="s">
        <v>66</v>
      </c>
    </row>
    <row r="40" spans="1:8" ht="16.5">
      <c r="A40" s="1" t="s">
        <v>6368</v>
      </c>
      <c r="B40" s="1" t="s">
        <v>1844</v>
      </c>
      <c r="C40" s="1" t="s">
        <v>76</v>
      </c>
      <c r="D40" s="1" t="s">
        <v>2847</v>
      </c>
      <c r="E40" s="12">
        <f t="shared" si="0"/>
        <v>9.8066499999999994</v>
      </c>
      <c r="F40" s="12">
        <f>'Physical Definitions'!E13*SI!E2/(SI!E3*POWER(SI!E4,2))</f>
        <v>9.8066499999999994</v>
      </c>
      <c r="G40" s="1" t="s">
        <v>1076</v>
      </c>
      <c r="H40" s="1" t="s">
        <v>66</v>
      </c>
    </row>
    <row r="41" spans="1:8" ht="16.5">
      <c r="A41" s="1" t="s">
        <v>6369</v>
      </c>
      <c r="B41" s="1" t="s">
        <v>1846</v>
      </c>
      <c r="C41" s="1" t="s">
        <v>76</v>
      </c>
      <c r="D41" s="1" t="s">
        <v>2847</v>
      </c>
      <c r="E41" s="12">
        <f t="shared" si="0"/>
        <v>9806650</v>
      </c>
      <c r="F41" s="12">
        <f>('Physical Definitions'!E13/POWER('Physical Definitions'!E21,2))*SI!E2/(SI!E3*POWER(SI!E4,2))</f>
        <v>9806650</v>
      </c>
      <c r="G41" s="1" t="s">
        <v>1076</v>
      </c>
      <c r="H41" s="1" t="s">
        <v>66</v>
      </c>
    </row>
    <row r="42" spans="1:8" ht="16.5">
      <c r="A42" s="1" t="s">
        <v>6370</v>
      </c>
      <c r="B42" s="1" t="s">
        <v>1843</v>
      </c>
      <c r="C42" s="1" t="s">
        <v>76</v>
      </c>
      <c r="D42" s="1" t="s">
        <v>2847</v>
      </c>
      <c r="E42" s="12">
        <f t="shared" si="0"/>
        <v>98066.499999999985</v>
      </c>
      <c r="F42" s="12">
        <f>('Physical Definitions'!E13/POWER('Physical Definitions'!E22,2))*SI!E2/(SI!E3*POWER(SI!E4,2))</f>
        <v>98066.499999999985</v>
      </c>
      <c r="G42" s="1" t="s">
        <v>1076</v>
      </c>
      <c r="H42" s="1" t="s">
        <v>66</v>
      </c>
    </row>
    <row r="43" spans="1:8" ht="16.5">
      <c r="A43" s="1" t="s">
        <v>6371</v>
      </c>
      <c r="B43" s="1" t="s">
        <v>3017</v>
      </c>
      <c r="C43" s="1" t="s">
        <v>76</v>
      </c>
      <c r="D43" s="1" t="s">
        <v>2847</v>
      </c>
      <c r="E43" s="12">
        <f t="shared" si="0"/>
        <v>6894.7572931683599</v>
      </c>
      <c r="F43" s="12">
        <f>('Physical Definitions'!E13*Systems!L6/POWER(Systems!D6/12,2))*SI!E2/(SI!E3*POWER(SI!E4,2))</f>
        <v>6894.7572931683599</v>
      </c>
      <c r="G43" s="1" t="s">
        <v>1076</v>
      </c>
      <c r="H43" s="1" t="s">
        <v>1148</v>
      </c>
    </row>
    <row r="44" spans="1:8" ht="17.7">
      <c r="A44" s="1" t="s">
        <v>6372</v>
      </c>
      <c r="B44" s="1" t="s">
        <v>6373</v>
      </c>
      <c r="C44" s="1" t="s">
        <v>76</v>
      </c>
      <c r="D44" s="1" t="s">
        <v>2847</v>
      </c>
      <c r="E44" s="12">
        <f t="shared" si="0"/>
        <v>9796.9816237649993</v>
      </c>
      <c r="F44" s="12">
        <f>('Physical Measurements'!E7*'Physical Definitions'!E13)*SI!E2/(SI!E3*POWER(SI!E4,2))</f>
        <v>9796.9816237649993</v>
      </c>
      <c r="G44" s="1" t="s">
        <v>1076</v>
      </c>
      <c r="H44" s="1" t="s">
        <v>982</v>
      </c>
    </row>
    <row r="45" spans="1:8" ht="17.7">
      <c r="A45" s="1" t="s">
        <v>6377</v>
      </c>
      <c r="B45" s="1" t="s">
        <v>6374</v>
      </c>
      <c r="C45" s="1" t="s">
        <v>76</v>
      </c>
      <c r="D45" s="1" t="s">
        <v>2847</v>
      </c>
      <c r="E45" s="12">
        <f t="shared" si="0"/>
        <v>9805.0760326750005</v>
      </c>
      <c r="F45" s="12">
        <f>('Physical Measurements'!E6*SI!E3*'Physical Definitions'!E13)*SI!E2/(SI!E3*POWER(SI!E4,2))</f>
        <v>9805.0760326750005</v>
      </c>
      <c r="G45" s="1" t="s">
        <v>1076</v>
      </c>
      <c r="H45" s="1" t="s">
        <v>1148</v>
      </c>
    </row>
    <row r="46" spans="1:8" ht="17.7">
      <c r="A46" s="1" t="s">
        <v>6378</v>
      </c>
      <c r="B46" s="1" t="s">
        <v>6375</v>
      </c>
      <c r="C46" s="1" t="s">
        <v>76</v>
      </c>
      <c r="D46" s="1" t="s">
        <v>2847</v>
      </c>
      <c r="E46" s="12">
        <f t="shared" si="0"/>
        <v>9805.0760326750005</v>
      </c>
      <c r="F46" s="12">
        <f>('Physical Measurements'!E6*'Physical Definitions'!E13)*SI!E2/(SI!E3*POWER(SI!E4,2))</f>
        <v>9805.0760326750005</v>
      </c>
      <c r="G46" s="1" t="s">
        <v>1076</v>
      </c>
      <c r="H46" s="1" t="s">
        <v>982</v>
      </c>
    </row>
    <row r="47" spans="1:8" ht="17.7">
      <c r="A47" s="1" t="s">
        <v>6379</v>
      </c>
      <c r="B47" s="1" t="s">
        <v>6376</v>
      </c>
      <c r="C47" s="1" t="s">
        <v>76</v>
      </c>
      <c r="D47" s="1" t="s">
        <v>2847</v>
      </c>
      <c r="E47" s="12">
        <f t="shared" si="0"/>
        <v>9796.9816237649993</v>
      </c>
      <c r="F47" s="12">
        <f>('Physical Measurements'!E7*SI!E3*'Physical Definitions'!E13)*SI!E2/(SI!E3*POWER(SI!E4,2))</f>
        <v>9796.9816237649993</v>
      </c>
      <c r="G47" s="1" t="s">
        <v>1076</v>
      </c>
      <c r="H47" s="1" t="s">
        <v>1148</v>
      </c>
    </row>
    <row r="48" spans="1:8" ht="16.5">
      <c r="A48" s="1" t="s">
        <v>2058</v>
      </c>
      <c r="B48" s="8" t="s">
        <v>3016</v>
      </c>
      <c r="C48" s="1" t="s">
        <v>76</v>
      </c>
      <c r="D48" s="1" t="s">
        <v>2847</v>
      </c>
      <c r="E48" s="12">
        <f t="shared" si="0"/>
        <v>0.1</v>
      </c>
      <c r="F48" s="12">
        <f>('Physical Definitions'!E24/POWER('Physical Definitions'!E22,2))*SI!E2/(SI!E3*POWER(SI!E4,2))</f>
        <v>0.1</v>
      </c>
      <c r="G48" s="1" t="s">
        <v>1076</v>
      </c>
      <c r="H48" s="1" t="s">
        <v>36</v>
      </c>
    </row>
    <row r="49" spans="1:8" ht="30.9">
      <c r="A49" s="1" t="s">
        <v>6381</v>
      </c>
      <c r="B49" s="1" t="s">
        <v>6380</v>
      </c>
      <c r="C49" s="1" t="s">
        <v>76</v>
      </c>
      <c r="D49" s="1" t="s">
        <v>2847</v>
      </c>
      <c r="E49" s="12">
        <f>0.001*F49</f>
        <v>0.13332219128199999</v>
      </c>
      <c r="F49" s="12">
        <f>('Physical Measurements'!E8*'Physical Definitions'!E13*'Physical Definitions'!E21)*SI!E2/(SI!E3*POWER(SI!E4,2))</f>
        <v>133.32219128199998</v>
      </c>
      <c r="G49" s="1" t="s">
        <v>1076</v>
      </c>
      <c r="H49" s="1" t="s">
        <v>982</v>
      </c>
    </row>
    <row r="50" spans="1:8" ht="16.5">
      <c r="A50" s="1" t="s">
        <v>6915</v>
      </c>
      <c r="B50" s="1" t="s">
        <v>297</v>
      </c>
      <c r="C50" s="1" t="s">
        <v>76</v>
      </c>
      <c r="D50" s="1" t="s">
        <v>2847</v>
      </c>
      <c r="E50" s="12">
        <f>100*F50</f>
        <v>100</v>
      </c>
      <c r="F50" s="12">
        <f>SI!E2/(SI!E3*POWER(SI!E4,2))</f>
        <v>1</v>
      </c>
      <c r="G50" s="1" t="s">
        <v>1076</v>
      </c>
      <c r="H50" s="1" t="s">
        <v>982</v>
      </c>
    </row>
    <row r="51" spans="1:8" ht="33">
      <c r="A51" s="1" t="s">
        <v>6916</v>
      </c>
      <c r="B51" s="1" t="s">
        <v>6382</v>
      </c>
      <c r="C51" s="1" t="s">
        <v>76</v>
      </c>
      <c r="D51" s="1" t="s">
        <v>2847</v>
      </c>
      <c r="E51" s="12">
        <f t="shared" ref="E51:E57" si="1">F51</f>
        <v>133.32236842105263</v>
      </c>
      <c r="F51" s="12">
        <f>('Physical Definitions'!E2/760)*SI!E2/(SI!E3*POWER(SI!E4,2))</f>
        <v>133.32236842105263</v>
      </c>
      <c r="G51" s="1" t="s">
        <v>1076</v>
      </c>
      <c r="H51" s="1" t="s">
        <v>982</v>
      </c>
    </row>
    <row r="52" spans="1:8" ht="16.5">
      <c r="A52" s="1" t="s">
        <v>6384</v>
      </c>
      <c r="B52" s="1" t="s">
        <v>6383</v>
      </c>
      <c r="C52" s="1" t="s">
        <v>76</v>
      </c>
      <c r="D52" s="1" t="s">
        <v>2847</v>
      </c>
      <c r="E52" s="12">
        <f t="shared" si="1"/>
        <v>133.37044</v>
      </c>
      <c r="F52" s="166">
        <f>('Physical Measurements'!E26*'Physical Definitions'!E13*'Physical Definitions'!E21)*SI!E2/(SI!E3*POWER(SI!E4,2))</f>
        <v>133.37044</v>
      </c>
      <c r="G52" s="1" t="s">
        <v>1076</v>
      </c>
      <c r="H52" s="1" t="s">
        <v>1148</v>
      </c>
    </row>
    <row r="53" spans="1:8" ht="34.200000000000003">
      <c r="A53" s="1" t="s">
        <v>6385</v>
      </c>
      <c r="B53" s="1" t="s">
        <v>6386</v>
      </c>
      <c r="C53" s="1" t="s">
        <v>76</v>
      </c>
      <c r="D53" s="1" t="s">
        <v>2847</v>
      </c>
      <c r="E53" s="12">
        <f t="shared" si="1"/>
        <v>9.7969816237649994</v>
      </c>
      <c r="F53" s="12">
        <f>('Physical Measurements'!E7*'Physical Definitions'!E21*'Physical Definitions'!E13)*SI!E2/(SI!E3*POWER(SI!E4,2))</f>
        <v>9.7969816237649994</v>
      </c>
      <c r="G53" s="1" t="s">
        <v>1076</v>
      </c>
      <c r="H53" s="1" t="s">
        <v>982</v>
      </c>
    </row>
    <row r="54" spans="1:8" ht="34.200000000000003">
      <c r="A54" s="1" t="s">
        <v>6388</v>
      </c>
      <c r="B54" s="1" t="s">
        <v>6387</v>
      </c>
      <c r="C54" s="1" t="s">
        <v>76</v>
      </c>
      <c r="D54" s="1" t="s">
        <v>2847</v>
      </c>
      <c r="E54" s="12">
        <f t="shared" si="1"/>
        <v>9.8050760326750002</v>
      </c>
      <c r="F54" s="12">
        <f>('Physical Measurements'!E6*'Physical Definitions'!E21*'Physical Definitions'!E13)*SI!E2/(SI!E3*POWER(SI!E4,2))</f>
        <v>9.8050760326750002</v>
      </c>
      <c r="G54" s="1" t="s">
        <v>1076</v>
      </c>
      <c r="H54" s="1" t="s">
        <v>982</v>
      </c>
    </row>
    <row r="55" spans="1:8" ht="34.200000000000003">
      <c r="A55" s="1" t="s">
        <v>6390</v>
      </c>
      <c r="B55" s="1" t="s">
        <v>6389</v>
      </c>
      <c r="C55" s="1" t="s">
        <v>76</v>
      </c>
      <c r="D55" s="1" t="s">
        <v>2847</v>
      </c>
      <c r="E55" s="12">
        <f t="shared" si="1"/>
        <v>9.8050760326750002</v>
      </c>
      <c r="F55" s="12">
        <f>('Physical Measurements'!E6*'Physical Definitions'!E21*'Physical Definitions'!E13)*SI!E2/(SI!E3*POWER(SI!E4,2))</f>
        <v>9.8050760326750002</v>
      </c>
      <c r="G55" s="1" t="s">
        <v>1076</v>
      </c>
      <c r="H55" s="1" t="s">
        <v>982</v>
      </c>
    </row>
    <row r="56" spans="1:8" ht="34.200000000000003">
      <c r="A56" s="1" t="s">
        <v>6391</v>
      </c>
      <c r="B56" s="1" t="s">
        <v>6392</v>
      </c>
      <c r="C56" s="1" t="s">
        <v>76</v>
      </c>
      <c r="D56" s="1" t="s">
        <v>2847</v>
      </c>
      <c r="E56" s="12">
        <f t="shared" si="1"/>
        <v>9.7969816237649994</v>
      </c>
      <c r="F56" s="12">
        <f>('Physical Measurements'!E7*'Physical Definitions'!E21*'Physical Definitions'!E13)*SI!E2/(SI!E3*POWER(SI!E4,2))</f>
        <v>9.7969816237649994</v>
      </c>
      <c r="G56" s="1" t="s">
        <v>1076</v>
      </c>
      <c r="H56" s="1" t="s">
        <v>982</v>
      </c>
    </row>
    <row r="57" spans="1:8" ht="16.5">
      <c r="A57" s="1" t="s">
        <v>6393</v>
      </c>
      <c r="B57" s="1" t="s">
        <v>2128</v>
      </c>
      <c r="C57" s="1" t="s">
        <v>76</v>
      </c>
      <c r="D57" s="1" t="s">
        <v>2847</v>
      </c>
      <c r="E57" s="12">
        <f t="shared" si="1"/>
        <v>1</v>
      </c>
      <c r="F57" s="12">
        <f>SI!E2/(SI!E3*POWER(SI!E4,2))</f>
        <v>1</v>
      </c>
      <c r="G57" s="1" t="s">
        <v>1076</v>
      </c>
      <c r="H57" s="1" t="s">
        <v>42</v>
      </c>
    </row>
    <row r="58" spans="1:8" ht="16.5">
      <c r="A58" s="1" t="s">
        <v>6394</v>
      </c>
      <c r="B58" s="1" t="s">
        <v>2189</v>
      </c>
      <c r="C58" s="1" t="s">
        <v>76</v>
      </c>
      <c r="D58" s="1" t="s">
        <v>2847</v>
      </c>
      <c r="E58" s="12">
        <f>F58/16</f>
        <v>430.92233082302249</v>
      </c>
      <c r="F58" s="12">
        <f>(Systems!L6*'Physical Definitions'!E13/POWER(Systems!D6/12,2))*SI!E2/(SI!E3*POWER(SI!E4,2))</f>
        <v>6894.7572931683599</v>
      </c>
      <c r="G58" s="1" t="s">
        <v>1076</v>
      </c>
      <c r="H58" s="1" t="s">
        <v>1148</v>
      </c>
    </row>
    <row r="59" spans="1:8" ht="16.5">
      <c r="A59" s="1" t="s">
        <v>320</v>
      </c>
      <c r="B59" s="1" t="s">
        <v>321</v>
      </c>
      <c r="C59" s="1" t="s">
        <v>76</v>
      </c>
      <c r="D59" s="1" t="s">
        <v>2847</v>
      </c>
      <c r="E59" s="12">
        <f>F59</f>
        <v>1</v>
      </c>
      <c r="F59" s="12">
        <f>SI!E2/(SI!E3*POWER(SI!E4,2))</f>
        <v>1</v>
      </c>
      <c r="G59" s="1" t="s">
        <v>1076</v>
      </c>
      <c r="H59" s="1" t="s">
        <v>42</v>
      </c>
    </row>
    <row r="60" spans="1:8" ht="16.5">
      <c r="A60" s="1" t="s">
        <v>2264</v>
      </c>
      <c r="B60" s="1" t="s">
        <v>4129</v>
      </c>
      <c r="C60" s="1" t="s">
        <v>76</v>
      </c>
      <c r="D60" s="1" t="s">
        <v>2847</v>
      </c>
      <c r="E60" s="12">
        <f>1000*F60</f>
        <v>1000</v>
      </c>
      <c r="F60" s="12">
        <f>SI!E2/(SI!E3*POWER(SI!E4,2))</f>
        <v>1</v>
      </c>
      <c r="G60" s="1" t="s">
        <v>1076</v>
      </c>
      <c r="H60" s="1" t="s">
        <v>168</v>
      </c>
    </row>
    <row r="61" spans="1:8" ht="16.5">
      <c r="A61" s="1" t="s">
        <v>6395</v>
      </c>
      <c r="B61" s="1" t="s">
        <v>4130</v>
      </c>
      <c r="C61" s="1" t="s">
        <v>76</v>
      </c>
      <c r="D61" s="1" t="s">
        <v>2847</v>
      </c>
      <c r="E61" s="12">
        <f t="shared" ref="E61:E66" si="2">F61</f>
        <v>47.880258980335839</v>
      </c>
      <c r="F61" s="12">
        <f>(Systems!L15*'Physical Definitions'!E13/POWER(Systems!D15,2))*SI!E2/(SI!E3*POWER(SI!E4,2))</f>
        <v>47.880258980335839</v>
      </c>
      <c r="G61" s="1" t="s">
        <v>1076</v>
      </c>
      <c r="H61" s="1" t="s">
        <v>117</v>
      </c>
    </row>
    <row r="62" spans="1:8" ht="16.5">
      <c r="A62" s="1" t="s">
        <v>6395</v>
      </c>
      <c r="B62" s="1" t="s">
        <v>4131</v>
      </c>
      <c r="C62" s="1" t="s">
        <v>76</v>
      </c>
      <c r="D62" s="1" t="s">
        <v>2847</v>
      </c>
      <c r="E62" s="12">
        <f t="shared" si="2"/>
        <v>47.880258980335839</v>
      </c>
      <c r="F62" s="12">
        <f>(Systems!L6*'Physical Definitions'!E13/POWER(Systems!D6,2))*SI!E2/(SI!E3*POWER(SI!E4,2))</f>
        <v>47.880258980335839</v>
      </c>
      <c r="G62" s="1" t="s">
        <v>1076</v>
      </c>
      <c r="H62" s="1" t="s">
        <v>1148</v>
      </c>
    </row>
    <row r="63" spans="1:8" ht="16.5">
      <c r="A63" s="1" t="s">
        <v>6396</v>
      </c>
      <c r="B63" s="1" t="s">
        <v>4132</v>
      </c>
      <c r="C63" s="1" t="s">
        <v>76</v>
      </c>
      <c r="D63" s="1" t="s">
        <v>2847</v>
      </c>
      <c r="E63" s="12">
        <f t="shared" si="2"/>
        <v>6894.7572931683599</v>
      </c>
      <c r="F63" s="12">
        <f>(Systems!L15*'Physical Definitions'!E13/POWER(Systems!D15/12,2))*SI!E2/(SI!E3*POWER(SI!E4,2))</f>
        <v>6894.7572931683599</v>
      </c>
      <c r="G63" s="1" t="s">
        <v>1076</v>
      </c>
      <c r="H63" s="1" t="s">
        <v>117</v>
      </c>
    </row>
    <row r="64" spans="1:8" ht="16.5">
      <c r="A64" s="1" t="s">
        <v>6396</v>
      </c>
      <c r="B64" s="1" t="s">
        <v>4132</v>
      </c>
      <c r="C64" s="1" t="s">
        <v>76</v>
      </c>
      <c r="D64" s="1" t="s">
        <v>2847</v>
      </c>
      <c r="E64" s="12">
        <f t="shared" si="2"/>
        <v>6894.7572931683599</v>
      </c>
      <c r="F64" s="12">
        <f>(Systems!L6*'Physical Definitions'!E13/POWER(Systems!D6/12,2))*SI!E2/(SI!E3*POWER(SI!E4,2))</f>
        <v>6894.7572931683599</v>
      </c>
      <c r="G64" s="1" t="s">
        <v>1076</v>
      </c>
      <c r="H64" s="1" t="s">
        <v>1148</v>
      </c>
    </row>
    <row r="65" spans="1:8" ht="16.5">
      <c r="A65" s="1" t="s">
        <v>6397</v>
      </c>
      <c r="B65" s="1" t="s">
        <v>3974</v>
      </c>
      <c r="C65" s="1" t="s">
        <v>76</v>
      </c>
      <c r="D65" s="1" t="s">
        <v>2847</v>
      </c>
      <c r="E65" s="12">
        <f t="shared" si="2"/>
        <v>1.4881639435695537</v>
      </c>
      <c r="F65" s="12">
        <f>(Systems!L6/Systems!D6)*SI!E2/(SI!E3*POWER(SI!E4,2))</f>
        <v>1.4881639435695537</v>
      </c>
      <c r="G65" s="1" t="s">
        <v>1076</v>
      </c>
      <c r="H65" s="1" t="s">
        <v>1148</v>
      </c>
    </row>
    <row r="66" spans="1:8" ht="16.5">
      <c r="A66" s="1" t="s">
        <v>6398</v>
      </c>
      <c r="B66" s="1" t="s">
        <v>26</v>
      </c>
      <c r="C66" s="1" t="s">
        <v>76</v>
      </c>
      <c r="D66" s="1" t="s">
        <v>2847</v>
      </c>
      <c r="E66" s="12">
        <f t="shared" si="2"/>
        <v>101325</v>
      </c>
      <c r="F66" s="12">
        <f>'Physical Definitions'!E2*SI!E2/(SI!E3*POWER(SI!E4,2))</f>
        <v>101325</v>
      </c>
      <c r="G66" s="1" t="s">
        <v>1076</v>
      </c>
      <c r="H66" s="1" t="s">
        <v>58</v>
      </c>
    </row>
    <row r="67" spans="1:8" ht="16.5">
      <c r="A67" s="1" t="s">
        <v>6399</v>
      </c>
      <c r="B67" s="1" t="s">
        <v>2577</v>
      </c>
      <c r="C67" s="1" t="s">
        <v>76</v>
      </c>
      <c r="D67" s="1" t="s">
        <v>2847</v>
      </c>
      <c r="E67" s="12">
        <f>1000*F67</f>
        <v>1000</v>
      </c>
      <c r="F67" s="12">
        <f>SI!E2/(SI!E3*POWER(SI!E4,2))</f>
        <v>1</v>
      </c>
      <c r="G67" s="1" t="s">
        <v>1076</v>
      </c>
      <c r="H67" s="1" t="s">
        <v>168</v>
      </c>
    </row>
    <row r="68" spans="1:8" ht="16.5">
      <c r="A68" s="1" t="s">
        <v>6400</v>
      </c>
      <c r="B68" s="1" t="s">
        <v>2592</v>
      </c>
      <c r="C68" s="1" t="s">
        <v>76</v>
      </c>
      <c r="D68" s="1" t="s">
        <v>2847</v>
      </c>
      <c r="E68" s="12">
        <f>F68</f>
        <v>98066.499999999985</v>
      </c>
      <c r="F68" s="12">
        <f>('Physical Definitions'!E13/POWER('Physical Definitions'!E22,2))*SI!E2/(SI!E3*POWER(SI!E4,2))</f>
        <v>98066.499999999985</v>
      </c>
      <c r="G68" s="1" t="s">
        <v>1076</v>
      </c>
      <c r="H68" s="1" t="s">
        <v>66</v>
      </c>
    </row>
    <row r="69" spans="1:8" ht="16.5">
      <c r="A69" s="1" t="s">
        <v>6401</v>
      </c>
      <c r="B69" s="1" t="s">
        <v>2679</v>
      </c>
      <c r="C69" s="1" t="s">
        <v>76</v>
      </c>
      <c r="D69" s="1" t="s">
        <v>2847</v>
      </c>
      <c r="E69" s="12">
        <f>2000*F69</f>
        <v>13789514.586336719</v>
      </c>
      <c r="F69" s="12">
        <f>(Systems!L6*'Physical Definitions'!E13/POWER(Systems!D6/12,2))*SI!E2/(SI!E3*POWER(SI!E4,2))</f>
        <v>6894.7572931683599</v>
      </c>
      <c r="G69" s="1" t="s">
        <v>1076</v>
      </c>
      <c r="H69" s="1" t="s">
        <v>47</v>
      </c>
    </row>
    <row r="70" spans="1:8" ht="16.5">
      <c r="A70" s="1" t="s">
        <v>2690</v>
      </c>
      <c r="B70" s="1" t="s">
        <v>26</v>
      </c>
      <c r="C70" s="1" t="s">
        <v>76</v>
      </c>
      <c r="D70" s="1" t="s">
        <v>2847</v>
      </c>
      <c r="E70" s="12">
        <f>F70</f>
        <v>133.32236842105263</v>
      </c>
      <c r="F70" s="12">
        <f>('Physical Definitions'!E2/760)*SI!E2/(SI!E3*POWER(SI!E4,2))</f>
        <v>133.32236842105263</v>
      </c>
      <c r="G70" s="1" t="s">
        <v>1076</v>
      </c>
      <c r="H70" s="1" t="s">
        <v>58</v>
      </c>
    </row>
    <row r="71" spans="1:8" ht="16.5">
      <c r="A71" s="1" t="s">
        <v>616</v>
      </c>
      <c r="B71" s="1" t="s">
        <v>26</v>
      </c>
      <c r="C71" s="1" t="s">
        <v>76</v>
      </c>
      <c r="D71" s="1" t="s">
        <v>2847</v>
      </c>
      <c r="E71" s="12">
        <f>100*F71</f>
        <v>100</v>
      </c>
      <c r="F71" s="12">
        <f>SI!E2/(SI!E3*POWER(SI!E4,2))</f>
        <v>1</v>
      </c>
      <c r="G71" s="1" t="s">
        <v>1076</v>
      </c>
      <c r="H71" s="1" t="s">
        <v>982</v>
      </c>
    </row>
    <row r="72" spans="1:8" ht="16.5">
      <c r="A72" s="1" t="s">
        <v>6402</v>
      </c>
      <c r="B72" s="1" t="s">
        <v>619</v>
      </c>
      <c r="C72" s="1" t="s">
        <v>76</v>
      </c>
      <c r="D72" s="1" t="s">
        <v>2847</v>
      </c>
      <c r="E72" s="12">
        <f>F72</f>
        <v>249.048931229945</v>
      </c>
      <c r="F72" s="12">
        <f>('Physical Definitions'!E13*'Physical Measurements'!E6*Systems!D6/12)*SI!E2/(SI!E3*POWER(SI!E4,2))</f>
        <v>249.048931229945</v>
      </c>
      <c r="G72" s="1" t="s">
        <v>1076</v>
      </c>
      <c r="H72" s="1" t="s">
        <v>1148</v>
      </c>
    </row>
    <row r="73" spans="1:8" ht="16.5">
      <c r="A73" t="s">
        <v>3598</v>
      </c>
      <c r="B73" t="s">
        <v>3617</v>
      </c>
      <c r="C73" s="1" t="s">
        <v>76</v>
      </c>
      <c r="D73" s="1" t="s">
        <v>2847</v>
      </c>
      <c r="E73" s="26">
        <f>1E+24*F73</f>
        <v>9.9999999999999998E+23</v>
      </c>
      <c r="F73" s="12">
        <f>SI!E2/(SI!E3*POWER(SI!E4,2))</f>
        <v>1</v>
      </c>
      <c r="G73" s="1" t="s">
        <v>1076</v>
      </c>
      <c r="H73" s="1" t="s">
        <v>42</v>
      </c>
    </row>
    <row r="74" spans="1:8" ht="16.5">
      <c r="A74" t="s">
        <v>3599</v>
      </c>
      <c r="B74" t="s">
        <v>3618</v>
      </c>
      <c r="C74" s="1" t="s">
        <v>76</v>
      </c>
      <c r="D74" s="1" t="s">
        <v>2847</v>
      </c>
      <c r="E74" s="26">
        <f>1E+21*F74</f>
        <v>1E+21</v>
      </c>
      <c r="F74" s="12">
        <f>SI!E2/(SI!E3*POWER(SI!E4,2))</f>
        <v>1</v>
      </c>
      <c r="G74" s="1" t="s">
        <v>1076</v>
      </c>
      <c r="H74" s="1" t="s">
        <v>42</v>
      </c>
    </row>
    <row r="75" spans="1:8" ht="16.5">
      <c r="A75" t="s">
        <v>3600</v>
      </c>
      <c r="B75" t="s">
        <v>3619</v>
      </c>
      <c r="C75" s="1" t="s">
        <v>76</v>
      </c>
      <c r="D75" s="1" t="s">
        <v>2847</v>
      </c>
      <c r="E75" s="26">
        <f>1000000000000000000*F75</f>
        <v>1E+18</v>
      </c>
      <c r="F75" s="12">
        <f>SI!E2/(SI!E3*POWER(SI!E4,2))</f>
        <v>1</v>
      </c>
      <c r="G75" s="1" t="s">
        <v>1076</v>
      </c>
      <c r="H75" s="1" t="s">
        <v>42</v>
      </c>
    </row>
    <row r="76" spans="1:8" ht="16.5">
      <c r="A76" t="s">
        <v>3601</v>
      </c>
      <c r="B76" t="s">
        <v>3620</v>
      </c>
      <c r="C76" s="1" t="s">
        <v>76</v>
      </c>
      <c r="D76" s="1" t="s">
        <v>2847</v>
      </c>
      <c r="E76" s="26">
        <f>1000000000000000*F76</f>
        <v>1000000000000000</v>
      </c>
      <c r="F76" s="12">
        <f>SI!E2/(SI!E3*POWER(SI!E4,2))</f>
        <v>1</v>
      </c>
      <c r="G76" s="1" t="s">
        <v>1076</v>
      </c>
      <c r="H76" s="1" t="s">
        <v>42</v>
      </c>
    </row>
    <row r="77" spans="1:8" ht="16.5">
      <c r="A77" t="s">
        <v>3602</v>
      </c>
      <c r="B77" t="s">
        <v>3621</v>
      </c>
      <c r="C77" s="1" t="s">
        <v>76</v>
      </c>
      <c r="D77" s="1" t="s">
        <v>2847</v>
      </c>
      <c r="E77" s="26">
        <f>1000000000000*F77</f>
        <v>1000000000000</v>
      </c>
      <c r="F77" s="12">
        <f>SI!E2/(SI!E3*POWER(SI!E4,2))</f>
        <v>1</v>
      </c>
      <c r="G77" s="1" t="s">
        <v>1076</v>
      </c>
      <c r="H77" s="1" t="s">
        <v>42</v>
      </c>
    </row>
    <row r="78" spans="1:8" ht="16.5">
      <c r="A78" t="s">
        <v>3603</v>
      </c>
      <c r="B78" t="s">
        <v>3622</v>
      </c>
      <c r="C78" s="1" t="s">
        <v>76</v>
      </c>
      <c r="D78" s="1" t="s">
        <v>2847</v>
      </c>
      <c r="E78" s="26">
        <f>1000000000*F78</f>
        <v>1000000000</v>
      </c>
      <c r="F78" s="12">
        <f>SI!E2/(SI!E3*POWER(SI!E4,2))</f>
        <v>1</v>
      </c>
      <c r="G78" s="1" t="s">
        <v>1076</v>
      </c>
      <c r="H78" s="1" t="s">
        <v>42</v>
      </c>
    </row>
    <row r="79" spans="1:8" ht="16.5">
      <c r="A79" t="s">
        <v>3604</v>
      </c>
      <c r="B79" t="s">
        <v>3623</v>
      </c>
      <c r="C79" s="1" t="s">
        <v>76</v>
      </c>
      <c r="D79" s="1" t="s">
        <v>2847</v>
      </c>
      <c r="E79" s="26">
        <f>1000000*F79</f>
        <v>1000000</v>
      </c>
      <c r="F79" s="12">
        <f>SI!E2/(SI!E3*POWER(SI!E4,2))</f>
        <v>1</v>
      </c>
      <c r="G79" s="1" t="s">
        <v>1076</v>
      </c>
      <c r="H79" s="1" t="s">
        <v>42</v>
      </c>
    </row>
    <row r="80" spans="1:8" ht="16.5">
      <c r="A80" t="s">
        <v>3605</v>
      </c>
      <c r="B80" t="s">
        <v>3624</v>
      </c>
      <c r="C80" s="1" t="s">
        <v>76</v>
      </c>
      <c r="D80" s="1" t="s">
        <v>2847</v>
      </c>
      <c r="E80" s="26">
        <f>1000*F80</f>
        <v>1000</v>
      </c>
      <c r="F80" s="12">
        <f>SI!E2/(SI!E3*POWER(SI!E4,2))</f>
        <v>1</v>
      </c>
      <c r="G80" s="1" t="s">
        <v>1076</v>
      </c>
      <c r="H80" s="1" t="s">
        <v>42</v>
      </c>
    </row>
    <row r="81" spans="1:8" ht="16.5">
      <c r="A81" t="s">
        <v>3606</v>
      </c>
      <c r="B81" t="s">
        <v>3625</v>
      </c>
      <c r="C81" s="1" t="s">
        <v>76</v>
      </c>
      <c r="D81" s="1" t="s">
        <v>2847</v>
      </c>
      <c r="E81" s="26">
        <f>100*F81</f>
        <v>100</v>
      </c>
      <c r="F81" s="12">
        <f>SI!E2/(SI!E3*POWER(SI!E4,2))</f>
        <v>1</v>
      </c>
      <c r="G81" s="1" t="s">
        <v>1076</v>
      </c>
      <c r="H81" s="1" t="s">
        <v>42</v>
      </c>
    </row>
    <row r="82" spans="1:8" ht="16.5">
      <c r="A82" t="s">
        <v>3864</v>
      </c>
      <c r="B82" t="s">
        <v>3626</v>
      </c>
      <c r="C82" s="1" t="s">
        <v>76</v>
      </c>
      <c r="D82" s="1" t="s">
        <v>2847</v>
      </c>
      <c r="E82" s="26">
        <f>10*F82</f>
        <v>10</v>
      </c>
      <c r="F82" s="12">
        <f>SI!E2/(SI!E3*POWER(SI!E4,2))</f>
        <v>1</v>
      </c>
      <c r="G82" s="1" t="s">
        <v>1076</v>
      </c>
      <c r="H82" s="1" t="s">
        <v>42</v>
      </c>
    </row>
    <row r="83" spans="1:8" ht="16.5">
      <c r="A83" t="s">
        <v>3607</v>
      </c>
      <c r="B83" t="s">
        <v>3627</v>
      </c>
      <c r="C83" s="1" t="s">
        <v>76</v>
      </c>
      <c r="D83" s="1" t="s">
        <v>2847</v>
      </c>
      <c r="E83" s="26">
        <f>0.1*F83</f>
        <v>0.1</v>
      </c>
      <c r="F83" s="12">
        <f>SI!E2/(SI!E3*POWER(SI!E4,2))</f>
        <v>1</v>
      </c>
      <c r="G83" s="1" t="s">
        <v>1076</v>
      </c>
      <c r="H83" s="1" t="s">
        <v>42</v>
      </c>
    </row>
    <row r="84" spans="1:8" ht="16.5">
      <c r="A84" t="s">
        <v>3608</v>
      </c>
      <c r="B84" t="s">
        <v>3628</v>
      </c>
      <c r="C84" s="1" t="s">
        <v>76</v>
      </c>
      <c r="D84" s="1" t="s">
        <v>2847</v>
      </c>
      <c r="E84" s="26">
        <f>0.01*F84</f>
        <v>0.01</v>
      </c>
      <c r="F84" s="12">
        <f>SI!E2/(SI!E3*POWER(SI!E4,2))</f>
        <v>1</v>
      </c>
      <c r="G84" s="1" t="s">
        <v>1076</v>
      </c>
      <c r="H84" s="1" t="s">
        <v>42</v>
      </c>
    </row>
    <row r="85" spans="1:8" ht="16.5">
      <c r="A85" t="s">
        <v>3609</v>
      </c>
      <c r="B85" t="s">
        <v>3629</v>
      </c>
      <c r="C85" s="1" t="s">
        <v>76</v>
      </c>
      <c r="D85" s="1" t="s">
        <v>2847</v>
      </c>
      <c r="E85" s="26">
        <f>0.001*F85</f>
        <v>1E-3</v>
      </c>
      <c r="F85" s="12">
        <f>SI!E2/(SI!E3*POWER(SI!E4,2))</f>
        <v>1</v>
      </c>
      <c r="G85" s="1" t="s">
        <v>1076</v>
      </c>
      <c r="H85" s="1" t="s">
        <v>42</v>
      </c>
    </row>
    <row r="86" spans="1:8" ht="16.5">
      <c r="A86" t="s">
        <v>3610</v>
      </c>
      <c r="B86" t="s">
        <v>3630</v>
      </c>
      <c r="C86" s="1" t="s">
        <v>76</v>
      </c>
      <c r="D86" s="1" t="s">
        <v>2847</v>
      </c>
      <c r="E86" s="26">
        <f>0.000001*F86</f>
        <v>9.9999999999999995E-7</v>
      </c>
      <c r="F86" s="12">
        <f>SI!E2/(SI!E3*POWER(SI!E4,2))</f>
        <v>1</v>
      </c>
      <c r="G86" s="1" t="s">
        <v>1076</v>
      </c>
      <c r="H86" s="1" t="s">
        <v>42</v>
      </c>
    </row>
    <row r="87" spans="1:8" ht="16.5">
      <c r="A87" t="s">
        <v>3611</v>
      </c>
      <c r="B87" t="s">
        <v>3631</v>
      </c>
      <c r="C87" s="1" t="s">
        <v>76</v>
      </c>
      <c r="D87" s="1" t="s">
        <v>2847</v>
      </c>
      <c r="E87" s="26">
        <f>0.000000001*F87</f>
        <v>1.0000000000000001E-9</v>
      </c>
      <c r="F87" s="12">
        <f>SI!E2/(SI!E3*POWER(SI!E4,2))</f>
        <v>1</v>
      </c>
      <c r="G87" s="1" t="s">
        <v>1076</v>
      </c>
      <c r="H87" s="1" t="s">
        <v>42</v>
      </c>
    </row>
    <row r="88" spans="1:8" ht="16.5">
      <c r="A88" t="s">
        <v>3612</v>
      </c>
      <c r="B88" t="s">
        <v>3632</v>
      </c>
      <c r="C88" s="1" t="s">
        <v>76</v>
      </c>
      <c r="D88" s="1" t="s">
        <v>2847</v>
      </c>
      <c r="E88" s="26">
        <f>0.000000000001*F88</f>
        <v>9.9999999999999998E-13</v>
      </c>
      <c r="F88" s="12">
        <f>SI!E2/(SI!E3*POWER(SI!E4,2))</f>
        <v>1</v>
      </c>
      <c r="G88" s="1" t="s">
        <v>1076</v>
      </c>
      <c r="H88" s="1" t="s">
        <v>42</v>
      </c>
    </row>
    <row r="89" spans="1:8" ht="16.5">
      <c r="A89" t="s">
        <v>3613</v>
      </c>
      <c r="B89" t="s">
        <v>3633</v>
      </c>
      <c r="C89" s="1" t="s">
        <v>76</v>
      </c>
      <c r="D89" s="1" t="s">
        <v>2847</v>
      </c>
      <c r="E89" s="26">
        <f>0.000000000000001*F89</f>
        <v>1.0000000000000001E-15</v>
      </c>
      <c r="F89" s="12">
        <f>SI!E2/(SI!E3*POWER(SI!E4,2))</f>
        <v>1</v>
      </c>
      <c r="G89" s="1" t="s">
        <v>1076</v>
      </c>
      <c r="H89" s="1" t="s">
        <v>42</v>
      </c>
    </row>
    <row r="90" spans="1:8" ht="16.5">
      <c r="A90" t="s">
        <v>3614</v>
      </c>
      <c r="B90" t="s">
        <v>3634</v>
      </c>
      <c r="C90" s="1" t="s">
        <v>76</v>
      </c>
      <c r="D90" s="1" t="s">
        <v>2847</v>
      </c>
      <c r="E90" s="26">
        <f>0.000000000000000001*F90</f>
        <v>1.0000000000000001E-18</v>
      </c>
      <c r="F90" s="12">
        <f>SI!E2/(SI!E3*POWER(SI!E4,2))</f>
        <v>1</v>
      </c>
      <c r="G90" s="1" t="s">
        <v>1076</v>
      </c>
      <c r="H90" s="1" t="s">
        <v>42</v>
      </c>
    </row>
    <row r="91" spans="1:8" ht="16.5">
      <c r="A91" t="s">
        <v>3615</v>
      </c>
      <c r="B91" t="s">
        <v>3635</v>
      </c>
      <c r="C91" s="1" t="s">
        <v>76</v>
      </c>
      <c r="D91" s="1" t="s">
        <v>2847</v>
      </c>
      <c r="E91" s="26">
        <f>1E-21*F91</f>
        <v>9.9999999999999991E-22</v>
      </c>
      <c r="F91" s="12">
        <f>SI!E2/(SI!E3*POWER(SI!E4,2))</f>
        <v>1</v>
      </c>
      <c r="G91" s="1" t="s">
        <v>1076</v>
      </c>
      <c r="H91" s="1" t="s">
        <v>42</v>
      </c>
    </row>
    <row r="92" spans="1:8" ht="16.5">
      <c r="A92" t="s">
        <v>3616</v>
      </c>
      <c r="B92" t="s">
        <v>3636</v>
      </c>
      <c r="C92" s="1" t="s">
        <v>76</v>
      </c>
      <c r="D92" s="1" t="s">
        <v>2847</v>
      </c>
      <c r="E92" s="26">
        <f>1E-24*F92</f>
        <v>9.9999999999999992E-25</v>
      </c>
      <c r="F92" s="12">
        <f>SI!E2/(SI!E3*POWER(SI!E4,2))</f>
        <v>1</v>
      </c>
      <c r="G92" s="1" t="s">
        <v>1076</v>
      </c>
      <c r="H92" s="1" t="s">
        <v>42</v>
      </c>
    </row>
    <row r="93" spans="1:8">
      <c r="A93" s="248"/>
      <c r="B93" s="248"/>
      <c r="C93" s="248"/>
      <c r="D93" s="248"/>
      <c r="E93" s="250"/>
      <c r="F93" s="250"/>
      <c r="G93" s="248"/>
      <c r="H93" s="248"/>
    </row>
  </sheetData>
  <sortState xmlns:xlrd2="http://schemas.microsoft.com/office/spreadsheetml/2017/richdata2" ref="A2:H72">
    <sortCondition ref="A2:A72"/>
  </sortState>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52E72-5685-47BD-A369-1ECCF16A81E9}">
  <sheetPr codeName="Sheet27"/>
  <dimension ref="A1:H75"/>
  <sheetViews>
    <sheetView topLeftCell="A49" workbookViewId="0">
      <selection activeCell="A8" sqref="A8"/>
    </sheetView>
  </sheetViews>
  <sheetFormatPr defaultRowHeight="14.4"/>
  <cols>
    <col min="1" max="1" width="24.3671875" customWidth="1"/>
    <col min="2" max="2" width="15.3125" customWidth="1"/>
    <col min="3" max="3" width="22.3125" customWidth="1"/>
    <col min="4" max="4" width="21" customWidth="1"/>
    <col min="5" max="5" width="22.3125" customWidth="1"/>
    <col min="6" max="6" width="19.62890625" customWidth="1"/>
    <col min="7" max="7" width="18.3125" customWidth="1"/>
  </cols>
  <sheetData>
    <row r="1" spans="1:8">
      <c r="A1" s="2" t="s">
        <v>11</v>
      </c>
      <c r="B1" s="2" t="s">
        <v>1</v>
      </c>
      <c r="C1" s="2" t="s">
        <v>2</v>
      </c>
      <c r="D1" s="2" t="s">
        <v>3</v>
      </c>
      <c r="E1" s="2" t="s">
        <v>4</v>
      </c>
      <c r="F1" s="128" t="s">
        <v>937</v>
      </c>
      <c r="G1" s="2" t="s">
        <v>0</v>
      </c>
      <c r="H1" s="2" t="s">
        <v>5</v>
      </c>
    </row>
    <row r="2" spans="1:8" ht="28.8">
      <c r="A2" s="1" t="s">
        <v>6403</v>
      </c>
      <c r="B2" s="1" t="s">
        <v>575</v>
      </c>
      <c r="C2" s="1" t="s">
        <v>4233</v>
      </c>
      <c r="D2" s="1" t="s">
        <v>2876</v>
      </c>
      <c r="E2" s="12">
        <f>F2</f>
        <v>10000</v>
      </c>
      <c r="F2" s="12">
        <f>1/(POWER('Physical Definitions'!E22*SI!E3,2)*SI!E4*SI!E11)</f>
        <v>10000</v>
      </c>
      <c r="G2" s="1" t="s">
        <v>1139</v>
      </c>
      <c r="H2" s="1" t="s">
        <v>982</v>
      </c>
    </row>
    <row r="3" spans="1:8" ht="28.8">
      <c r="A3" s="1" t="s">
        <v>358</v>
      </c>
      <c r="B3" s="1" t="s">
        <v>341</v>
      </c>
      <c r="C3" s="1" t="s">
        <v>4233</v>
      </c>
      <c r="D3" s="1" t="s">
        <v>2876</v>
      </c>
      <c r="E3" s="12">
        <f>10000000000*F3/(4*PI())</f>
        <v>795774715.45947671</v>
      </c>
      <c r="F3" s="12">
        <f>1/(POWER(SI!E3,2)*SI!E11*SI!E4)</f>
        <v>1</v>
      </c>
      <c r="G3" s="1" t="s">
        <v>1139</v>
      </c>
      <c r="H3" s="1" t="s">
        <v>982</v>
      </c>
    </row>
    <row r="4" spans="1:8">
      <c r="A4" s="248"/>
      <c r="B4" s="248"/>
      <c r="C4" s="248"/>
      <c r="D4" s="248"/>
      <c r="E4" s="250"/>
      <c r="F4" s="250"/>
      <c r="G4" s="248"/>
      <c r="H4" s="248"/>
    </row>
    <row r="5" spans="1:8" ht="28.8">
      <c r="A5" s="1" t="s">
        <v>7477</v>
      </c>
      <c r="B5" s="1" t="s">
        <v>6404</v>
      </c>
      <c r="C5" s="1" t="s">
        <v>4229</v>
      </c>
      <c r="D5" s="1" t="s">
        <v>2844</v>
      </c>
      <c r="E5" s="12">
        <f>F5</f>
        <v>2326</v>
      </c>
      <c r="F5" s="12">
        <f>('Physical Definitions'!E15/Systems!L6)*POWER(SI!E3/SI!E4,2)</f>
        <v>2326</v>
      </c>
      <c r="G5" s="1" t="s">
        <v>1111</v>
      </c>
      <c r="H5" s="1" t="s">
        <v>46</v>
      </c>
    </row>
    <row r="6" spans="1:8" ht="28.8">
      <c r="A6" s="1" t="s">
        <v>7478</v>
      </c>
      <c r="B6" s="1" t="s">
        <v>6405</v>
      </c>
      <c r="C6" s="1" t="s">
        <v>4229</v>
      </c>
      <c r="D6" s="1" t="s">
        <v>2844</v>
      </c>
      <c r="E6" s="12">
        <f>F6</f>
        <v>2324.4444444444443</v>
      </c>
      <c r="F6" s="12">
        <f>(5*1000*Systems!L6*'Physical Definitions'!E16/(9*Systems!L6))*POWER(SI!E3/SI!E4,2)</f>
        <v>2324.4444444444443</v>
      </c>
      <c r="G6" s="1" t="s">
        <v>1111</v>
      </c>
      <c r="H6" s="1" t="s">
        <v>46</v>
      </c>
    </row>
    <row r="7" spans="1:8" ht="16.5">
      <c r="A7" s="1" t="s">
        <v>6020</v>
      </c>
      <c r="B7" s="1" t="s">
        <v>6012</v>
      </c>
      <c r="C7" s="1" t="s">
        <v>4229</v>
      </c>
      <c r="D7" s="1" t="s">
        <v>2844</v>
      </c>
      <c r="E7" s="12">
        <f>F7</f>
        <v>4186.8</v>
      </c>
      <c r="F7" s="12">
        <f>'Physical Definitions'!E18*POWER(SI!E3/SI!E4,2)/'Physical Definitions'!E26</f>
        <v>4186.8</v>
      </c>
      <c r="G7" s="1" t="s">
        <v>1113</v>
      </c>
      <c r="H7" s="1" t="s">
        <v>58</v>
      </c>
    </row>
    <row r="8" spans="1:8" ht="16.5">
      <c r="A8" s="1" t="s">
        <v>228</v>
      </c>
      <c r="B8" s="1" t="s">
        <v>26</v>
      </c>
      <c r="C8" s="1" t="s">
        <v>4229</v>
      </c>
      <c r="D8" s="1" t="s">
        <v>2844</v>
      </c>
      <c r="E8" s="12">
        <f>0.01*F8</f>
        <v>0.01</v>
      </c>
      <c r="F8" s="12">
        <f>POWER(SI!E3/SI!E4,2)</f>
        <v>1</v>
      </c>
      <c r="G8" s="1" t="s">
        <v>1111</v>
      </c>
      <c r="H8" s="1" t="s">
        <v>982</v>
      </c>
    </row>
    <row r="9" spans="1:8" ht="16.5">
      <c r="A9" s="1" t="s">
        <v>229</v>
      </c>
      <c r="B9" s="1" t="s">
        <v>230</v>
      </c>
      <c r="C9" s="1" t="s">
        <v>4229</v>
      </c>
      <c r="D9" s="1" t="s">
        <v>2844</v>
      </c>
      <c r="E9" s="12">
        <f>F9</f>
        <v>1</v>
      </c>
      <c r="F9" s="12">
        <f>POWER(SI!E3/SI!E4,2)</f>
        <v>1</v>
      </c>
      <c r="G9" s="1" t="s">
        <v>1111</v>
      </c>
      <c r="H9" s="1" t="s">
        <v>42</v>
      </c>
    </row>
    <row r="10" spans="1:8" ht="16.5">
      <c r="A10" s="1" t="s">
        <v>261</v>
      </c>
      <c r="B10" s="1" t="s">
        <v>26</v>
      </c>
      <c r="C10" s="1" t="s">
        <v>4229</v>
      </c>
      <c r="D10" s="1" t="s">
        <v>2844</v>
      </c>
      <c r="E10" s="12">
        <f>F10</f>
        <v>1</v>
      </c>
      <c r="F10" s="12">
        <f>POWER(SI!E3/SI!E4,2)</f>
        <v>1</v>
      </c>
      <c r="G10" s="1" t="s">
        <v>1111</v>
      </c>
      <c r="H10" s="1" t="s">
        <v>982</v>
      </c>
    </row>
    <row r="11" spans="1:8" ht="16.5">
      <c r="A11" s="1" t="s">
        <v>6406</v>
      </c>
      <c r="B11" s="1" t="s">
        <v>26</v>
      </c>
      <c r="C11" s="1" t="s">
        <v>4229</v>
      </c>
      <c r="D11" s="1" t="s">
        <v>2844</v>
      </c>
      <c r="E11" s="12">
        <f>40*F11</f>
        <v>40</v>
      </c>
      <c r="F11" s="12">
        <f>POWER(SI!E3/SI!E4,2)</f>
        <v>1</v>
      </c>
      <c r="G11" s="1" t="s">
        <v>1111</v>
      </c>
      <c r="H11" s="1" t="s">
        <v>982</v>
      </c>
    </row>
    <row r="12" spans="1:8" ht="16.5">
      <c r="A12" s="1" t="s">
        <v>133</v>
      </c>
      <c r="B12" s="1" t="s">
        <v>322</v>
      </c>
      <c r="C12" s="1" t="s">
        <v>4229</v>
      </c>
      <c r="D12" s="1" t="s">
        <v>2844</v>
      </c>
      <c r="E12" s="12">
        <f>0.01*F12</f>
        <v>0.01</v>
      </c>
      <c r="F12" s="12">
        <f>POWER(SI!E3/SI!E4,2)</f>
        <v>1</v>
      </c>
      <c r="G12" s="1" t="s">
        <v>1111</v>
      </c>
      <c r="H12" s="1" t="s">
        <v>982</v>
      </c>
    </row>
    <row r="13" spans="1:8" ht="16.5">
      <c r="A13" s="1" t="s">
        <v>6407</v>
      </c>
      <c r="B13" s="1" t="s">
        <v>364</v>
      </c>
      <c r="C13" s="1" t="s">
        <v>4229</v>
      </c>
      <c r="D13" s="1" t="s">
        <v>2844</v>
      </c>
      <c r="E13" s="12">
        <f>0.01*F13</f>
        <v>0.01</v>
      </c>
      <c r="F13" s="12">
        <f>POWER(SI!E3/SI!E4,2)</f>
        <v>1</v>
      </c>
      <c r="G13" s="1" t="s">
        <v>1111</v>
      </c>
      <c r="H13" s="1" t="s">
        <v>982</v>
      </c>
    </row>
    <row r="14" spans="1:8" ht="16.5">
      <c r="A14" s="1" t="s">
        <v>6408</v>
      </c>
      <c r="B14" s="1" t="s">
        <v>26</v>
      </c>
      <c r="C14" s="1" t="s">
        <v>4229</v>
      </c>
      <c r="D14" s="1" t="s">
        <v>2844</v>
      </c>
      <c r="E14" s="12">
        <f>0.01*F14</f>
        <v>0.01</v>
      </c>
      <c r="F14" s="12">
        <f>POWER(SI!E3/SI!E4,2)</f>
        <v>1</v>
      </c>
      <c r="G14" s="1" t="s">
        <v>1111</v>
      </c>
      <c r="H14" s="1" t="s">
        <v>982</v>
      </c>
    </row>
    <row r="15" spans="1:8" ht="16.5">
      <c r="A15" s="1" t="s">
        <v>362</v>
      </c>
      <c r="B15" s="1" t="s">
        <v>26</v>
      </c>
      <c r="C15" s="1" t="s">
        <v>4229</v>
      </c>
      <c r="D15" s="1" t="s">
        <v>2844</v>
      </c>
      <c r="E15" s="12">
        <f>0.01*F15</f>
        <v>0.01</v>
      </c>
      <c r="F15" s="12">
        <f>POWER(SI!E3/SI!E4,2)</f>
        <v>1</v>
      </c>
      <c r="G15" s="1" t="s">
        <v>1111</v>
      </c>
      <c r="H15" s="1" t="s">
        <v>982</v>
      </c>
    </row>
    <row r="16" spans="1:8" ht="16.5">
      <c r="A16" s="1" t="s">
        <v>381</v>
      </c>
      <c r="B16" s="1" t="s">
        <v>384</v>
      </c>
      <c r="C16" s="1" t="s">
        <v>4229</v>
      </c>
      <c r="D16" s="1" t="s">
        <v>2844</v>
      </c>
      <c r="E16" s="12">
        <f>F16</f>
        <v>1</v>
      </c>
      <c r="F16" s="12">
        <f>POWER(SI!E3/SI!E4,2)</f>
        <v>1</v>
      </c>
      <c r="G16" s="1" t="s">
        <v>1111</v>
      </c>
      <c r="H16" s="1" t="s">
        <v>42</v>
      </c>
    </row>
    <row r="17" spans="1:8" ht="16.5">
      <c r="A17" t="s">
        <v>3288</v>
      </c>
      <c r="B17" t="s">
        <v>3308</v>
      </c>
      <c r="C17" s="1" t="s">
        <v>4229</v>
      </c>
      <c r="D17" s="1" t="s">
        <v>2844</v>
      </c>
      <c r="E17" s="26">
        <f>1E+24*F17</f>
        <v>9.9999999999999998E+23</v>
      </c>
      <c r="F17" s="12">
        <f>POWER(SI!E3/SI!E4,2)</f>
        <v>1</v>
      </c>
      <c r="G17" s="1" t="s">
        <v>1111</v>
      </c>
      <c r="H17" s="1" t="s">
        <v>42</v>
      </c>
    </row>
    <row r="18" spans="1:8" ht="16.5">
      <c r="A18" t="s">
        <v>3289</v>
      </c>
      <c r="B18" t="s">
        <v>3361</v>
      </c>
      <c r="C18" s="1" t="s">
        <v>4229</v>
      </c>
      <c r="D18" s="1" t="s">
        <v>2844</v>
      </c>
      <c r="E18" s="26">
        <f>1E+21*F18</f>
        <v>1E+21</v>
      </c>
      <c r="F18" s="12">
        <f>POWER(SI!E3/SI!E4,2)</f>
        <v>1</v>
      </c>
      <c r="G18" s="1" t="s">
        <v>1111</v>
      </c>
      <c r="H18" s="1" t="s">
        <v>42</v>
      </c>
    </row>
    <row r="19" spans="1:8" ht="16.5">
      <c r="A19" t="s">
        <v>3290</v>
      </c>
      <c r="B19" t="s">
        <v>3362</v>
      </c>
      <c r="C19" s="1" t="s">
        <v>4229</v>
      </c>
      <c r="D19" s="1" t="s">
        <v>2844</v>
      </c>
      <c r="E19" s="26">
        <f>1000000000000000000*F19</f>
        <v>1E+18</v>
      </c>
      <c r="F19" s="12">
        <f>POWER(SI!E3/SI!E4,2)</f>
        <v>1</v>
      </c>
      <c r="G19" s="1" t="s">
        <v>1111</v>
      </c>
      <c r="H19" s="1" t="s">
        <v>42</v>
      </c>
    </row>
    <row r="20" spans="1:8" ht="16.5">
      <c r="A20" t="s">
        <v>3291</v>
      </c>
      <c r="B20" t="s">
        <v>3363</v>
      </c>
      <c r="C20" s="1" t="s">
        <v>4229</v>
      </c>
      <c r="D20" s="1" t="s">
        <v>2844</v>
      </c>
      <c r="E20" s="26">
        <f>1000000000000000*F20</f>
        <v>1000000000000000</v>
      </c>
      <c r="F20" s="12">
        <f>POWER(SI!E3/SI!E4,2)</f>
        <v>1</v>
      </c>
      <c r="G20" s="1" t="s">
        <v>1111</v>
      </c>
      <c r="H20" s="1" t="s">
        <v>42</v>
      </c>
    </row>
    <row r="21" spans="1:8" ht="16.5">
      <c r="A21" t="s">
        <v>3292</v>
      </c>
      <c r="B21" t="s">
        <v>3364</v>
      </c>
      <c r="C21" s="1" t="s">
        <v>4229</v>
      </c>
      <c r="D21" s="1" t="s">
        <v>2844</v>
      </c>
      <c r="E21" s="26">
        <f>1000000000000*F21</f>
        <v>1000000000000</v>
      </c>
      <c r="F21" s="12">
        <f>POWER(SI!E3/SI!E4,2)</f>
        <v>1</v>
      </c>
      <c r="G21" s="1" t="s">
        <v>1111</v>
      </c>
      <c r="H21" s="1" t="s">
        <v>42</v>
      </c>
    </row>
    <row r="22" spans="1:8" ht="16.5">
      <c r="A22" t="s">
        <v>3293</v>
      </c>
      <c r="B22" t="s">
        <v>3365</v>
      </c>
      <c r="C22" s="1" t="s">
        <v>4229</v>
      </c>
      <c r="D22" s="1" t="s">
        <v>2844</v>
      </c>
      <c r="E22" s="26">
        <f>1000000000*F22</f>
        <v>1000000000</v>
      </c>
      <c r="F22" s="12">
        <f>POWER(SI!E3/SI!E4,2)</f>
        <v>1</v>
      </c>
      <c r="G22" s="1" t="s">
        <v>1111</v>
      </c>
      <c r="H22" s="1" t="s">
        <v>42</v>
      </c>
    </row>
    <row r="23" spans="1:8" ht="16.5">
      <c r="A23" t="s">
        <v>3294</v>
      </c>
      <c r="B23" t="s">
        <v>3366</v>
      </c>
      <c r="C23" s="1" t="s">
        <v>4229</v>
      </c>
      <c r="D23" s="1" t="s">
        <v>2844</v>
      </c>
      <c r="E23" s="26">
        <f>1000000*F23</f>
        <v>1000000</v>
      </c>
      <c r="F23" s="12">
        <f>POWER(SI!E3/SI!E4,2)</f>
        <v>1</v>
      </c>
      <c r="G23" s="1" t="s">
        <v>1111</v>
      </c>
      <c r="H23" s="1" t="s">
        <v>42</v>
      </c>
    </row>
    <row r="24" spans="1:8" ht="16.5">
      <c r="A24" t="s">
        <v>3295</v>
      </c>
      <c r="B24" t="s">
        <v>3309</v>
      </c>
      <c r="C24" s="1" t="s">
        <v>4229</v>
      </c>
      <c r="D24" s="1" t="s">
        <v>2844</v>
      </c>
      <c r="E24" s="26">
        <f>1000*F24</f>
        <v>1000</v>
      </c>
      <c r="F24" s="12">
        <f>POWER(SI!E3/SI!E4,2)</f>
        <v>1</v>
      </c>
      <c r="G24" s="1" t="s">
        <v>1111</v>
      </c>
      <c r="H24" s="1" t="s">
        <v>42</v>
      </c>
    </row>
    <row r="25" spans="1:8" ht="16.5">
      <c r="A25" t="s">
        <v>3296</v>
      </c>
      <c r="B25" t="s">
        <v>3310</v>
      </c>
      <c r="C25" s="1" t="s">
        <v>4229</v>
      </c>
      <c r="D25" s="1" t="s">
        <v>2844</v>
      </c>
      <c r="E25" s="26">
        <f>100*F25</f>
        <v>100</v>
      </c>
      <c r="F25" s="12">
        <f>POWER(SI!E3/SI!E4,2)</f>
        <v>1</v>
      </c>
      <c r="G25" s="1" t="s">
        <v>1111</v>
      </c>
      <c r="H25" s="1" t="s">
        <v>42</v>
      </c>
    </row>
    <row r="26" spans="1:8" ht="16.5">
      <c r="A26" t="s">
        <v>3297</v>
      </c>
      <c r="B26" t="s">
        <v>3311</v>
      </c>
      <c r="C26" s="1" t="s">
        <v>4229</v>
      </c>
      <c r="D26" s="1" t="s">
        <v>2844</v>
      </c>
      <c r="E26" s="26">
        <f>10*F26</f>
        <v>10</v>
      </c>
      <c r="F26" s="12">
        <f>POWER(SI!E3/SI!E4,2)</f>
        <v>1</v>
      </c>
      <c r="G26" s="1" t="s">
        <v>1111</v>
      </c>
      <c r="H26" s="1" t="s">
        <v>42</v>
      </c>
    </row>
    <row r="27" spans="1:8" ht="16.5">
      <c r="A27" t="s">
        <v>3298</v>
      </c>
      <c r="B27" t="s">
        <v>3312</v>
      </c>
      <c r="C27" s="1" t="s">
        <v>4229</v>
      </c>
      <c r="D27" s="1" t="s">
        <v>2844</v>
      </c>
      <c r="E27" s="26">
        <f>0.1*F27</f>
        <v>0.1</v>
      </c>
      <c r="F27" s="12">
        <f>POWER(SI!E3/SI!E4,2)</f>
        <v>1</v>
      </c>
      <c r="G27" s="1" t="s">
        <v>1111</v>
      </c>
      <c r="H27" s="1" t="s">
        <v>42</v>
      </c>
    </row>
    <row r="28" spans="1:8" ht="16.5">
      <c r="A28" t="s">
        <v>3299</v>
      </c>
      <c r="B28" t="s">
        <v>3313</v>
      </c>
      <c r="C28" s="1" t="s">
        <v>4229</v>
      </c>
      <c r="D28" s="1" t="s">
        <v>2844</v>
      </c>
      <c r="E28" s="26">
        <f>0.01*F28</f>
        <v>0.01</v>
      </c>
      <c r="F28" s="12">
        <f>POWER(SI!E3/SI!E4,2)</f>
        <v>1</v>
      </c>
      <c r="G28" s="1" t="s">
        <v>1111</v>
      </c>
      <c r="H28" s="1" t="s">
        <v>42</v>
      </c>
    </row>
    <row r="29" spans="1:8" ht="16.5">
      <c r="A29" t="s">
        <v>3300</v>
      </c>
      <c r="B29" t="s">
        <v>3314</v>
      </c>
      <c r="C29" s="1" t="s">
        <v>4229</v>
      </c>
      <c r="D29" s="1" t="s">
        <v>2844</v>
      </c>
      <c r="E29" s="26">
        <f>0.001*F29</f>
        <v>1E-3</v>
      </c>
      <c r="F29" s="12">
        <f>POWER(SI!E3/SI!E4,2)</f>
        <v>1</v>
      </c>
      <c r="G29" s="1" t="s">
        <v>1111</v>
      </c>
      <c r="H29" s="1" t="s">
        <v>42</v>
      </c>
    </row>
    <row r="30" spans="1:8" ht="16.5">
      <c r="A30" t="s">
        <v>3301</v>
      </c>
      <c r="B30" t="s">
        <v>3315</v>
      </c>
      <c r="C30" s="1" t="s">
        <v>4229</v>
      </c>
      <c r="D30" s="1" t="s">
        <v>2844</v>
      </c>
      <c r="E30" s="26">
        <f>0.000001*F30</f>
        <v>9.9999999999999995E-7</v>
      </c>
      <c r="F30" s="12">
        <f>POWER(SI!E3/SI!E4,2)</f>
        <v>1</v>
      </c>
      <c r="G30" s="1" t="s">
        <v>1111</v>
      </c>
      <c r="H30" s="1" t="s">
        <v>42</v>
      </c>
    </row>
    <row r="31" spans="1:8" ht="16.5">
      <c r="A31" t="s">
        <v>3302</v>
      </c>
      <c r="B31" t="s">
        <v>3316</v>
      </c>
      <c r="C31" s="1" t="s">
        <v>4229</v>
      </c>
      <c r="D31" s="1" t="s">
        <v>2844</v>
      </c>
      <c r="E31" s="26">
        <f>0.000000001*F31</f>
        <v>1.0000000000000001E-9</v>
      </c>
      <c r="F31" s="12">
        <f>POWER(SI!E3/SI!E4,2)</f>
        <v>1</v>
      </c>
      <c r="G31" s="1" t="s">
        <v>1111</v>
      </c>
      <c r="H31" s="1" t="s">
        <v>42</v>
      </c>
    </row>
    <row r="32" spans="1:8" ht="16.5">
      <c r="A32" t="s">
        <v>3303</v>
      </c>
      <c r="B32" t="s">
        <v>3317</v>
      </c>
      <c r="C32" s="1" t="s">
        <v>4229</v>
      </c>
      <c r="D32" s="1" t="s">
        <v>2844</v>
      </c>
      <c r="E32" s="26">
        <f>0.000000000001*F32</f>
        <v>9.9999999999999998E-13</v>
      </c>
      <c r="F32" s="12">
        <f>POWER(SI!E3/SI!E4,2)</f>
        <v>1</v>
      </c>
      <c r="G32" s="1" t="s">
        <v>1111</v>
      </c>
      <c r="H32" s="1" t="s">
        <v>42</v>
      </c>
    </row>
    <row r="33" spans="1:8" ht="16.5">
      <c r="A33" t="s">
        <v>3304</v>
      </c>
      <c r="B33" t="s">
        <v>3318</v>
      </c>
      <c r="C33" s="1" t="s">
        <v>4229</v>
      </c>
      <c r="D33" s="1" t="s">
        <v>2844</v>
      </c>
      <c r="E33" s="26">
        <f>0.000000000000001*F33</f>
        <v>1.0000000000000001E-15</v>
      </c>
      <c r="F33" s="12">
        <f>POWER(SI!E3/SI!E4,2)</f>
        <v>1</v>
      </c>
      <c r="G33" s="1" t="s">
        <v>1111</v>
      </c>
      <c r="H33" s="1" t="s">
        <v>42</v>
      </c>
    </row>
    <row r="34" spans="1:8" ht="16.5">
      <c r="A34" t="s">
        <v>3305</v>
      </c>
      <c r="B34" t="s">
        <v>3319</v>
      </c>
      <c r="C34" s="1" t="s">
        <v>4229</v>
      </c>
      <c r="D34" s="1" t="s">
        <v>2844</v>
      </c>
      <c r="E34" s="26">
        <f>0.000000000000000001*F34</f>
        <v>1.0000000000000001E-18</v>
      </c>
      <c r="F34" s="12">
        <f>POWER(SI!E3/SI!E4,2)</f>
        <v>1</v>
      </c>
      <c r="G34" s="1" t="s">
        <v>1111</v>
      </c>
      <c r="H34" s="1" t="s">
        <v>42</v>
      </c>
    </row>
    <row r="35" spans="1:8" ht="16.5">
      <c r="A35" t="s">
        <v>3306</v>
      </c>
      <c r="B35" t="s">
        <v>3320</v>
      </c>
      <c r="C35" s="1" t="s">
        <v>4229</v>
      </c>
      <c r="D35" s="1" t="s">
        <v>2844</v>
      </c>
      <c r="E35" s="26">
        <f>1E-21*F35</f>
        <v>9.9999999999999991E-22</v>
      </c>
      <c r="F35" s="12">
        <f>POWER(SI!E3/SI!E4,2)</f>
        <v>1</v>
      </c>
      <c r="G35" s="1" t="s">
        <v>1111</v>
      </c>
      <c r="H35" s="1" t="s">
        <v>42</v>
      </c>
    </row>
    <row r="36" spans="1:8" ht="16.5">
      <c r="A36" t="s">
        <v>3307</v>
      </c>
      <c r="B36" t="s">
        <v>3321</v>
      </c>
      <c r="C36" s="1" t="s">
        <v>4229</v>
      </c>
      <c r="D36" s="1" t="s">
        <v>2844</v>
      </c>
      <c r="E36" s="26">
        <f>1E-24*F36</f>
        <v>9.9999999999999992E-25</v>
      </c>
      <c r="F36" s="12">
        <f>POWER(SI!E3/SI!E4,2)</f>
        <v>1</v>
      </c>
      <c r="G36" s="1" t="s">
        <v>1111</v>
      </c>
      <c r="H36" s="1" t="s">
        <v>42</v>
      </c>
    </row>
    <row r="37" spans="1:8" ht="16.5">
      <c r="A37" t="s">
        <v>4312</v>
      </c>
      <c r="B37" t="s">
        <v>3341</v>
      </c>
      <c r="C37" s="1" t="s">
        <v>4229</v>
      </c>
      <c r="D37" s="1" t="s">
        <v>2844</v>
      </c>
      <c r="E37" s="26">
        <f>1E+24*F37</f>
        <v>9.9999999999999998E+23</v>
      </c>
      <c r="F37" s="12">
        <f>POWER(SI!E3/SI!E4,2)</f>
        <v>1</v>
      </c>
      <c r="G37" s="1" t="s">
        <v>1111</v>
      </c>
      <c r="H37" s="1" t="s">
        <v>42</v>
      </c>
    </row>
    <row r="38" spans="1:8" ht="16.5">
      <c r="A38" t="s">
        <v>3322</v>
      </c>
      <c r="B38" t="s">
        <v>3343</v>
      </c>
      <c r="C38" s="1" t="s">
        <v>4229</v>
      </c>
      <c r="D38" s="1" t="s">
        <v>2844</v>
      </c>
      <c r="E38" s="26">
        <f>1E+21*F38</f>
        <v>1E+21</v>
      </c>
      <c r="F38" s="12">
        <f>POWER(SI!E3/SI!E4,2)</f>
        <v>1</v>
      </c>
      <c r="G38" s="1" t="s">
        <v>1111</v>
      </c>
      <c r="H38" s="1" t="s">
        <v>42</v>
      </c>
    </row>
    <row r="39" spans="1:8" ht="16.5">
      <c r="A39" t="s">
        <v>3323</v>
      </c>
      <c r="B39" t="s">
        <v>3345</v>
      </c>
      <c r="C39" s="1" t="s">
        <v>4229</v>
      </c>
      <c r="D39" s="1" t="s">
        <v>2844</v>
      </c>
      <c r="E39" s="26">
        <f>1000000000000000000*F39</f>
        <v>1E+18</v>
      </c>
      <c r="F39" s="12">
        <f>POWER(SI!E3/SI!E4,2)</f>
        <v>1</v>
      </c>
      <c r="G39" s="1" t="s">
        <v>1111</v>
      </c>
      <c r="H39" s="1" t="s">
        <v>42</v>
      </c>
    </row>
    <row r="40" spans="1:8" ht="16.5">
      <c r="A40" t="s">
        <v>3324</v>
      </c>
      <c r="B40" t="s">
        <v>3344</v>
      </c>
      <c r="C40" s="1" t="s">
        <v>4229</v>
      </c>
      <c r="D40" s="1" t="s">
        <v>2844</v>
      </c>
      <c r="E40" s="26">
        <f>1000000000000000*F40</f>
        <v>1000000000000000</v>
      </c>
      <c r="F40" s="12">
        <f>POWER(SI!E3/SI!E4,2)</f>
        <v>1</v>
      </c>
      <c r="G40" s="1" t="s">
        <v>1111</v>
      </c>
      <c r="H40" s="1" t="s">
        <v>42</v>
      </c>
    </row>
    <row r="41" spans="1:8" ht="16.5">
      <c r="A41" t="s">
        <v>3325</v>
      </c>
      <c r="B41" t="s">
        <v>3346</v>
      </c>
      <c r="C41" s="1" t="s">
        <v>4229</v>
      </c>
      <c r="D41" s="1" t="s">
        <v>2844</v>
      </c>
      <c r="E41" s="26">
        <f>1000000000000*F41</f>
        <v>1000000000000</v>
      </c>
      <c r="F41" s="12">
        <f>POWER(SI!E3/SI!E4,2)</f>
        <v>1</v>
      </c>
      <c r="G41" s="1" t="s">
        <v>1111</v>
      </c>
      <c r="H41" s="1" t="s">
        <v>42</v>
      </c>
    </row>
    <row r="42" spans="1:8" ht="16.5">
      <c r="A42" t="s">
        <v>3326</v>
      </c>
      <c r="B42" t="s">
        <v>3347</v>
      </c>
      <c r="C42" s="1" t="s">
        <v>4229</v>
      </c>
      <c r="D42" s="1" t="s">
        <v>2844</v>
      </c>
      <c r="E42" s="26">
        <f>1000000000*F42</f>
        <v>1000000000</v>
      </c>
      <c r="F42" s="12">
        <f>POWER(SI!E3/SI!E4,2)</f>
        <v>1</v>
      </c>
      <c r="G42" s="1" t="s">
        <v>1111</v>
      </c>
      <c r="H42" s="1" t="s">
        <v>42</v>
      </c>
    </row>
    <row r="43" spans="1:8" ht="16.5">
      <c r="A43" t="s">
        <v>3327</v>
      </c>
      <c r="B43" t="s">
        <v>3342</v>
      </c>
      <c r="C43" s="1" t="s">
        <v>4229</v>
      </c>
      <c r="D43" s="1" t="s">
        <v>2844</v>
      </c>
      <c r="E43" s="26">
        <f>1000000*F43</f>
        <v>1000000</v>
      </c>
      <c r="F43" s="12">
        <f>POWER(SI!E3/SI!E4,2)</f>
        <v>1</v>
      </c>
      <c r="G43" s="1" t="s">
        <v>1111</v>
      </c>
      <c r="H43" s="1" t="s">
        <v>42</v>
      </c>
    </row>
    <row r="44" spans="1:8" ht="16.5">
      <c r="A44" t="s">
        <v>3328</v>
      </c>
      <c r="B44" t="s">
        <v>3348</v>
      </c>
      <c r="C44" s="1" t="s">
        <v>4229</v>
      </c>
      <c r="D44" s="1" t="s">
        <v>2844</v>
      </c>
      <c r="E44" s="26">
        <f>1000*F44</f>
        <v>1000</v>
      </c>
      <c r="F44" s="12">
        <f>POWER(SI!E3/SI!E4,2)</f>
        <v>1</v>
      </c>
      <c r="G44" s="1" t="s">
        <v>1111</v>
      </c>
      <c r="H44" s="1" t="s">
        <v>42</v>
      </c>
    </row>
    <row r="45" spans="1:8" ht="16.5">
      <c r="A45" t="s">
        <v>3329</v>
      </c>
      <c r="B45" t="s">
        <v>3349</v>
      </c>
      <c r="C45" s="1" t="s">
        <v>4229</v>
      </c>
      <c r="D45" s="1" t="s">
        <v>2844</v>
      </c>
      <c r="E45" s="26">
        <f>100*F45</f>
        <v>100</v>
      </c>
      <c r="F45" s="12">
        <f>POWER(SI!E3/SI!E4,2)</f>
        <v>1</v>
      </c>
      <c r="G45" s="1" t="s">
        <v>1111</v>
      </c>
      <c r="H45" s="1" t="s">
        <v>42</v>
      </c>
    </row>
    <row r="46" spans="1:8" ht="16.5">
      <c r="A46" t="s">
        <v>3330</v>
      </c>
      <c r="B46" t="s">
        <v>3350</v>
      </c>
      <c r="C46" s="1" t="s">
        <v>4229</v>
      </c>
      <c r="D46" s="1" t="s">
        <v>2844</v>
      </c>
      <c r="E46" s="26">
        <f>10*F46</f>
        <v>10</v>
      </c>
      <c r="F46" s="12">
        <f>POWER(SI!E3/SI!E4,2)</f>
        <v>1</v>
      </c>
      <c r="G46" s="1" t="s">
        <v>1111</v>
      </c>
      <c r="H46" s="1" t="s">
        <v>42</v>
      </c>
    </row>
    <row r="47" spans="1:8" ht="16.5">
      <c r="A47" t="s">
        <v>3331</v>
      </c>
      <c r="B47" t="s">
        <v>3351</v>
      </c>
      <c r="C47" s="1" t="s">
        <v>4229</v>
      </c>
      <c r="D47" s="1" t="s">
        <v>2844</v>
      </c>
      <c r="E47" s="26">
        <f>0.1*F47</f>
        <v>0.1</v>
      </c>
      <c r="F47" s="12">
        <f>POWER(SI!E3/SI!E4,2)</f>
        <v>1</v>
      </c>
      <c r="G47" s="1" t="s">
        <v>1111</v>
      </c>
      <c r="H47" s="1" t="s">
        <v>42</v>
      </c>
    </row>
    <row r="48" spans="1:8" ht="16.5">
      <c r="A48" t="s">
        <v>3332</v>
      </c>
      <c r="B48" t="s">
        <v>3352</v>
      </c>
      <c r="C48" s="1" t="s">
        <v>4229</v>
      </c>
      <c r="D48" s="1" t="s">
        <v>2844</v>
      </c>
      <c r="E48" s="26">
        <f>0.01*F48</f>
        <v>0.01</v>
      </c>
      <c r="F48" s="12">
        <f>POWER(SI!E3/SI!E4,2)</f>
        <v>1</v>
      </c>
      <c r="G48" s="1" t="s">
        <v>1111</v>
      </c>
      <c r="H48" s="1" t="s">
        <v>42</v>
      </c>
    </row>
    <row r="49" spans="1:8" ht="16.5">
      <c r="A49" t="s">
        <v>3333</v>
      </c>
      <c r="B49" t="s">
        <v>3353</v>
      </c>
      <c r="C49" s="1" t="s">
        <v>4229</v>
      </c>
      <c r="D49" s="1" t="s">
        <v>2844</v>
      </c>
      <c r="E49" s="26">
        <f>0.001*F49</f>
        <v>1E-3</v>
      </c>
      <c r="F49" s="12">
        <f>POWER(SI!E3/SI!E4,2)</f>
        <v>1</v>
      </c>
      <c r="G49" s="1" t="s">
        <v>1111</v>
      </c>
      <c r="H49" s="1" t="s">
        <v>42</v>
      </c>
    </row>
    <row r="50" spans="1:8" ht="16.5">
      <c r="A50" t="s">
        <v>3334</v>
      </c>
      <c r="B50" t="s">
        <v>3354</v>
      </c>
      <c r="C50" s="1" t="s">
        <v>4229</v>
      </c>
      <c r="D50" s="1" t="s">
        <v>2844</v>
      </c>
      <c r="E50" s="26">
        <f>0.000001*F50</f>
        <v>9.9999999999999995E-7</v>
      </c>
      <c r="F50" s="12">
        <f>POWER(SI!E3/SI!E4,2)</f>
        <v>1</v>
      </c>
      <c r="G50" s="1" t="s">
        <v>1111</v>
      </c>
      <c r="H50" s="1" t="s">
        <v>42</v>
      </c>
    </row>
    <row r="51" spans="1:8" ht="16.5">
      <c r="A51" t="s">
        <v>3335</v>
      </c>
      <c r="B51" t="s">
        <v>3355</v>
      </c>
      <c r="C51" s="1" t="s">
        <v>4229</v>
      </c>
      <c r="D51" s="1" t="s">
        <v>2844</v>
      </c>
      <c r="E51" s="26">
        <f>0.000000001*F51</f>
        <v>1.0000000000000001E-9</v>
      </c>
      <c r="F51" s="12">
        <f>POWER(SI!E3/SI!E4,2)</f>
        <v>1</v>
      </c>
      <c r="G51" s="1" t="s">
        <v>1111</v>
      </c>
      <c r="H51" s="1" t="s">
        <v>42</v>
      </c>
    </row>
    <row r="52" spans="1:8" ht="16.5">
      <c r="A52" t="s">
        <v>3336</v>
      </c>
      <c r="B52" t="s">
        <v>3356</v>
      </c>
      <c r="C52" s="1" t="s">
        <v>4229</v>
      </c>
      <c r="D52" s="1" t="s">
        <v>2844</v>
      </c>
      <c r="E52" s="26">
        <f>0.000000000001*F52</f>
        <v>9.9999999999999998E-13</v>
      </c>
      <c r="F52" s="12">
        <f>POWER(SI!E3/SI!E4,2)</f>
        <v>1</v>
      </c>
      <c r="G52" s="1" t="s">
        <v>1111</v>
      </c>
      <c r="H52" s="1" t="s">
        <v>42</v>
      </c>
    </row>
    <row r="53" spans="1:8" ht="16.5">
      <c r="A53" t="s">
        <v>3337</v>
      </c>
      <c r="B53" t="s">
        <v>3357</v>
      </c>
      <c r="C53" s="1" t="s">
        <v>4229</v>
      </c>
      <c r="D53" s="1" t="s">
        <v>2844</v>
      </c>
      <c r="E53" s="26">
        <f>0.000000000000001*F53</f>
        <v>1.0000000000000001E-15</v>
      </c>
      <c r="F53" s="12">
        <f>POWER(SI!E3/SI!E4,2)</f>
        <v>1</v>
      </c>
      <c r="G53" s="1" t="s">
        <v>1111</v>
      </c>
      <c r="H53" s="1" t="s">
        <v>42</v>
      </c>
    </row>
    <row r="54" spans="1:8" ht="16.5">
      <c r="A54" t="s">
        <v>3338</v>
      </c>
      <c r="B54" t="s">
        <v>3358</v>
      </c>
      <c r="C54" s="1" t="s">
        <v>4229</v>
      </c>
      <c r="D54" s="1" t="s">
        <v>2844</v>
      </c>
      <c r="E54" s="26">
        <f>0.000000000000000001*F54</f>
        <v>1.0000000000000001E-18</v>
      </c>
      <c r="F54" s="12">
        <f>POWER(SI!E3/SI!E4,2)</f>
        <v>1</v>
      </c>
      <c r="G54" s="1" t="s">
        <v>1111</v>
      </c>
      <c r="H54" s="1" t="s">
        <v>42</v>
      </c>
    </row>
    <row r="55" spans="1:8" ht="16.5">
      <c r="A55" t="s">
        <v>3339</v>
      </c>
      <c r="B55" t="s">
        <v>3359</v>
      </c>
      <c r="C55" s="1" t="s">
        <v>4229</v>
      </c>
      <c r="D55" s="1" t="s">
        <v>2844</v>
      </c>
      <c r="E55" s="26">
        <f>1E-21*F55</f>
        <v>9.9999999999999991E-22</v>
      </c>
      <c r="F55" s="12">
        <f>POWER(SI!E3/SI!E4,2)</f>
        <v>1</v>
      </c>
      <c r="G55" s="1" t="s">
        <v>1111</v>
      </c>
      <c r="H55" s="1" t="s">
        <v>42</v>
      </c>
    </row>
    <row r="56" spans="1:8" ht="16.5">
      <c r="A56" t="s">
        <v>3340</v>
      </c>
      <c r="B56" t="s">
        <v>3360</v>
      </c>
      <c r="C56" s="1" t="s">
        <v>4229</v>
      </c>
      <c r="D56" s="1" t="s">
        <v>2844</v>
      </c>
      <c r="E56" s="26">
        <f>1E-24*F56</f>
        <v>9.9999999999999992E-25</v>
      </c>
      <c r="F56" s="12">
        <f>POWER(SI!E3/SI!E4,2)</f>
        <v>1</v>
      </c>
      <c r="G56" s="1" t="s">
        <v>1111</v>
      </c>
      <c r="H56" s="1" t="s">
        <v>42</v>
      </c>
    </row>
    <row r="57" spans="1:8">
      <c r="A57" s="248"/>
      <c r="B57" s="248"/>
      <c r="C57" s="248"/>
      <c r="D57" s="248"/>
      <c r="E57" s="250"/>
      <c r="F57" s="250"/>
      <c r="G57" s="248"/>
      <c r="H57" s="248"/>
    </row>
    <row r="58" spans="1:8" ht="16.5">
      <c r="A58" s="1" t="s">
        <v>6409</v>
      </c>
      <c r="B58" s="1" t="s">
        <v>154</v>
      </c>
      <c r="C58" s="1" t="s">
        <v>4230</v>
      </c>
      <c r="D58" s="1" t="s">
        <v>2915</v>
      </c>
      <c r="E58" s="12">
        <f>F58</f>
        <v>37000000000000</v>
      </c>
      <c r="F58" s="12">
        <f>'Physical Definitions'!E34/(SI!E4*'Physical Definitions'!E9*POWER(SI!E3,3))</f>
        <v>37000000000000</v>
      </c>
      <c r="G58" s="1" t="s">
        <v>1104</v>
      </c>
      <c r="H58" s="1" t="s">
        <v>982</v>
      </c>
    </row>
    <row r="59" spans="1:8" ht="16.5">
      <c r="A59" s="1" t="s">
        <v>185</v>
      </c>
      <c r="B59" s="1" t="s">
        <v>26</v>
      </c>
      <c r="C59" s="1" t="s">
        <v>4230</v>
      </c>
      <c r="D59" s="1" t="s">
        <v>2915</v>
      </c>
      <c r="E59" s="12">
        <f>0.0000000001*F59</f>
        <v>3699.9999999999995</v>
      </c>
      <c r="F59" s="12">
        <f>37000000000/(SI!E4*POWER('Physical Definitions'!E25,3)*POWER(SI!E3,3))</f>
        <v>36999999999999.992</v>
      </c>
      <c r="G59" s="1" t="s">
        <v>1104</v>
      </c>
      <c r="H59" s="1" t="s">
        <v>982</v>
      </c>
    </row>
    <row r="60" spans="1:8" ht="16.5">
      <c r="A60" s="1" t="s">
        <v>6410</v>
      </c>
      <c r="B60" s="1" t="s">
        <v>1280</v>
      </c>
      <c r="C60" s="1" t="s">
        <v>4230</v>
      </c>
      <c r="D60" s="1" t="s">
        <v>2915</v>
      </c>
      <c r="E60" s="12">
        <f>F60</f>
        <v>1</v>
      </c>
      <c r="F60" s="12">
        <f>1/(POWER(SI!E3,3)*SI!E4)</f>
        <v>1</v>
      </c>
      <c r="G60" s="1" t="s">
        <v>1104</v>
      </c>
      <c r="H60" s="1" t="s">
        <v>42</v>
      </c>
    </row>
    <row r="61" spans="1:8">
      <c r="A61" s="248"/>
      <c r="B61" s="248"/>
      <c r="C61" s="248"/>
      <c r="D61" s="248"/>
      <c r="E61" s="250"/>
      <c r="F61" s="250"/>
      <c r="G61" s="248"/>
      <c r="H61" s="248"/>
    </row>
    <row r="62" spans="1:8">
      <c r="A62" s="1" t="s">
        <v>6411</v>
      </c>
      <c r="B62" s="1" t="s">
        <v>6413</v>
      </c>
      <c r="C62" s="1" t="s">
        <v>4231</v>
      </c>
      <c r="D62" s="1" t="s">
        <v>2898</v>
      </c>
      <c r="E62" s="12">
        <f>5250*F62</f>
        <v>3.7624999999999996E-4</v>
      </c>
      <c r="F62" s="12">
        <f>('Physical Definitions'!E19/'Physical Definitions'!E5)*SI!E7/SI!E2</f>
        <v>7.166666666666666E-8</v>
      </c>
      <c r="G62" s="1" t="s">
        <v>1125</v>
      </c>
      <c r="H62" s="1" t="s">
        <v>59</v>
      </c>
    </row>
    <row r="63" spans="1:8">
      <c r="A63" s="1" t="s">
        <v>6412</v>
      </c>
      <c r="B63" s="1" t="s">
        <v>6414</v>
      </c>
      <c r="C63" s="1" t="s">
        <v>4231</v>
      </c>
      <c r="D63" s="1" t="s">
        <v>2898</v>
      </c>
      <c r="E63" s="12">
        <f>2100*F63</f>
        <v>1.505E-4</v>
      </c>
      <c r="F63" s="12">
        <f>('Physical Definitions'!E19/'Physical Definitions'!E5)*SI!E7/SI!E2</f>
        <v>7.166666666666666E-8</v>
      </c>
      <c r="G63" s="1" t="s">
        <v>1125</v>
      </c>
      <c r="H63" s="1" t="s">
        <v>59</v>
      </c>
    </row>
    <row r="64" spans="1:8">
      <c r="A64" s="1" t="s">
        <v>6415</v>
      </c>
      <c r="B64" s="1" t="s">
        <v>26</v>
      </c>
      <c r="C64" s="1" t="s">
        <v>4231</v>
      </c>
      <c r="D64" s="1" t="s">
        <v>2898</v>
      </c>
      <c r="E64" s="12">
        <f>F64</f>
        <v>2.5799999999999998E-4</v>
      </c>
      <c r="F64" s="12">
        <f>('Physical Definitions'!E19/SI!E4)*SI!E7/SI!E2</f>
        <v>2.5799999999999998E-4</v>
      </c>
      <c r="G64" s="1" t="s">
        <v>1125</v>
      </c>
      <c r="H64" s="1" t="s">
        <v>982</v>
      </c>
    </row>
    <row r="65" spans="1:8">
      <c r="A65" s="248"/>
      <c r="B65" s="248"/>
      <c r="C65" s="248"/>
      <c r="D65" s="248"/>
      <c r="E65" s="250"/>
      <c r="F65" s="250"/>
      <c r="G65" s="248"/>
      <c r="H65" s="248"/>
    </row>
    <row r="66" spans="1:8">
      <c r="A66" s="1" t="s">
        <v>6416</v>
      </c>
      <c r="B66" s="1" t="s">
        <v>26</v>
      </c>
      <c r="C66" s="1" t="s">
        <v>4232</v>
      </c>
      <c r="D66" s="1" t="s">
        <v>2917</v>
      </c>
      <c r="E66" s="12">
        <f>0.000001*F66</f>
        <v>37000</v>
      </c>
      <c r="F66" s="12">
        <f>'Physical Definitions'!E34/(SI!E4*SI!E2)</f>
        <v>37000000000</v>
      </c>
      <c r="G66" s="1" t="s">
        <v>1105</v>
      </c>
      <c r="H66" s="1" t="s">
        <v>982</v>
      </c>
    </row>
    <row r="67" spans="1:8">
      <c r="A67" s="1" t="s">
        <v>6417</v>
      </c>
      <c r="B67" s="1" t="s">
        <v>1281</v>
      </c>
      <c r="C67" s="1" t="s">
        <v>4232</v>
      </c>
      <c r="D67" s="1" t="s">
        <v>2917</v>
      </c>
      <c r="E67" s="12">
        <f>F67</f>
        <v>1</v>
      </c>
      <c r="F67" s="12">
        <f>1/(SI!E4*SI!E2)</f>
        <v>1</v>
      </c>
      <c r="G67" s="1" t="s">
        <v>1105</v>
      </c>
      <c r="H67" s="1" t="s">
        <v>42</v>
      </c>
    </row>
    <row r="68" spans="1:8">
      <c r="A68" s="48"/>
      <c r="B68" s="48"/>
      <c r="C68" s="48"/>
      <c r="D68" s="48"/>
      <c r="E68" s="48"/>
      <c r="F68" s="48"/>
      <c r="G68" s="48"/>
      <c r="H68" s="48"/>
    </row>
    <row r="69" spans="1:8">
      <c r="A69" s="1" t="s">
        <v>6418</v>
      </c>
      <c r="B69" s="1" t="s">
        <v>26</v>
      </c>
      <c r="C69" s="1" t="s">
        <v>72</v>
      </c>
      <c r="D69" s="1" t="s">
        <v>2869</v>
      </c>
      <c r="E69" s="12">
        <f>8.38*F69</f>
        <v>2.1620400000000001E-3</v>
      </c>
      <c r="F69" s="12">
        <f>'Physical Definitions'!E19*SI!E4*SI!E7/SI!E2</f>
        <v>2.5799999999999998E-4</v>
      </c>
      <c r="G69" s="1" t="s">
        <v>1080</v>
      </c>
      <c r="H69" s="1" t="s">
        <v>58</v>
      </c>
    </row>
    <row r="70" spans="1:8">
      <c r="A70" s="1" t="s">
        <v>6419</v>
      </c>
      <c r="B70" s="1" t="s">
        <v>1441</v>
      </c>
      <c r="C70" s="1" t="s">
        <v>72</v>
      </c>
      <c r="D70" s="1" t="s">
        <v>2869</v>
      </c>
      <c r="E70" s="12">
        <f>F70</f>
        <v>1</v>
      </c>
      <c r="F70" s="12">
        <f>SI!E7*SI!E4/SI!E2</f>
        <v>1</v>
      </c>
      <c r="G70" s="1" t="s">
        <v>1080</v>
      </c>
      <c r="H70" s="1" t="s">
        <v>982</v>
      </c>
    </row>
    <row r="71" spans="1:8">
      <c r="A71" s="1" t="s">
        <v>6420</v>
      </c>
      <c r="B71" s="1" t="s">
        <v>26</v>
      </c>
      <c r="C71" s="1" t="s">
        <v>72</v>
      </c>
      <c r="D71" s="1" t="s">
        <v>2869</v>
      </c>
      <c r="E71" s="12">
        <f>100*F71</f>
        <v>2.5799999999999997E-2</v>
      </c>
      <c r="F71" s="12">
        <f>'Physical Definitions'!E19*SI!E4*SI!E7/SI!E2</f>
        <v>2.5799999999999998E-4</v>
      </c>
      <c r="G71" s="1" t="s">
        <v>1080</v>
      </c>
      <c r="H71" s="1" t="s">
        <v>982</v>
      </c>
    </row>
    <row r="72" spans="1:8">
      <c r="A72" s="1" t="s">
        <v>6421</v>
      </c>
      <c r="B72" s="1" t="s">
        <v>6422</v>
      </c>
      <c r="C72" s="1" t="s">
        <v>72</v>
      </c>
      <c r="D72" s="1" t="s">
        <v>2869</v>
      </c>
      <c r="E72" s="12">
        <f>500*F72</f>
        <v>0.129</v>
      </c>
      <c r="F72" s="12">
        <f>'Physical Definitions'!E19*SI!E4*SI!E7/SI!E2</f>
        <v>2.5799999999999998E-4</v>
      </c>
      <c r="G72" s="1" t="s">
        <v>1080</v>
      </c>
      <c r="H72" s="1" t="s">
        <v>982</v>
      </c>
    </row>
    <row r="73" spans="1:8">
      <c r="A73" s="1" t="s">
        <v>958</v>
      </c>
      <c r="B73" s="1" t="s">
        <v>341</v>
      </c>
      <c r="C73" s="1" t="s">
        <v>72</v>
      </c>
      <c r="D73" s="1" t="s">
        <v>2869</v>
      </c>
      <c r="E73" s="12">
        <f>F73</f>
        <v>2.5799999999999998E-4</v>
      </c>
      <c r="F73" s="12">
        <f>'Physical Definitions'!E19*SI!E4*SI!E7/SI!E2</f>
        <v>2.5799999999999998E-4</v>
      </c>
      <c r="G73" s="1" t="s">
        <v>1080</v>
      </c>
      <c r="H73" s="1" t="s">
        <v>982</v>
      </c>
    </row>
    <row r="74" spans="1:8">
      <c r="A74" s="1" t="s">
        <v>190</v>
      </c>
      <c r="B74" s="1" t="s">
        <v>26</v>
      </c>
      <c r="C74" s="1" t="s">
        <v>72</v>
      </c>
      <c r="D74" s="1" t="s">
        <v>2869</v>
      </c>
      <c r="E74" s="12">
        <f>7*F74</f>
        <v>1.8059999999999999E-3</v>
      </c>
      <c r="F74" s="12">
        <f>'Physical Definitions'!E19</f>
        <v>2.5799999999999998E-4</v>
      </c>
      <c r="G74" s="1" t="s">
        <v>1080</v>
      </c>
      <c r="H74" s="1" t="s">
        <v>982</v>
      </c>
    </row>
    <row r="75" spans="1:8">
      <c r="A75" s="248"/>
      <c r="B75" s="248"/>
      <c r="C75" s="248"/>
      <c r="D75" s="248"/>
      <c r="E75" s="250"/>
      <c r="F75" s="250"/>
      <c r="G75" s="248"/>
      <c r="H75" s="248"/>
    </row>
  </sheetData>
  <sortState xmlns:xlrd2="http://schemas.microsoft.com/office/spreadsheetml/2017/richdata2" ref="A5:H16">
    <sortCondition ref="A5:A16"/>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9FC00-2F51-49FC-B4E2-360E81272C7B}">
  <sheetPr codeName="Sheet28"/>
  <dimension ref="A1:H25"/>
  <sheetViews>
    <sheetView workbookViewId="0">
      <selection activeCell="G16" sqref="G16"/>
    </sheetView>
  </sheetViews>
  <sheetFormatPr defaultRowHeight="14.4"/>
  <cols>
    <col min="1" max="1" width="24.68359375" customWidth="1"/>
    <col min="3" max="3" width="14.1015625" customWidth="1"/>
    <col min="4" max="4" width="18.20703125" customWidth="1"/>
    <col min="5" max="5" width="26.1015625" customWidth="1"/>
    <col min="6" max="6" width="22.15625" customWidth="1"/>
    <col min="7" max="7" width="19.5234375" customWidth="1"/>
    <col min="8" max="8" width="13.20703125" customWidth="1"/>
  </cols>
  <sheetData>
    <row r="1" spans="1:8" ht="28.8">
      <c r="A1" s="2" t="s">
        <v>11</v>
      </c>
      <c r="B1" s="2" t="s">
        <v>1</v>
      </c>
      <c r="C1" s="2" t="s">
        <v>2</v>
      </c>
      <c r="D1" s="2" t="s">
        <v>3</v>
      </c>
      <c r="E1" s="2" t="s">
        <v>4</v>
      </c>
      <c r="F1" s="128" t="s">
        <v>937</v>
      </c>
      <c r="G1" s="2" t="s">
        <v>0</v>
      </c>
      <c r="H1" s="2" t="s">
        <v>5</v>
      </c>
    </row>
    <row r="2" spans="1:8">
      <c r="A2" s="1" t="s">
        <v>6423</v>
      </c>
      <c r="B2" s="1" t="s">
        <v>26</v>
      </c>
      <c r="C2" s="1" t="s">
        <v>4228</v>
      </c>
      <c r="D2" s="1" t="s">
        <v>2901</v>
      </c>
      <c r="E2" s="12">
        <f>840*F2</f>
        <v>1693.3618173515574</v>
      </c>
      <c r="F2" s="12">
        <f>(3*Systems!D6/Systems!L6)*SI!E3/SI!E2</f>
        <v>2.0159069254185207</v>
      </c>
      <c r="G2" s="1" t="s">
        <v>1119</v>
      </c>
      <c r="H2" s="1" t="s">
        <v>1148</v>
      </c>
    </row>
    <row r="3" spans="1:8">
      <c r="A3" s="1" t="s">
        <v>1817</v>
      </c>
      <c r="B3" s="1" t="s">
        <v>26</v>
      </c>
      <c r="C3" s="1" t="s">
        <v>4228</v>
      </c>
      <c r="D3" s="1" t="s">
        <v>2901</v>
      </c>
      <c r="E3" s="12">
        <f>300*F3</f>
        <v>604.77207762555622</v>
      </c>
      <c r="F3" s="12">
        <f>(3*Systems!D6/Systems!L6)*SI!E3/SI!E2</f>
        <v>2.0159069254185207</v>
      </c>
      <c r="G3" s="1" t="s">
        <v>1119</v>
      </c>
      <c r="H3" s="1" t="s">
        <v>1148</v>
      </c>
    </row>
    <row r="4" spans="1:8">
      <c r="A4" s="1" t="s">
        <v>1965</v>
      </c>
      <c r="B4" s="10" t="s">
        <v>26</v>
      </c>
      <c r="C4" s="1" t="s">
        <v>4228</v>
      </c>
      <c r="D4" s="1" t="s">
        <v>2901</v>
      </c>
      <c r="E4" s="12">
        <f>300*F4</f>
        <v>604.77207762555622</v>
      </c>
      <c r="F4" s="12">
        <f>(3*Systems!D6/Systems!L6)*SI!E3/SI!E2</f>
        <v>2.0159069254185207</v>
      </c>
      <c r="G4" s="1" t="s">
        <v>1119</v>
      </c>
      <c r="H4" s="1" t="s">
        <v>1148</v>
      </c>
    </row>
    <row r="5" spans="1:8">
      <c r="A5" s="1" t="s">
        <v>412</v>
      </c>
      <c r="B5" s="1" t="s">
        <v>26</v>
      </c>
      <c r="C5" s="1" t="s">
        <v>4228</v>
      </c>
      <c r="D5" s="1" t="s">
        <v>2901</v>
      </c>
      <c r="E5" s="12">
        <f>1000*F5</f>
        <v>2015.9069254185206</v>
      </c>
      <c r="F5" s="12">
        <f>(3*Systems!D6/Systems!L6)*SI!E3/SI!E2</f>
        <v>2.0159069254185207</v>
      </c>
      <c r="G5" s="1" t="s">
        <v>1119</v>
      </c>
      <c r="H5" s="1" t="s">
        <v>1148</v>
      </c>
    </row>
    <row r="6" spans="1:8">
      <c r="A6" s="1" t="s">
        <v>430</v>
      </c>
      <c r="B6" s="1" t="s">
        <v>26</v>
      </c>
      <c r="C6" s="1" t="s">
        <v>4228</v>
      </c>
      <c r="D6" s="1" t="s">
        <v>2901</v>
      </c>
      <c r="E6" s="12">
        <f>560*F6</f>
        <v>1128.9078782343715</v>
      </c>
      <c r="F6" s="12">
        <f>(3*Systems!D6/Systems!L6)*SI!E3/SI!E2</f>
        <v>2.0159069254185207</v>
      </c>
      <c r="G6" s="1" t="s">
        <v>1119</v>
      </c>
      <c r="H6" s="1" t="s">
        <v>1148</v>
      </c>
    </row>
    <row r="7" spans="1:8">
      <c r="A7" s="1" t="s">
        <v>6424</v>
      </c>
      <c r="B7" s="1" t="s">
        <v>26</v>
      </c>
      <c r="C7" s="1" t="s">
        <v>4228</v>
      </c>
      <c r="D7" s="1" t="s">
        <v>2901</v>
      </c>
      <c r="E7" s="12">
        <f>300*F7</f>
        <v>604.77207762555622</v>
      </c>
      <c r="F7" s="12">
        <f>(3*Systems!D6/Systems!L6)*SI!E3/SI!E2</f>
        <v>2.0159069254185207</v>
      </c>
      <c r="G7" s="1" t="s">
        <v>1119</v>
      </c>
      <c r="H7" s="1" t="s">
        <v>1148</v>
      </c>
    </row>
    <row r="8" spans="1:8">
      <c r="A8" s="1" t="s">
        <v>6425</v>
      </c>
      <c r="B8" s="1" t="s">
        <v>26</v>
      </c>
      <c r="C8" s="1" t="s">
        <v>4228</v>
      </c>
      <c r="D8" s="1" t="s">
        <v>2901</v>
      </c>
      <c r="E8" s="12">
        <f>840*F8</f>
        <v>1693.3618173515574</v>
      </c>
      <c r="F8" s="12">
        <f>(3*Systems!D6/Systems!L6)*SI!E3/SI!E2</f>
        <v>2.0159069254185207</v>
      </c>
      <c r="G8" s="1" t="s">
        <v>1119</v>
      </c>
      <c r="H8" s="1" t="s">
        <v>1148</v>
      </c>
    </row>
    <row r="9" spans="1:8">
      <c r="A9" s="1" t="s">
        <v>6426</v>
      </c>
      <c r="B9" s="1" t="s">
        <v>26</v>
      </c>
      <c r="C9" s="1" t="s">
        <v>4228</v>
      </c>
      <c r="D9" s="1" t="s">
        <v>2901</v>
      </c>
      <c r="E9" s="12">
        <f>300*F9</f>
        <v>604.77207762555622</v>
      </c>
      <c r="F9" s="12">
        <f>(3*Systems!D6/Systems!L6)*SI!E3/SI!E2</f>
        <v>2.0159069254185207</v>
      </c>
      <c r="G9" s="1" t="s">
        <v>1119</v>
      </c>
      <c r="H9" s="1" t="s">
        <v>1148</v>
      </c>
    </row>
    <row r="10" spans="1:8">
      <c r="A10" s="1" t="s">
        <v>6427</v>
      </c>
      <c r="B10" s="1" t="s">
        <v>26</v>
      </c>
      <c r="C10" s="1" t="s">
        <v>4228</v>
      </c>
      <c r="D10" s="1" t="s">
        <v>2901</v>
      </c>
      <c r="E10" s="12">
        <f>1000*F10</f>
        <v>1000</v>
      </c>
      <c r="F10" s="12">
        <f>SI!E3/SI!E2</f>
        <v>1</v>
      </c>
      <c r="G10" s="1" t="s">
        <v>1119</v>
      </c>
      <c r="H10" s="1" t="s">
        <v>1148</v>
      </c>
    </row>
    <row r="11" spans="1:8">
      <c r="A11" s="1" t="s">
        <v>6428</v>
      </c>
      <c r="B11" s="1" t="s">
        <v>26</v>
      </c>
      <c r="C11" s="1" t="s">
        <v>4228</v>
      </c>
      <c r="D11" s="1" t="s">
        <v>2901</v>
      </c>
      <c r="E11" s="12">
        <f>1600*F11</f>
        <v>3225.451080669633</v>
      </c>
      <c r="F11" s="12">
        <f>(3*Systems!D6/Systems!L6)*SI!E3/SI!E2</f>
        <v>2.0159069254185207</v>
      </c>
      <c r="G11" s="1" t="s">
        <v>1119</v>
      </c>
      <c r="H11" s="1" t="s">
        <v>1148</v>
      </c>
    </row>
    <row r="12" spans="1:8">
      <c r="A12" s="1" t="s">
        <v>6429</v>
      </c>
      <c r="B12" s="1" t="s">
        <v>26</v>
      </c>
      <c r="C12" s="1" t="s">
        <v>4228</v>
      </c>
      <c r="D12" s="1" t="s">
        <v>2901</v>
      </c>
      <c r="E12" s="12">
        <f>560*F12</f>
        <v>1128.9078782343715</v>
      </c>
      <c r="F12" s="12">
        <f>(3*Systems!D6/Systems!L6)*SI!E3/SI!E2</f>
        <v>2.0159069254185207</v>
      </c>
      <c r="G12" s="1" t="s">
        <v>1119</v>
      </c>
      <c r="H12" s="1" t="s">
        <v>1148</v>
      </c>
    </row>
    <row r="13" spans="1:8">
      <c r="A13" s="1" t="s">
        <v>286</v>
      </c>
      <c r="B13" s="1" t="s">
        <v>26</v>
      </c>
      <c r="C13" s="1" t="s">
        <v>4228</v>
      </c>
      <c r="D13" s="1" t="s">
        <v>2901</v>
      </c>
      <c r="E13" s="12">
        <f>0.001*F13</f>
        <v>1E-3</v>
      </c>
      <c r="F13" s="12">
        <f>SI!E2/SI!E3</f>
        <v>1</v>
      </c>
      <c r="G13" s="1" t="s">
        <v>1119</v>
      </c>
      <c r="H13" s="1" t="s">
        <v>982</v>
      </c>
    </row>
    <row r="14" spans="1:8">
      <c r="A14" s="1" t="s">
        <v>6430</v>
      </c>
      <c r="B14" s="1" t="s">
        <v>26</v>
      </c>
      <c r="C14" s="1" t="s">
        <v>4228</v>
      </c>
      <c r="D14" s="1" t="s">
        <v>2901</v>
      </c>
      <c r="E14" s="12">
        <f>100*F14</f>
        <v>201.59069254185206</v>
      </c>
      <c r="F14" s="12">
        <f>(3*Systems!D6/Systems!L6)*SI!E3/SI!E2</f>
        <v>2.0159069254185207</v>
      </c>
      <c r="G14" s="1" t="s">
        <v>1119</v>
      </c>
      <c r="H14" s="1" t="s">
        <v>46</v>
      </c>
    </row>
    <row r="15" spans="1:8">
      <c r="A15" s="248"/>
      <c r="B15" s="248"/>
      <c r="C15" s="248"/>
      <c r="D15" s="248"/>
      <c r="E15" s="250"/>
      <c r="F15" s="250"/>
      <c r="G15" s="248"/>
      <c r="H15" s="248"/>
    </row>
    <row r="16" spans="1:8" ht="16.5">
      <c r="A16" s="1" t="s">
        <v>6431</v>
      </c>
      <c r="B16" s="1" t="s">
        <v>1265</v>
      </c>
      <c r="C16" s="1" t="s">
        <v>4227</v>
      </c>
      <c r="D16" s="1" t="s">
        <v>2896</v>
      </c>
      <c r="E16" s="12">
        <f>31.5*F16/2240</f>
        <v>1.4094024277789329E-4</v>
      </c>
      <c r="F16" s="12">
        <f>(Systems!P6/Systems!L6)*POWER(SI!E3,3)/SI!E2</f>
        <v>1.0022417264205745E-2</v>
      </c>
      <c r="G16" s="1" t="s">
        <v>1100</v>
      </c>
      <c r="H16" s="1" t="s">
        <v>46</v>
      </c>
    </row>
    <row r="17" spans="1:8" ht="16.5">
      <c r="A17" s="1" t="s">
        <v>6432</v>
      </c>
      <c r="B17" s="1" t="s">
        <v>1337</v>
      </c>
      <c r="C17" s="1" t="s">
        <v>4227</v>
      </c>
      <c r="D17" s="1" t="s">
        <v>2896</v>
      </c>
      <c r="E17" s="12">
        <f>31.5*F17/2000</f>
        <v>1.3144012011930448E-4</v>
      </c>
      <c r="F17" s="12">
        <f>(Systems!P8/Systems!L6)*POWER(SI!E3,3)/SI!E2</f>
        <v>8.3454044520193324E-3</v>
      </c>
      <c r="G17" s="1" t="s">
        <v>1100</v>
      </c>
      <c r="H17" s="1" t="s">
        <v>47</v>
      </c>
    </row>
    <row r="18" spans="1:8" ht="16.5">
      <c r="A18" s="1" t="s">
        <v>6433</v>
      </c>
      <c r="B18" s="1" t="s">
        <v>1453</v>
      </c>
      <c r="C18" s="1" t="s">
        <v>4227</v>
      </c>
      <c r="D18" s="1" t="s">
        <v>2896</v>
      </c>
      <c r="E18" s="12">
        <f t="shared" ref="E18:E24" si="0">F18</f>
        <v>6.2427960576144616E-2</v>
      </c>
      <c r="F18" s="12">
        <f>(POWER(Systems!D15,3)/Systems!L15)*POWER(SI!E3,3)/SI!E2</f>
        <v>6.2427960576144616E-2</v>
      </c>
      <c r="G18" s="1" t="s">
        <v>1100</v>
      </c>
      <c r="H18" s="1" t="s">
        <v>117</v>
      </c>
    </row>
    <row r="19" spans="1:8" ht="16.5">
      <c r="A19" s="1" t="s">
        <v>6433</v>
      </c>
      <c r="B19" s="1" t="s">
        <v>1453</v>
      </c>
      <c r="C19" s="1" t="s">
        <v>4227</v>
      </c>
      <c r="D19" s="1" t="s">
        <v>2896</v>
      </c>
      <c r="E19" s="12">
        <f t="shared" si="0"/>
        <v>6.2427960576144616E-2</v>
      </c>
      <c r="F19" s="12">
        <f>(POWER(Systems!D6,3)/Systems!L6)*POWER(SI!E3,3)/SI!E2</f>
        <v>6.2427960576144616E-2</v>
      </c>
      <c r="G19" s="1" t="s">
        <v>1100</v>
      </c>
      <c r="H19" s="1" t="s">
        <v>1148</v>
      </c>
    </row>
    <row r="20" spans="1:8" ht="16.5">
      <c r="A20" s="1" t="s">
        <v>6434</v>
      </c>
      <c r="B20" s="1" t="s">
        <v>1454</v>
      </c>
      <c r="C20" s="1" t="s">
        <v>4227</v>
      </c>
      <c r="D20" s="1" t="s">
        <v>2896</v>
      </c>
      <c r="E20" s="12">
        <f t="shared" si="0"/>
        <v>2.7869625257207416E-5</v>
      </c>
      <c r="F20" s="12">
        <f>(POWER(Systems!D6,3)/(2240*Systems!L6))*POWER(SI!E3,3)/SI!E2</f>
        <v>2.7869625257207416E-5</v>
      </c>
      <c r="G20" s="1" t="s">
        <v>1100</v>
      </c>
      <c r="H20" s="1" t="s">
        <v>46</v>
      </c>
    </row>
    <row r="21" spans="1:8" ht="16.5">
      <c r="A21" s="1" t="s">
        <v>6435</v>
      </c>
      <c r="B21" s="1" t="s">
        <v>1455</v>
      </c>
      <c r="C21" s="1" t="s">
        <v>4227</v>
      </c>
      <c r="D21" s="1" t="s">
        <v>2896</v>
      </c>
      <c r="E21" s="12">
        <f t="shared" si="0"/>
        <v>3.6127292000083694E-5</v>
      </c>
      <c r="F21" s="12">
        <f>(POWER(Systems!D6/12,3)/Systems!L6)*POWER(SI!E3,3)/SI!E2</f>
        <v>3.6127292000083694E-5</v>
      </c>
      <c r="G21" s="1" t="s">
        <v>1100</v>
      </c>
      <c r="H21" s="1" t="s">
        <v>1148</v>
      </c>
    </row>
    <row r="22" spans="1:8" ht="16.5">
      <c r="A22" s="1" t="s">
        <v>6436</v>
      </c>
      <c r="B22" s="1" t="s">
        <v>1100</v>
      </c>
      <c r="C22" s="1" t="s">
        <v>4227</v>
      </c>
      <c r="D22" s="1" t="s">
        <v>2896</v>
      </c>
      <c r="E22" s="12">
        <f t="shared" si="0"/>
        <v>1</v>
      </c>
      <c r="F22" s="12">
        <f>POWER(SI!E3,3)*POWER(SI!E3,3)/SI!E2</f>
        <v>1</v>
      </c>
      <c r="G22" s="1" t="s">
        <v>1100</v>
      </c>
      <c r="H22" s="1" t="s">
        <v>42</v>
      </c>
    </row>
    <row r="23" spans="1:8" ht="16.5">
      <c r="A23" s="1" t="s">
        <v>6437</v>
      </c>
      <c r="B23" s="1" t="s">
        <v>1455</v>
      </c>
      <c r="C23" s="1" t="s">
        <v>4227</v>
      </c>
      <c r="D23" s="1" t="s">
        <v>2896</v>
      </c>
      <c r="E23" s="12">
        <f t="shared" si="0"/>
        <v>1.0022417264205745E-2</v>
      </c>
      <c r="F23" s="12">
        <f>(Systems!P6/Systems!L6)*POWER(SI!E3,3)/SI!E2</f>
        <v>1.0022417264205745E-2</v>
      </c>
      <c r="G23" s="1" t="s">
        <v>1100</v>
      </c>
      <c r="H23" s="1" t="s">
        <v>46</v>
      </c>
    </row>
    <row r="24" spans="1:8" ht="16.5">
      <c r="A24" s="1" t="s">
        <v>6438</v>
      </c>
      <c r="B24" s="1" t="s">
        <v>1974</v>
      </c>
      <c r="C24" s="1" t="s">
        <v>4227</v>
      </c>
      <c r="D24" s="1" t="s">
        <v>2896</v>
      </c>
      <c r="E24" s="12">
        <f t="shared" si="0"/>
        <v>1E-3</v>
      </c>
      <c r="F24" s="12">
        <f>'Physical Definitions'!E9*POWER(SI!E3,3)/SI!E2</f>
        <v>1E-3</v>
      </c>
      <c r="G24" s="1" t="s">
        <v>1100</v>
      </c>
      <c r="H24" s="1" t="s">
        <v>982</v>
      </c>
    </row>
    <row r="25" spans="1:8">
      <c r="A25" s="248"/>
      <c r="B25" s="248"/>
      <c r="C25" s="248"/>
      <c r="D25" s="248"/>
      <c r="E25" s="250"/>
      <c r="F25" s="250"/>
      <c r="G25" s="248"/>
      <c r="H25" s="248"/>
    </row>
  </sheetData>
  <sortState xmlns:xlrd2="http://schemas.microsoft.com/office/spreadsheetml/2017/richdata2" ref="A17:H24">
    <sortCondition ref="A16:A24"/>
  </sortState>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AB47C-3ADF-4305-920C-F9F76C2D4B7F}">
  <sheetPr codeName="Sheet16"/>
  <dimension ref="A1:I9"/>
  <sheetViews>
    <sheetView workbookViewId="0">
      <selection activeCell="A15" sqref="A15"/>
    </sheetView>
  </sheetViews>
  <sheetFormatPr defaultRowHeight="14.4"/>
  <cols>
    <col min="1" max="1" width="19.41796875" customWidth="1"/>
    <col min="2" max="2" width="13.734375" customWidth="1"/>
    <col min="3" max="3" width="25.3125" customWidth="1"/>
    <col min="4" max="4" width="24" customWidth="1"/>
    <col min="5" max="6" width="24.5234375" customWidth="1"/>
    <col min="7" max="7" width="22.41796875" customWidth="1"/>
    <col min="8" max="8" width="18.83984375" customWidth="1"/>
    <col min="9" max="9" width="14.5234375" customWidth="1"/>
  </cols>
  <sheetData>
    <row r="1" spans="1:9">
      <c r="A1" s="2" t="s">
        <v>11</v>
      </c>
      <c r="B1" s="2" t="s">
        <v>1</v>
      </c>
      <c r="C1" s="2" t="s">
        <v>2</v>
      </c>
      <c r="D1" s="2" t="s">
        <v>3</v>
      </c>
      <c r="E1" s="2" t="s">
        <v>4</v>
      </c>
      <c r="F1" s="2" t="s">
        <v>2959</v>
      </c>
      <c r="G1" s="128" t="s">
        <v>937</v>
      </c>
      <c r="H1" s="2" t="s">
        <v>7092</v>
      </c>
      <c r="I1" s="2" t="s">
        <v>5</v>
      </c>
    </row>
    <row r="2" spans="1:9" s="120" customFormat="1" ht="16.5">
      <c r="A2" s="256" t="s">
        <v>7473</v>
      </c>
      <c r="B2" s="256" t="s">
        <v>2938</v>
      </c>
      <c r="C2" s="256" t="s">
        <v>122</v>
      </c>
      <c r="D2" s="257" t="s">
        <v>123</v>
      </c>
      <c r="E2" s="261">
        <f>1.25*G2</f>
        <v>1.25</v>
      </c>
      <c r="F2" s="261">
        <f>273.15*G2</f>
        <v>273.14999999999998</v>
      </c>
      <c r="G2" s="261">
        <f>SI!E5</f>
        <v>1</v>
      </c>
      <c r="H2" s="256" t="s">
        <v>247</v>
      </c>
      <c r="I2" s="256" t="s">
        <v>65</v>
      </c>
    </row>
    <row r="3" spans="1:9" s="120" customFormat="1" ht="16.5">
      <c r="A3" s="256" t="s">
        <v>7474</v>
      </c>
      <c r="B3" s="256" t="s">
        <v>2939</v>
      </c>
      <c r="C3" s="256" t="s">
        <v>122</v>
      </c>
      <c r="D3" s="257" t="s">
        <v>123</v>
      </c>
      <c r="E3" s="261">
        <f>5*G3/9</f>
        <v>0.55555555555555558</v>
      </c>
      <c r="F3" s="261">
        <f>5*459.67*G3/9</f>
        <v>255.37222222222221</v>
      </c>
      <c r="G3" s="261">
        <f>SI!E5</f>
        <v>1</v>
      </c>
      <c r="H3" s="256" t="s">
        <v>247</v>
      </c>
      <c r="I3" s="256" t="s">
        <v>1148</v>
      </c>
    </row>
    <row r="4" spans="1:9" s="120" customFormat="1" ht="16.5">
      <c r="A4" s="256" t="s">
        <v>7475</v>
      </c>
      <c r="B4" s="256" t="s">
        <v>2940</v>
      </c>
      <c r="C4" s="256" t="s">
        <v>122</v>
      </c>
      <c r="D4" s="257" t="s">
        <v>123</v>
      </c>
      <c r="E4" s="261">
        <f>5*G4/9</f>
        <v>0.55555555555555558</v>
      </c>
      <c r="F4" s="261">
        <f>0*G4</f>
        <v>0</v>
      </c>
      <c r="G4" s="261">
        <f>SI!E5</f>
        <v>1</v>
      </c>
      <c r="H4" s="256" t="s">
        <v>247</v>
      </c>
      <c r="I4" s="256" t="s">
        <v>1148</v>
      </c>
    </row>
    <row r="5" spans="1:9" s="120" customFormat="1" ht="16.5">
      <c r="A5" s="256" t="s">
        <v>7476</v>
      </c>
      <c r="B5" s="256" t="s">
        <v>2950</v>
      </c>
      <c r="C5" s="256" t="s">
        <v>122</v>
      </c>
      <c r="D5" s="257" t="s">
        <v>123</v>
      </c>
      <c r="E5" s="261">
        <f>G5</f>
        <v>1</v>
      </c>
      <c r="F5" s="261">
        <f>273.15*G5</f>
        <v>273.14999999999998</v>
      </c>
      <c r="G5" s="261">
        <f>SI!E5</f>
        <v>1</v>
      </c>
      <c r="H5" s="256" t="s">
        <v>247</v>
      </c>
      <c r="I5" s="256" t="s">
        <v>58</v>
      </c>
    </row>
    <row r="6" spans="1:9" ht="16.5">
      <c r="A6" s="256" t="s">
        <v>260</v>
      </c>
      <c r="B6" s="256" t="s">
        <v>2997</v>
      </c>
      <c r="C6" s="256" t="s">
        <v>122</v>
      </c>
      <c r="D6" s="257" t="s">
        <v>123</v>
      </c>
      <c r="E6" s="260">
        <f>G6</f>
        <v>1</v>
      </c>
      <c r="F6" s="260">
        <f>0*G6</f>
        <v>0</v>
      </c>
      <c r="G6" s="260">
        <f>SI!E5</f>
        <v>1</v>
      </c>
      <c r="H6" s="256" t="s">
        <v>247</v>
      </c>
      <c r="I6" s="256" t="s">
        <v>42</v>
      </c>
    </row>
    <row r="7" spans="1:9">
      <c r="A7" s="1" t="s">
        <v>248</v>
      </c>
      <c r="B7" s="1" t="s">
        <v>26</v>
      </c>
      <c r="C7" s="1" t="s">
        <v>122</v>
      </c>
      <c r="D7" s="4" t="s">
        <v>123</v>
      </c>
      <c r="E7" s="259">
        <f>1000000000*G7</f>
        <v>1000000000</v>
      </c>
      <c r="F7" s="259">
        <v>0</v>
      </c>
      <c r="G7" s="170">
        <f>SI!E5</f>
        <v>1</v>
      </c>
      <c r="H7" s="1" t="s">
        <v>247</v>
      </c>
      <c r="I7" s="1" t="s">
        <v>42</v>
      </c>
    </row>
    <row r="8" spans="1:9" ht="57.6">
      <c r="A8" s="1" t="s">
        <v>6439</v>
      </c>
      <c r="B8" s="1" t="s">
        <v>26</v>
      </c>
      <c r="C8" s="1" t="s">
        <v>4226</v>
      </c>
      <c r="D8" s="4" t="s">
        <v>123</v>
      </c>
      <c r="E8" s="259">
        <f>G8</f>
        <v>1</v>
      </c>
      <c r="F8" s="259">
        <v>0</v>
      </c>
      <c r="G8" s="263">
        <f>SI!E5</f>
        <v>1</v>
      </c>
      <c r="H8" s="1" t="s">
        <v>247</v>
      </c>
      <c r="I8" s="1" t="s">
        <v>42</v>
      </c>
    </row>
    <row r="9" spans="1:9">
      <c r="A9" s="248"/>
      <c r="B9" s="248"/>
      <c r="C9" s="248"/>
      <c r="D9" s="248"/>
      <c r="E9" s="250"/>
      <c r="F9" s="250"/>
      <c r="G9" s="250"/>
      <c r="H9" s="248"/>
      <c r="I9" s="25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CC736-E839-4149-8C4D-00B42A442203}">
  <sheetPr codeName="Sheet17"/>
  <dimension ref="A1:H91"/>
  <sheetViews>
    <sheetView topLeftCell="A10" workbookViewId="0">
      <selection activeCell="A10" sqref="A10"/>
    </sheetView>
  </sheetViews>
  <sheetFormatPr defaultRowHeight="14.4"/>
  <cols>
    <col min="1" max="1" width="32.05078125" customWidth="1"/>
    <col min="2" max="2" width="24.3671875" customWidth="1"/>
    <col min="3" max="3" width="31.47265625" customWidth="1"/>
    <col min="4" max="4" width="21.5234375" customWidth="1"/>
    <col min="5" max="5" width="26.47265625" customWidth="1"/>
    <col min="6" max="6" width="22.15625" customWidth="1"/>
    <col min="7" max="7" width="16.1015625" customWidth="1"/>
    <col min="8" max="8" width="17.7890625" customWidth="1"/>
  </cols>
  <sheetData>
    <row r="1" spans="1:8">
      <c r="A1" s="2" t="s">
        <v>11</v>
      </c>
      <c r="B1" s="2" t="s">
        <v>1</v>
      </c>
      <c r="C1" s="2" t="s">
        <v>2</v>
      </c>
      <c r="D1" s="2" t="s">
        <v>3</v>
      </c>
      <c r="E1" s="2" t="s">
        <v>4</v>
      </c>
      <c r="F1" s="128" t="s">
        <v>937</v>
      </c>
      <c r="G1" s="2" t="s">
        <v>0</v>
      </c>
      <c r="H1" s="2" t="s">
        <v>5</v>
      </c>
    </row>
    <row r="2" spans="1:8" ht="28.8" customHeight="1">
      <c r="A2" s="1" t="s">
        <v>6440</v>
      </c>
      <c r="B2" s="1" t="s">
        <v>1203</v>
      </c>
      <c r="C2" s="1" t="s">
        <v>4225</v>
      </c>
      <c r="D2" s="1" t="s">
        <v>21</v>
      </c>
      <c r="E2" s="12">
        <f>F2</f>
        <v>2.4188843265767446E-17</v>
      </c>
      <c r="F2" s="12">
        <f>2*PI()*SI!E4*'Physical Measurements'!E4*POWER('Physical Measurements'!E5,2)/'Physical Constants'!E2</f>
        <v>2.4188843265767446E-17</v>
      </c>
      <c r="G2" s="1" t="s">
        <v>22</v>
      </c>
      <c r="H2" s="1" t="s">
        <v>6</v>
      </c>
    </row>
    <row r="3" spans="1:8">
      <c r="A3" s="1" t="s">
        <v>470</v>
      </c>
      <c r="B3" s="1" t="s">
        <v>26</v>
      </c>
      <c r="C3" s="1" t="s">
        <v>4225</v>
      </c>
      <c r="D3" s="1" t="s">
        <v>21</v>
      </c>
      <c r="E3" s="12">
        <f>30*F3</f>
        <v>1800</v>
      </c>
      <c r="F3" s="12">
        <f>'Physical Definitions'!E4*SI!E4</f>
        <v>60</v>
      </c>
      <c r="G3" s="1" t="s">
        <v>22</v>
      </c>
      <c r="H3" s="1" t="s">
        <v>1148</v>
      </c>
    </row>
    <row r="4" spans="1:8">
      <c r="A4" s="1" t="s">
        <v>471</v>
      </c>
      <c r="B4" s="1" t="s">
        <v>26</v>
      </c>
      <c r="C4" s="1" t="s">
        <v>4225</v>
      </c>
      <c r="D4" s="1" t="s">
        <v>21</v>
      </c>
      <c r="E4" s="12">
        <f>2*F4</f>
        <v>63072000</v>
      </c>
      <c r="F4" s="12">
        <f>'Physical Definitions'!E7*SI!E4</f>
        <v>31536000</v>
      </c>
      <c r="G4" s="1" t="s">
        <v>22</v>
      </c>
      <c r="H4" s="1" t="s">
        <v>58</v>
      </c>
    </row>
    <row r="5" spans="1:8">
      <c r="A5" s="1" t="s">
        <v>97</v>
      </c>
      <c r="B5" s="1" t="s">
        <v>26</v>
      </c>
      <c r="C5" s="1" t="s">
        <v>4225</v>
      </c>
      <c r="D5" s="1" t="s">
        <v>21</v>
      </c>
      <c r="E5" s="12">
        <f>0.00001*F5</f>
        <v>0.8640000000000001</v>
      </c>
      <c r="F5" s="12">
        <f>'Physical Definitions'!E6*SI!E4</f>
        <v>86400</v>
      </c>
      <c r="G5" s="1" t="s">
        <v>22</v>
      </c>
      <c r="H5" s="1" t="s">
        <v>982</v>
      </c>
    </row>
    <row r="6" spans="1:8">
      <c r="A6" s="1" t="s">
        <v>7472</v>
      </c>
      <c r="B6" s="1" t="s">
        <v>26</v>
      </c>
      <c r="C6" s="1" t="s">
        <v>4225</v>
      </c>
      <c r="D6" s="1" t="s">
        <v>21</v>
      </c>
      <c r="E6" s="12">
        <f>F6/100</f>
        <v>864</v>
      </c>
      <c r="F6" s="12">
        <f>'Physical Definitions'!E6*SI!E4</f>
        <v>86400</v>
      </c>
      <c r="G6" s="1" t="s">
        <v>22</v>
      </c>
      <c r="H6" s="1" t="s">
        <v>982</v>
      </c>
    </row>
    <row r="7" spans="1:8">
      <c r="A7" s="1" t="s">
        <v>950</v>
      </c>
      <c r="B7" s="1" t="s">
        <v>26</v>
      </c>
      <c r="C7" s="1" t="s">
        <v>4225</v>
      </c>
      <c r="D7" s="1" t="s">
        <v>21</v>
      </c>
      <c r="E7" s="12">
        <f>100*F7</f>
        <v>3153600000</v>
      </c>
      <c r="F7" s="12">
        <f>'Physical Definitions'!E7*SI!E4</f>
        <v>31536000</v>
      </c>
      <c r="G7" s="1" t="s">
        <v>22</v>
      </c>
      <c r="H7" s="1" t="s">
        <v>626</v>
      </c>
    </row>
    <row r="8" spans="1:8">
      <c r="A8" s="1" t="s">
        <v>1416</v>
      </c>
      <c r="B8" s="1" t="s">
        <v>26</v>
      </c>
      <c r="C8" s="1" t="s">
        <v>4225</v>
      </c>
      <c r="D8" s="1" t="s">
        <v>21</v>
      </c>
      <c r="E8" s="12">
        <f>1E-23*F8</f>
        <v>9.9999999999999996E-24</v>
      </c>
      <c r="F8" s="12">
        <f>SI!E4</f>
        <v>1</v>
      </c>
      <c r="G8" s="1" t="s">
        <v>22</v>
      </c>
      <c r="H8" s="1" t="s">
        <v>982</v>
      </c>
    </row>
    <row r="9" spans="1:8">
      <c r="A9" s="1" t="s">
        <v>145</v>
      </c>
      <c r="B9" s="1" t="s">
        <v>3885</v>
      </c>
      <c r="C9" s="1" t="s">
        <v>4225</v>
      </c>
      <c r="D9" s="1" t="s">
        <v>21</v>
      </c>
      <c r="E9" s="12">
        <f>1000000*F9</f>
        <v>31557600000000</v>
      </c>
      <c r="F9" s="12">
        <f>'Physical Definitions'!E8*SI!E4</f>
        <v>31557600</v>
      </c>
      <c r="G9" s="1" t="s">
        <v>22</v>
      </c>
      <c r="H9" s="1" t="s">
        <v>982</v>
      </c>
    </row>
    <row r="10" spans="1:8">
      <c r="A10" s="1" t="s">
        <v>944</v>
      </c>
      <c r="B10" s="1" t="s">
        <v>26</v>
      </c>
      <c r="C10" s="1" t="s">
        <v>4225</v>
      </c>
      <c r="D10" s="1" t="s">
        <v>21</v>
      </c>
      <c r="E10" s="12">
        <f>F10</f>
        <v>86400</v>
      </c>
      <c r="F10" s="12">
        <f>'Physical Definitions'!E6*SI!E4</f>
        <v>86400</v>
      </c>
      <c r="G10" s="1" t="s">
        <v>22</v>
      </c>
      <c r="H10" s="1" t="s">
        <v>626</v>
      </c>
    </row>
    <row r="11" spans="1:8">
      <c r="A11" s="1" t="s">
        <v>7091</v>
      </c>
      <c r="B11" s="1" t="s">
        <v>6441</v>
      </c>
      <c r="C11" s="1" t="s">
        <v>4225</v>
      </c>
      <c r="D11" s="1" t="s">
        <v>21</v>
      </c>
      <c r="E11" s="12">
        <f>F11</f>
        <v>86402.279534565372</v>
      </c>
      <c r="F11" s="12">
        <f>SI!E4*(365*24*3600+6*3600+13*60+52.6)/365.25</f>
        <v>86402.279534565372</v>
      </c>
      <c r="G11" s="1" t="s">
        <v>22</v>
      </c>
      <c r="H11" s="1" t="s">
        <v>982</v>
      </c>
    </row>
    <row r="12" spans="1:8">
      <c r="A12" s="1" t="s">
        <v>6442</v>
      </c>
      <c r="B12" s="1" t="s">
        <v>26</v>
      </c>
      <c r="C12" s="1" t="s">
        <v>4225</v>
      </c>
      <c r="D12" s="1" t="s">
        <v>21</v>
      </c>
      <c r="E12" s="12">
        <f>86400.75452*F12</f>
        <v>86400.754520000002</v>
      </c>
      <c r="F12" s="12">
        <f>SI!E4</f>
        <v>1</v>
      </c>
      <c r="G12" s="1" t="s">
        <v>22</v>
      </c>
      <c r="H12" s="1" t="s">
        <v>982</v>
      </c>
    </row>
    <row r="13" spans="1:8">
      <c r="A13" s="1" t="s">
        <v>6443</v>
      </c>
      <c r="B13" s="1" t="s">
        <v>26</v>
      </c>
      <c r="C13" s="1" t="s">
        <v>4225</v>
      </c>
      <c r="D13" s="1" t="s">
        <v>21</v>
      </c>
      <c r="E13" s="12">
        <f>F13</f>
        <v>86401.631794989735</v>
      </c>
      <c r="F13" s="12">
        <f>SI!E4*(365*24*3600+ 6*3600+ 9*60+ 56.01312)/365.25</f>
        <v>86401.631794989735</v>
      </c>
      <c r="G13" s="1" t="s">
        <v>22</v>
      </c>
      <c r="H13" s="1" t="s">
        <v>982</v>
      </c>
    </row>
    <row r="14" spans="1:8">
      <c r="A14" s="1" t="s">
        <v>6444</v>
      </c>
      <c r="B14" s="1" t="s">
        <v>26</v>
      </c>
      <c r="C14" s="1" t="s">
        <v>4225</v>
      </c>
      <c r="D14" s="1" t="s">
        <v>21</v>
      </c>
      <c r="E14" s="12">
        <f>F14</f>
        <v>86164.090500000006</v>
      </c>
      <c r="F14" s="12">
        <f>(23*3600 + 56*60 + 4.0905)*SI!E4</f>
        <v>86164.090500000006</v>
      </c>
      <c r="G14" s="1" t="s">
        <v>22</v>
      </c>
      <c r="H14" s="1" t="s">
        <v>982</v>
      </c>
    </row>
    <row r="15" spans="1:8">
      <c r="A15" s="1" t="s">
        <v>6445</v>
      </c>
      <c r="B15" s="1" t="s">
        <v>26</v>
      </c>
      <c r="C15" s="1" t="s">
        <v>4225</v>
      </c>
      <c r="D15" s="1" t="s">
        <v>21</v>
      </c>
      <c r="E15" s="12">
        <f>F15</f>
        <v>86400</v>
      </c>
      <c r="F15" s="12">
        <f>'Physical Definitions'!E6*SI!E4</f>
        <v>86400</v>
      </c>
      <c r="G15" s="1" t="s">
        <v>22</v>
      </c>
      <c r="H15" s="1" t="s">
        <v>982</v>
      </c>
    </row>
    <row r="16" spans="1:8">
      <c r="A16" s="1" t="s">
        <v>6446</v>
      </c>
      <c r="B16" s="1" t="s">
        <v>26</v>
      </c>
      <c r="C16" s="1" t="s">
        <v>4225</v>
      </c>
      <c r="D16" s="1" t="s">
        <v>21</v>
      </c>
      <c r="E16" s="12">
        <f>F16</f>
        <v>86164.098899999997</v>
      </c>
      <c r="F16" s="12">
        <f>(23*3600 + 56*60 + 4.0989)*SI!E4</f>
        <v>86164.098899999997</v>
      </c>
      <c r="G16" s="1" t="s">
        <v>22</v>
      </c>
      <c r="H16" s="1" t="s">
        <v>982</v>
      </c>
    </row>
    <row r="17" spans="1:8">
      <c r="A17" s="1" t="s">
        <v>6447</v>
      </c>
      <c r="B17" s="1" t="s">
        <v>26</v>
      </c>
      <c r="C17" s="1" t="s">
        <v>4225</v>
      </c>
      <c r="D17" s="1" t="s">
        <v>21</v>
      </c>
      <c r="E17" s="12">
        <f>F17</f>
        <v>86398.151950718689</v>
      </c>
      <c r="F17" s="12">
        <f>SI!E4*(365*24*3600+ 5*3600+48*60+45)/365.25</f>
        <v>86398.151950718689</v>
      </c>
      <c r="G17" s="1" t="s">
        <v>22</v>
      </c>
      <c r="H17" s="1" t="s">
        <v>982</v>
      </c>
    </row>
    <row r="18" spans="1:8">
      <c r="A18" s="1" t="s">
        <v>162</v>
      </c>
      <c r="B18" s="1" t="s">
        <v>26</v>
      </c>
      <c r="C18" s="1" t="s">
        <v>4225</v>
      </c>
      <c r="D18" s="1" t="s">
        <v>21</v>
      </c>
      <c r="E18" s="12">
        <f>10*F18</f>
        <v>315360000</v>
      </c>
      <c r="F18" s="12">
        <f>'Physical Definitions'!E7*SI!E4</f>
        <v>31536000</v>
      </c>
      <c r="G18" s="1" t="s">
        <v>22</v>
      </c>
      <c r="H18" s="1" t="s">
        <v>626</v>
      </c>
    </row>
    <row r="19" spans="1:8">
      <c r="A19" s="1" t="s">
        <v>186</v>
      </c>
      <c r="B19" s="1" t="s">
        <v>3886</v>
      </c>
      <c r="C19" s="1" t="s">
        <v>4225</v>
      </c>
      <c r="D19" s="1" t="s">
        <v>21</v>
      </c>
      <c r="E19" s="12">
        <f>1000000000*F19</f>
        <v>3.15576E+16</v>
      </c>
      <c r="F19" s="12">
        <f>'Physical Definitions'!E8*SI!E4</f>
        <v>31557600</v>
      </c>
      <c r="G19" s="1" t="s">
        <v>22</v>
      </c>
      <c r="H19" s="1" t="s">
        <v>626</v>
      </c>
    </row>
    <row r="20" spans="1:8">
      <c r="A20" s="1" t="s">
        <v>1630</v>
      </c>
      <c r="B20" s="1" t="s">
        <v>26</v>
      </c>
      <c r="C20" s="1" t="s">
        <v>4225</v>
      </c>
      <c r="D20" s="1" t="s">
        <v>21</v>
      </c>
      <c r="E20" s="12">
        <f>14*F20</f>
        <v>1209600</v>
      </c>
      <c r="F20" s="12">
        <f>'Physical Definitions'!E6*SI!E4</f>
        <v>86400</v>
      </c>
      <c r="G20" s="1" t="s">
        <v>22</v>
      </c>
      <c r="H20" s="1" t="s">
        <v>46</v>
      </c>
    </row>
    <row r="21" spans="1:8">
      <c r="A21" s="1" t="s">
        <v>6448</v>
      </c>
      <c r="B21" s="1" t="s">
        <v>6449</v>
      </c>
      <c r="C21" s="1" t="s">
        <v>4225</v>
      </c>
      <c r="D21" s="1" t="s">
        <v>21</v>
      </c>
      <c r="E21" s="12">
        <f>25*F21</f>
        <v>788940000</v>
      </c>
      <c r="F21" s="12">
        <f>'Physical Definitions'!E8*SI!E4</f>
        <v>31557600</v>
      </c>
      <c r="G21" s="1" t="s">
        <v>22</v>
      </c>
      <c r="H21" s="1" t="s">
        <v>58</v>
      </c>
    </row>
    <row r="22" spans="1:8">
      <c r="A22" s="1" t="s">
        <v>6451</v>
      </c>
      <c r="B22" s="1" t="s">
        <v>6450</v>
      </c>
      <c r="C22" s="1" t="s">
        <v>4225</v>
      </c>
      <c r="D22" s="1" t="s">
        <v>21</v>
      </c>
      <c r="E22" s="12">
        <f>33*F22</f>
        <v>1041400800</v>
      </c>
      <c r="F22" s="12">
        <f>'Physical Definitions'!E8*SI!E4</f>
        <v>31557600</v>
      </c>
      <c r="G22" s="1" t="s">
        <v>22</v>
      </c>
      <c r="H22" s="1" t="s">
        <v>58</v>
      </c>
    </row>
    <row r="23" spans="1:8">
      <c r="A23" s="1" t="s">
        <v>534</v>
      </c>
      <c r="B23" s="1" t="s">
        <v>26</v>
      </c>
      <c r="C23" s="1" t="s">
        <v>4225</v>
      </c>
      <c r="D23" s="1" t="s">
        <v>21</v>
      </c>
      <c r="E23" s="12">
        <f>30*F23</f>
        <v>1800</v>
      </c>
      <c r="F23" s="12">
        <f>'Physical Definitions'!E4*SI!E4</f>
        <v>60</v>
      </c>
      <c r="G23" s="1" t="s">
        <v>22</v>
      </c>
      <c r="H23" s="1" t="s">
        <v>1148</v>
      </c>
    </row>
    <row r="24" spans="1:8">
      <c r="A24" s="1" t="s">
        <v>241</v>
      </c>
      <c r="B24" s="1" t="s">
        <v>6452</v>
      </c>
      <c r="C24" s="1" t="s">
        <v>4225</v>
      </c>
      <c r="D24" s="1" t="s">
        <v>21</v>
      </c>
      <c r="E24" s="12">
        <f>F24</f>
        <v>3600</v>
      </c>
      <c r="F24" s="12">
        <f>'Physical Definitions'!E5*SI!E4</f>
        <v>3600</v>
      </c>
      <c r="G24" s="1" t="s">
        <v>22</v>
      </c>
      <c r="H24" s="1" t="s">
        <v>626</v>
      </c>
    </row>
    <row r="25" spans="1:8">
      <c r="A25" s="1" t="s">
        <v>6453</v>
      </c>
      <c r="B25" s="1" t="s">
        <v>26</v>
      </c>
      <c r="C25" s="1" t="s">
        <v>4225</v>
      </c>
      <c r="D25" s="1" t="s">
        <v>21</v>
      </c>
      <c r="E25" s="12">
        <f>F25</f>
        <v>3590.1704375000004</v>
      </c>
      <c r="F25" s="12">
        <f>(23*3600 + 56*60 + 4.0905)*SI!E4/24</f>
        <v>3590.1704375000004</v>
      </c>
      <c r="G25" s="1" t="s">
        <v>22</v>
      </c>
      <c r="H25" s="1" t="s">
        <v>202</v>
      </c>
    </row>
    <row r="26" spans="1:8">
      <c r="A26" s="1" t="s">
        <v>543</v>
      </c>
      <c r="B26" s="1" t="s">
        <v>26</v>
      </c>
      <c r="C26" s="1" t="s">
        <v>4225</v>
      </c>
      <c r="D26" s="1" t="s">
        <v>21</v>
      </c>
      <c r="E26" s="12">
        <f>0.01*F26</f>
        <v>0.01</v>
      </c>
      <c r="F26" s="12">
        <f>SI!E4</f>
        <v>1</v>
      </c>
      <c r="G26" s="1" t="s">
        <v>22</v>
      </c>
      <c r="H26" s="1" t="s">
        <v>982</v>
      </c>
    </row>
    <row r="27" spans="1:8">
      <c r="A27" s="1" t="s">
        <v>7471</v>
      </c>
      <c r="B27" s="1" t="s">
        <v>26</v>
      </c>
      <c r="C27" s="1" t="s">
        <v>4225</v>
      </c>
      <c r="D27" s="1" t="s">
        <v>21</v>
      </c>
      <c r="E27" s="12">
        <f>F27</f>
        <v>9.3996371523128842E-24</v>
      </c>
      <c r="F27" s="12">
        <f>'Physical Measurements'!E10*SI!E4/'Physical Constants'!E3</f>
        <v>9.3996371523128842E-24</v>
      </c>
      <c r="G27" s="1" t="s">
        <v>22</v>
      </c>
      <c r="H27" s="1" t="s">
        <v>982</v>
      </c>
    </row>
    <row r="28" spans="1:8" ht="24.9" customHeight="1">
      <c r="A28" s="1" t="s">
        <v>550</v>
      </c>
      <c r="B28" s="1" t="s">
        <v>26</v>
      </c>
      <c r="C28" s="1" t="s">
        <v>4225</v>
      </c>
      <c r="D28" s="1" t="s">
        <v>21</v>
      </c>
      <c r="E28" s="12">
        <f>5*F28</f>
        <v>157788000</v>
      </c>
      <c r="F28" s="12">
        <f>'Physical Definitions'!E8*SI!E4</f>
        <v>31557600</v>
      </c>
      <c r="G28" s="1" t="s">
        <v>22</v>
      </c>
      <c r="H28" s="1" t="s">
        <v>40</v>
      </c>
    </row>
    <row r="29" spans="1:8">
      <c r="A29" s="1" t="s">
        <v>295</v>
      </c>
      <c r="B29" s="1" t="s">
        <v>20</v>
      </c>
      <c r="C29" s="1" t="s">
        <v>4225</v>
      </c>
      <c r="D29" s="1" t="s">
        <v>21</v>
      </c>
      <c r="E29" s="12">
        <f>1000*F29</f>
        <v>31557600000</v>
      </c>
      <c r="F29" s="12">
        <f>'Physical Definitions'!E8*SI!E4</f>
        <v>31557600</v>
      </c>
      <c r="G29" s="1" t="s">
        <v>22</v>
      </c>
      <c r="H29" s="1" t="s">
        <v>58</v>
      </c>
    </row>
    <row r="30" spans="1:8" ht="205.8" customHeight="1">
      <c r="A30" s="1" t="s">
        <v>2084</v>
      </c>
      <c r="B30" s="1" t="s">
        <v>26</v>
      </c>
      <c r="C30" s="1" t="s">
        <v>4225</v>
      </c>
      <c r="D30" s="1" t="s">
        <v>21</v>
      </c>
      <c r="E30" s="12">
        <f>F30/1080</f>
        <v>3.3333333333333335</v>
      </c>
      <c r="F30" s="12">
        <f>'Physical Definitions'!E5*SI!E4</f>
        <v>3600</v>
      </c>
      <c r="G30" s="1" t="s">
        <v>22</v>
      </c>
      <c r="H30" s="1" t="s">
        <v>982</v>
      </c>
    </row>
    <row r="31" spans="1:8">
      <c r="A31" s="1" t="s">
        <v>299</v>
      </c>
      <c r="B31" s="1" t="s">
        <v>1054</v>
      </c>
      <c r="C31" s="1" t="s">
        <v>4225</v>
      </c>
      <c r="D31" s="1" t="s">
        <v>21</v>
      </c>
      <c r="E31" s="12">
        <f>F31</f>
        <v>60</v>
      </c>
      <c r="F31" s="12">
        <f>'Physical Definitions'!E4*SI!E4</f>
        <v>60</v>
      </c>
      <c r="G31" s="1" t="s">
        <v>22</v>
      </c>
      <c r="H31" s="1" t="s">
        <v>626</v>
      </c>
    </row>
    <row r="32" spans="1:8">
      <c r="A32" s="1" t="s">
        <v>2960</v>
      </c>
      <c r="B32" s="1" t="s">
        <v>303</v>
      </c>
      <c r="C32" s="1" t="s">
        <v>4225</v>
      </c>
      <c r="D32" s="1" t="s">
        <v>21</v>
      </c>
      <c r="E32" s="12">
        <f>30*F32</f>
        <v>2592000</v>
      </c>
      <c r="F32" s="12">
        <f>'Physical Definitions'!E6*SI!E4</f>
        <v>86400</v>
      </c>
      <c r="G32" s="1" t="s">
        <v>22</v>
      </c>
      <c r="H32" s="1" t="s">
        <v>626</v>
      </c>
    </row>
    <row r="33" spans="1:8">
      <c r="A33" s="1" t="s">
        <v>6454</v>
      </c>
      <c r="B33" s="1" t="s">
        <v>26</v>
      </c>
      <c r="C33" s="1" t="s">
        <v>4225</v>
      </c>
      <c r="D33" s="1" t="s">
        <v>21</v>
      </c>
      <c r="E33" s="12">
        <f>28*F33</f>
        <v>2419200</v>
      </c>
      <c r="F33" s="12">
        <f>'Physical Definitions'!E6*SI!E4</f>
        <v>86400</v>
      </c>
      <c r="G33" s="1" t="s">
        <v>22</v>
      </c>
      <c r="H33" s="1" t="s">
        <v>982</v>
      </c>
    </row>
    <row r="34" spans="1:8">
      <c r="A34" s="1" t="s">
        <v>6455</v>
      </c>
      <c r="B34" s="1" t="s">
        <v>26</v>
      </c>
      <c r="C34" s="1" t="s">
        <v>4225</v>
      </c>
      <c r="D34" s="1" t="s">
        <v>21</v>
      </c>
      <c r="E34" s="12">
        <f>F34</f>
        <v>2628000</v>
      </c>
      <c r="F34" s="12">
        <f>'Physical Definitions'!E7*SI!E4/12</f>
        <v>2628000</v>
      </c>
      <c r="G34" s="1" t="s">
        <v>22</v>
      </c>
      <c r="H34" s="1" t="s">
        <v>982</v>
      </c>
    </row>
    <row r="35" spans="1:8" ht="43.2" customHeight="1">
      <c r="A35" s="1" t="s">
        <v>568</v>
      </c>
      <c r="B35" s="8" t="s">
        <v>26</v>
      </c>
      <c r="C35" s="1" t="s">
        <v>4225</v>
      </c>
      <c r="D35" s="1" t="s">
        <v>21</v>
      </c>
      <c r="E35" s="12">
        <f>4*F35</f>
        <v>126230400</v>
      </c>
      <c r="F35" s="12">
        <f>'Physical Definitions'!E8*SI!E4</f>
        <v>31557600</v>
      </c>
      <c r="G35" s="1" t="s">
        <v>22</v>
      </c>
      <c r="H35" s="1" t="s">
        <v>58</v>
      </c>
    </row>
    <row r="36" spans="1:8" ht="16.5">
      <c r="A36" s="1" t="s">
        <v>6456</v>
      </c>
      <c r="B36" s="1" t="s">
        <v>26</v>
      </c>
      <c r="C36" s="1" t="s">
        <v>4225</v>
      </c>
      <c r="D36" s="1" t="s">
        <v>21</v>
      </c>
      <c r="E36" s="12">
        <f>F36</f>
        <v>1.4532249025077113E-12</v>
      </c>
      <c r="F36" s="12">
        <f>SI!E4*(Systems!L6/7000)/('Physical Definitions'!E5*POWER(Systems!D6,2)*'Physical Measurements'!E8*'Physical Definitions'!E13)</f>
        <v>1.4532249025077113E-12</v>
      </c>
      <c r="G36" s="1" t="s">
        <v>22</v>
      </c>
      <c r="H36" s="1" t="s">
        <v>1148</v>
      </c>
    </row>
    <row r="37" spans="1:8" ht="16.5">
      <c r="A37" s="1" t="s">
        <v>6457</v>
      </c>
      <c r="B37" s="1" t="s">
        <v>26</v>
      </c>
      <c r="C37" s="1" t="s">
        <v>4225</v>
      </c>
      <c r="D37" s="1" t="s">
        <v>21</v>
      </c>
      <c r="E37" s="12">
        <f>F37</f>
        <v>1.459384445480734E-12</v>
      </c>
      <c r="F37" s="12">
        <f>SI!E4*(Systems!L6/7000)/('Physical Definitions'!E5*POWER(Systems!D6,2)*'Physical Measurements'!E16*'Physical Definitions'!E13)</f>
        <v>1.459384445480734E-12</v>
      </c>
      <c r="G37" s="1" t="s">
        <v>22</v>
      </c>
      <c r="H37" s="1" t="s">
        <v>1148</v>
      </c>
    </row>
    <row r="38" spans="1:8">
      <c r="A38" s="1" t="s">
        <v>581</v>
      </c>
      <c r="B38" s="1" t="s">
        <v>26</v>
      </c>
      <c r="C38" s="1" t="s">
        <v>4225</v>
      </c>
      <c r="D38" s="1" t="s">
        <v>21</v>
      </c>
      <c r="E38" s="12">
        <f>4*F38</f>
        <v>126230400</v>
      </c>
      <c r="F38" s="12">
        <f>'Physical Definitions'!E8*SI!E4</f>
        <v>31557600</v>
      </c>
      <c r="G38" s="1" t="s">
        <v>22</v>
      </c>
      <c r="H38" s="1" t="s">
        <v>58</v>
      </c>
    </row>
    <row r="39" spans="1:8">
      <c r="A39" s="1" t="s">
        <v>1902</v>
      </c>
      <c r="B39" s="1" t="s">
        <v>26</v>
      </c>
      <c r="C39" s="1" t="s">
        <v>4225</v>
      </c>
      <c r="D39" s="1" t="s">
        <v>21</v>
      </c>
      <c r="E39" s="12">
        <f>F39/4</f>
        <v>7889400</v>
      </c>
      <c r="F39" s="12">
        <f>'Physical Definitions'!E8*SI!E4</f>
        <v>31557600</v>
      </c>
      <c r="G39" s="1" t="s">
        <v>22</v>
      </c>
      <c r="H39" s="1" t="s">
        <v>58</v>
      </c>
    </row>
    <row r="40" spans="1:8">
      <c r="A40" s="1" t="s">
        <v>590</v>
      </c>
      <c r="B40" s="1" t="s">
        <v>26</v>
      </c>
      <c r="C40" s="1" t="s">
        <v>4225</v>
      </c>
      <c r="D40" s="1" t="s">
        <v>21</v>
      </c>
      <c r="E40" s="12">
        <f>F40</f>
        <v>568970580</v>
      </c>
      <c r="F40" s="12">
        <f>(6585*'Physical Definitions'!E6+7*'Physical Definitions'!E5+23*'Physical Definitions'!E4)*SI!E4</f>
        <v>568970580</v>
      </c>
      <c r="G40" s="1" t="s">
        <v>22</v>
      </c>
      <c r="H40" s="1" t="s">
        <v>202</v>
      </c>
    </row>
    <row r="41" spans="1:8">
      <c r="A41" s="1" t="s">
        <v>372</v>
      </c>
      <c r="B41" s="1" t="s">
        <v>2954</v>
      </c>
      <c r="C41" s="1" t="s">
        <v>4225</v>
      </c>
      <c r="D41" s="1" t="s">
        <v>21</v>
      </c>
      <c r="E41" s="12">
        <f>F41</f>
        <v>1</v>
      </c>
      <c r="F41" s="12">
        <f>SI!E4</f>
        <v>1</v>
      </c>
      <c r="G41" s="1" t="s">
        <v>22</v>
      </c>
      <c r="H41" s="1" t="s">
        <v>42</v>
      </c>
    </row>
    <row r="42" spans="1:8">
      <c r="A42" s="1" t="s">
        <v>372</v>
      </c>
      <c r="B42" s="1" t="s">
        <v>2954</v>
      </c>
      <c r="C42" s="1" t="s">
        <v>4225</v>
      </c>
      <c r="D42" s="1" t="s">
        <v>21</v>
      </c>
      <c r="E42" s="12">
        <f>F42</f>
        <v>1</v>
      </c>
      <c r="F42" s="12">
        <f>SI!E4</f>
        <v>1</v>
      </c>
      <c r="G42" s="1" t="s">
        <v>22</v>
      </c>
      <c r="H42" s="1" t="s">
        <v>117</v>
      </c>
    </row>
    <row r="43" spans="1:8">
      <c r="A43" s="1" t="s">
        <v>372</v>
      </c>
      <c r="B43" s="1" t="s">
        <v>2954</v>
      </c>
      <c r="C43" s="1" t="s">
        <v>4225</v>
      </c>
      <c r="D43" s="1" t="s">
        <v>21</v>
      </c>
      <c r="E43" s="12">
        <f>F43</f>
        <v>1</v>
      </c>
      <c r="F43" s="12">
        <f>SI!E4</f>
        <v>1</v>
      </c>
      <c r="G43" s="1" t="s">
        <v>22</v>
      </c>
      <c r="H43" s="1" t="s">
        <v>626</v>
      </c>
    </row>
    <row r="44" spans="1:8">
      <c r="A44" s="1" t="s">
        <v>6458</v>
      </c>
      <c r="B44" s="1" t="s">
        <v>26</v>
      </c>
      <c r="C44" s="1" t="s">
        <v>4225</v>
      </c>
      <c r="D44" s="1" t="s">
        <v>21</v>
      </c>
      <c r="E44" s="12">
        <f>F44</f>
        <v>0.99726956597222227</v>
      </c>
      <c r="F44" s="12">
        <f>SI!E4*(23*'Physical Definitions'!E5 + 56*'Physical Definitions'!E4 + 4.0905)/'Physical Definitions'!E6</f>
        <v>0.99726956597222227</v>
      </c>
      <c r="G44" s="1" t="s">
        <v>22</v>
      </c>
      <c r="H44" s="1" t="s">
        <v>202</v>
      </c>
    </row>
    <row r="45" spans="1:8">
      <c r="A45" s="1" t="s">
        <v>591</v>
      </c>
      <c r="B45" s="1" t="s">
        <v>592</v>
      </c>
      <c r="C45" s="1" t="s">
        <v>4225</v>
      </c>
      <c r="D45" s="1" t="s">
        <v>21</v>
      </c>
      <c r="E45" s="12">
        <f>F45/2</f>
        <v>15768000</v>
      </c>
      <c r="F45" s="12">
        <f>'Physical Definitions'!E7*SI!E4</f>
        <v>31536000</v>
      </c>
      <c r="G45" s="1" t="s">
        <v>22</v>
      </c>
      <c r="H45" s="1" t="s">
        <v>58</v>
      </c>
    </row>
    <row r="46" spans="1:8">
      <c r="A46" s="1" t="s">
        <v>593</v>
      </c>
      <c r="B46" s="1" t="s">
        <v>26</v>
      </c>
      <c r="C46" s="1" t="s">
        <v>4225</v>
      </c>
      <c r="D46" s="1" t="s">
        <v>21</v>
      </c>
      <c r="E46" s="12">
        <f>7*F46</f>
        <v>604800</v>
      </c>
      <c r="F46" s="12">
        <f>'Physical Definitions'!E6*SI!E4</f>
        <v>86400</v>
      </c>
      <c r="G46" s="1" t="s">
        <v>22</v>
      </c>
      <c r="H46" s="1" t="s">
        <v>1148</v>
      </c>
    </row>
    <row r="47" spans="1:8">
      <c r="A47" s="1" t="s">
        <v>374</v>
      </c>
      <c r="B47" s="1" t="s">
        <v>26</v>
      </c>
      <c r="C47" s="1" t="s">
        <v>4225</v>
      </c>
      <c r="D47" s="1" t="s">
        <v>21</v>
      </c>
      <c r="E47" s="12">
        <f>0.00000001*F47</f>
        <v>1E-8</v>
      </c>
      <c r="F47" s="12">
        <f>SI!E4</f>
        <v>1</v>
      </c>
      <c r="G47" s="1" t="s">
        <v>22</v>
      </c>
      <c r="H47" s="1" t="s">
        <v>47</v>
      </c>
    </row>
    <row r="48" spans="1:8">
      <c r="A48" s="1" t="s">
        <v>382</v>
      </c>
      <c r="B48" s="1" t="s">
        <v>26</v>
      </c>
      <c r="C48" s="1" t="s">
        <v>4225</v>
      </c>
      <c r="D48" s="1" t="s">
        <v>21</v>
      </c>
      <c r="E48" s="12">
        <f>0.000001*F48</f>
        <v>9.9999999999999995E-7</v>
      </c>
      <c r="F48" s="12">
        <f>SI!E4</f>
        <v>1</v>
      </c>
      <c r="G48" s="1" t="s">
        <v>22</v>
      </c>
      <c r="H48" s="1" t="s">
        <v>982</v>
      </c>
    </row>
    <row r="49" spans="1:8">
      <c r="A49" s="1" t="s">
        <v>2590</v>
      </c>
      <c r="B49" s="1" t="s">
        <v>26</v>
      </c>
      <c r="C49" s="1" t="s">
        <v>4225</v>
      </c>
      <c r="D49" s="1" t="s">
        <v>21</v>
      </c>
      <c r="E49" s="12">
        <f>0.0000000000001*F49</f>
        <v>1E-13</v>
      </c>
      <c r="F49" s="12">
        <f>SI!E4</f>
        <v>1</v>
      </c>
      <c r="G49" s="1" t="s">
        <v>22</v>
      </c>
      <c r="H49" s="1" t="s">
        <v>982</v>
      </c>
    </row>
    <row r="50" spans="1:8">
      <c r="A50" s="1" t="s">
        <v>1415</v>
      </c>
      <c r="B50" s="1" t="s">
        <v>26</v>
      </c>
      <c r="C50" s="1" t="s">
        <v>4225</v>
      </c>
      <c r="D50" s="1" t="s">
        <v>21</v>
      </c>
      <c r="E50" s="12">
        <f>F50</f>
        <v>9.3996371523128842E-24</v>
      </c>
      <c r="F50" s="12">
        <f>('Physical Measurements'!E10*SI!E4)/'Physical Constants'!E3</f>
        <v>9.3996371523128842E-24</v>
      </c>
      <c r="G50" s="1" t="s">
        <v>22</v>
      </c>
      <c r="H50" s="1" t="s">
        <v>982</v>
      </c>
    </row>
    <row r="51" spans="1:8">
      <c r="A51" s="1" t="s">
        <v>614</v>
      </c>
      <c r="B51" s="1" t="s">
        <v>26</v>
      </c>
      <c r="C51" s="1" t="s">
        <v>4225</v>
      </c>
      <c r="D51" s="1" t="s">
        <v>21</v>
      </c>
      <c r="E51" s="12">
        <v>94672800</v>
      </c>
      <c r="F51" s="12">
        <f>3*'Physical Definitions'!E8*SI!E4</f>
        <v>94672800</v>
      </c>
      <c r="G51" s="1" t="s">
        <v>22</v>
      </c>
      <c r="H51" s="1" t="s">
        <v>58</v>
      </c>
    </row>
    <row r="52" spans="1:8">
      <c r="A52" s="1" t="s">
        <v>2702</v>
      </c>
      <c r="B52" s="1" t="s">
        <v>26</v>
      </c>
      <c r="C52" s="1" t="s">
        <v>4225</v>
      </c>
      <c r="D52" s="1" t="s">
        <v>21</v>
      </c>
      <c r="E52" s="12">
        <f>F52/4</f>
        <v>7889400</v>
      </c>
      <c r="F52" s="12">
        <f>'Physical Definitions'!E8*SI!E4</f>
        <v>31557600</v>
      </c>
      <c r="G52" s="1" t="s">
        <v>22</v>
      </c>
      <c r="H52" s="1" t="s">
        <v>58</v>
      </c>
    </row>
    <row r="53" spans="1:8">
      <c r="A53" s="1" t="s">
        <v>618</v>
      </c>
      <c r="B53" s="1" t="s">
        <v>26</v>
      </c>
      <c r="C53" s="1" t="s">
        <v>4225</v>
      </c>
      <c r="D53" s="1" t="s">
        <v>21</v>
      </c>
      <c r="E53" s="12">
        <f>240*F53</f>
        <v>14400</v>
      </c>
      <c r="F53" s="12">
        <f>'Physical Definitions'!E4*SI!E4</f>
        <v>60</v>
      </c>
      <c r="G53" s="1" t="s">
        <v>22</v>
      </c>
      <c r="H53" s="1" t="s">
        <v>1148</v>
      </c>
    </row>
    <row r="54" spans="1:8">
      <c r="A54" s="1" t="s">
        <v>6459</v>
      </c>
      <c r="B54" s="1" t="s">
        <v>26</v>
      </c>
      <c r="C54" s="1" t="s">
        <v>4225</v>
      </c>
      <c r="D54" s="1" t="s">
        <v>21</v>
      </c>
      <c r="E54" s="12">
        <f>6*F54</f>
        <v>21600</v>
      </c>
      <c r="F54" s="12">
        <f>'Physical Definitions'!E5*SI!E4</f>
        <v>3600</v>
      </c>
      <c r="G54" s="1" t="s">
        <v>22</v>
      </c>
      <c r="H54" s="1" t="s">
        <v>1148</v>
      </c>
    </row>
    <row r="55" spans="1:8">
      <c r="A55" s="1" t="s">
        <v>421</v>
      </c>
      <c r="B55" s="1" t="s">
        <v>6460</v>
      </c>
      <c r="C55" s="1" t="s">
        <v>4225</v>
      </c>
      <c r="D55" s="1" t="s">
        <v>21</v>
      </c>
      <c r="E55" s="12">
        <f>7*F55</f>
        <v>604800</v>
      </c>
      <c r="F55" s="12">
        <f>'Physical Definitions'!E6*SI!E4</f>
        <v>86400</v>
      </c>
      <c r="G55" s="1" t="s">
        <v>22</v>
      </c>
      <c r="H55" s="1" t="s">
        <v>626</v>
      </c>
    </row>
    <row r="56" spans="1:8">
      <c r="A56" s="1" t="s">
        <v>429</v>
      </c>
      <c r="B56" s="1" t="s">
        <v>26</v>
      </c>
      <c r="C56" s="1" t="s">
        <v>4225</v>
      </c>
      <c r="D56" s="1" t="s">
        <v>21</v>
      </c>
      <c r="E56" s="12">
        <f>0.000001*F56/3000</f>
        <v>3.3333333333333332E-10</v>
      </c>
      <c r="F56" s="12">
        <f>SI!E4</f>
        <v>1</v>
      </c>
      <c r="G56" s="1" t="s">
        <v>22</v>
      </c>
      <c r="H56" s="1" t="s">
        <v>982</v>
      </c>
    </row>
    <row r="57" spans="1:8">
      <c r="A57" s="1" t="s">
        <v>6470</v>
      </c>
      <c r="B57" s="1" t="s">
        <v>26</v>
      </c>
      <c r="C57" s="1" t="s">
        <v>4225</v>
      </c>
      <c r="D57" s="1" t="s">
        <v>21</v>
      </c>
      <c r="E57" s="12">
        <f t="shared" ref="E57:E70" si="0">F57</f>
        <v>30585600</v>
      </c>
      <c r="F57" s="12">
        <f>354*'Physical Definitions'!E6*SI!E4</f>
        <v>30585600</v>
      </c>
      <c r="G57" s="1" t="s">
        <v>22</v>
      </c>
      <c r="H57" s="1" t="s">
        <v>43</v>
      </c>
    </row>
    <row r="58" spans="1:8">
      <c r="A58" s="1" t="s">
        <v>6462</v>
      </c>
      <c r="B58" s="1" t="s">
        <v>6463</v>
      </c>
      <c r="C58" s="1" t="s">
        <v>4225</v>
      </c>
      <c r="D58" s="1" t="s">
        <v>21</v>
      </c>
      <c r="E58" s="12">
        <f t="shared" si="0"/>
        <v>31558432.600000001</v>
      </c>
      <c r="F58" s="12">
        <f>(365*'Physical Definitions'!E6 + 6*'Physical Definitions'!E5 + 13*'Physical Definitions'!E4 + 52.6)*SI!E4</f>
        <v>31558432.600000001</v>
      </c>
      <c r="G58" s="1" t="s">
        <v>22</v>
      </c>
      <c r="H58" s="1" t="s">
        <v>982</v>
      </c>
    </row>
    <row r="59" spans="1:8">
      <c r="A59" s="1" t="s">
        <v>6466</v>
      </c>
      <c r="B59" s="1" t="s">
        <v>6464</v>
      </c>
      <c r="C59" s="1" t="s">
        <v>4225</v>
      </c>
      <c r="D59" s="1" t="s">
        <v>21</v>
      </c>
      <c r="E59" s="12">
        <f t="shared" si="0"/>
        <v>31557875.590100002</v>
      </c>
      <c r="F59" s="12">
        <f>(365*'Physical Definitions'!E6 + 6*'Physical Definitions'!E5 + 4*'Physical Definitions'!E4 + 35.5901)*SI!E4</f>
        <v>31557875.590100002</v>
      </c>
      <c r="G59" s="1" t="s">
        <v>22</v>
      </c>
      <c r="H59" s="1" t="s">
        <v>982</v>
      </c>
    </row>
    <row r="60" spans="1:8">
      <c r="A60" s="1" t="s">
        <v>6467</v>
      </c>
      <c r="B60" s="1" t="s">
        <v>6465</v>
      </c>
      <c r="C60" s="1" t="s">
        <v>4225</v>
      </c>
      <c r="D60" s="1" t="s">
        <v>21</v>
      </c>
      <c r="E60" s="12">
        <f t="shared" si="0"/>
        <v>31536000</v>
      </c>
      <c r="F60" s="12">
        <f>'Physical Definitions'!E7*SI!E4</f>
        <v>31536000</v>
      </c>
      <c r="G60" s="1" t="s">
        <v>22</v>
      </c>
      <c r="H60" s="1" t="s">
        <v>626</v>
      </c>
    </row>
    <row r="61" spans="1:8">
      <c r="A61" s="1" t="s">
        <v>7090</v>
      </c>
      <c r="B61" s="1" t="s">
        <v>6461</v>
      </c>
      <c r="C61" s="1" t="s">
        <v>4225</v>
      </c>
      <c r="D61" s="1" t="s">
        <v>21</v>
      </c>
      <c r="E61" s="12">
        <f>F61</f>
        <v>31536000</v>
      </c>
      <c r="F61" s="12">
        <f>'Physical Definitions'!E7*SI!E4</f>
        <v>31536000</v>
      </c>
      <c r="G61" s="1" t="s">
        <v>22</v>
      </c>
      <c r="H61" s="1" t="s">
        <v>626</v>
      </c>
    </row>
    <row r="62" spans="1:8">
      <c r="A62" s="1" t="s">
        <v>6468</v>
      </c>
      <c r="B62" s="1" t="s">
        <v>6461</v>
      </c>
      <c r="C62" s="1" t="s">
        <v>4225</v>
      </c>
      <c r="D62" s="1" t="s">
        <v>21</v>
      </c>
      <c r="E62" s="12">
        <f>F62</f>
        <v>31536000</v>
      </c>
      <c r="F62" s="12">
        <f>'Physical Definitions'!E7*SI!E4</f>
        <v>31536000</v>
      </c>
      <c r="G62" s="1" t="s">
        <v>22</v>
      </c>
      <c r="H62" s="1" t="s">
        <v>982</v>
      </c>
    </row>
    <row r="63" spans="1:8">
      <c r="A63" s="1" t="s">
        <v>6469</v>
      </c>
      <c r="B63" s="1" t="s">
        <v>26</v>
      </c>
      <c r="C63" s="1" t="s">
        <v>4225</v>
      </c>
      <c r="D63" s="1" t="s">
        <v>21</v>
      </c>
      <c r="E63" s="12">
        <f t="shared" si="0"/>
        <v>29947975</v>
      </c>
      <c r="F63" s="12">
        <f>(346*'Physical Definitions'!E6 + 14*'Physical Definitions'!E5 + 52*'Physical Definitions'!E4 + 55)*SI!E4</f>
        <v>29947975</v>
      </c>
      <c r="G63" s="1" t="s">
        <v>22</v>
      </c>
      <c r="H63" s="1" t="s">
        <v>202</v>
      </c>
    </row>
    <row r="64" spans="1:8">
      <c r="A64" s="1" t="s">
        <v>6471</v>
      </c>
      <c r="B64" s="1" t="s">
        <v>6472</v>
      </c>
      <c r="C64" s="1" t="s">
        <v>4225</v>
      </c>
      <c r="D64" s="1" t="s">
        <v>21</v>
      </c>
      <c r="E64" s="12">
        <f t="shared" si="0"/>
        <v>31558196</v>
      </c>
      <c r="F64" s="12">
        <f>(365*'Physical Definitions'!E6 + 6*'Physical Definitions'!E5 + 9*'Physical Definitions'!E4 + 56)*SI!E4</f>
        <v>31558196</v>
      </c>
      <c r="G64" s="1" t="s">
        <v>22</v>
      </c>
      <c r="H64" s="1" t="s">
        <v>982</v>
      </c>
    </row>
    <row r="65" spans="1:8">
      <c r="A65" s="1" t="s">
        <v>6476</v>
      </c>
      <c r="B65" s="1" t="s">
        <v>6473</v>
      </c>
      <c r="C65" s="1" t="s">
        <v>4225</v>
      </c>
      <c r="D65" s="1" t="s">
        <v>21</v>
      </c>
      <c r="E65" s="12">
        <f t="shared" si="0"/>
        <v>31557600</v>
      </c>
      <c r="F65" s="12">
        <f>'Physical Definitions'!E8*SI!E4</f>
        <v>31557600</v>
      </c>
      <c r="G65" s="1" t="s">
        <v>22</v>
      </c>
      <c r="H65" s="1" t="s">
        <v>626</v>
      </c>
    </row>
    <row r="66" spans="1:8">
      <c r="A66" s="1" t="s">
        <v>6477</v>
      </c>
      <c r="B66" s="1" t="s">
        <v>6474</v>
      </c>
      <c r="C66" s="1" t="s">
        <v>4225</v>
      </c>
      <c r="D66" s="1" t="s">
        <v>21</v>
      </c>
      <c r="E66" s="12">
        <f t="shared" si="0"/>
        <v>31557600</v>
      </c>
      <c r="F66" s="12">
        <f>'Physical Definitions'!E8*SI!E4</f>
        <v>31557600</v>
      </c>
      <c r="G66" s="1" t="s">
        <v>22</v>
      </c>
      <c r="H66" s="1" t="s">
        <v>626</v>
      </c>
    </row>
    <row r="67" spans="1:8">
      <c r="A67" s="1" t="s">
        <v>6478</v>
      </c>
      <c r="B67" s="1" t="s">
        <v>6475</v>
      </c>
      <c r="C67" s="1" t="s">
        <v>4225</v>
      </c>
      <c r="D67" s="1" t="s">
        <v>21</v>
      </c>
      <c r="E67" s="12">
        <f t="shared" si="0"/>
        <v>11195280000</v>
      </c>
      <c r="F67" s="12">
        <f>355*'Physical Definitions'!E7*SI!E4</f>
        <v>11195280000</v>
      </c>
      <c r="G67" s="1" t="s">
        <v>22</v>
      </c>
      <c r="H67" s="1" t="s">
        <v>626</v>
      </c>
    </row>
    <row r="68" spans="1:8">
      <c r="A68" s="1" t="s">
        <v>6479</v>
      </c>
      <c r="B68" s="1" t="s">
        <v>6480</v>
      </c>
      <c r="C68" s="1" t="s">
        <v>4225</v>
      </c>
      <c r="D68" s="1" t="s">
        <v>21</v>
      </c>
      <c r="E68" s="12">
        <f t="shared" si="0"/>
        <v>31558150</v>
      </c>
      <c r="F68" s="12">
        <f>(365*'Physical Definitions'!E6 + 6*'Physical Definitions'!E5 + 9*'Physical Definitions'!E4 + 10)*SI!E4</f>
        <v>31558150</v>
      </c>
      <c r="G68" s="1" t="s">
        <v>22</v>
      </c>
      <c r="H68" s="1" t="s">
        <v>982</v>
      </c>
    </row>
    <row r="69" spans="1:8">
      <c r="A69" s="1" t="s">
        <v>6483</v>
      </c>
      <c r="B69" s="1" t="s">
        <v>6481</v>
      </c>
      <c r="C69" s="1" t="s">
        <v>4225</v>
      </c>
      <c r="D69" s="1" t="s">
        <v>21</v>
      </c>
      <c r="E69" s="12">
        <f t="shared" si="0"/>
        <v>31557600</v>
      </c>
      <c r="F69" s="12">
        <f>'Physical Definitions'!E8*SI!E4</f>
        <v>31557600</v>
      </c>
      <c r="G69" s="1" t="s">
        <v>22</v>
      </c>
      <c r="H69" s="1" t="s">
        <v>982</v>
      </c>
    </row>
    <row r="70" spans="1:8">
      <c r="A70" s="1" t="s">
        <v>6484</v>
      </c>
      <c r="B70" s="1" t="s">
        <v>6482</v>
      </c>
      <c r="C70" s="1" t="s">
        <v>4225</v>
      </c>
      <c r="D70" s="1" t="s">
        <v>21</v>
      </c>
      <c r="E70" s="12">
        <f t="shared" si="0"/>
        <v>31556925</v>
      </c>
      <c r="F70" s="12">
        <f>(365*'Physical Definitions'!E6 + 5*'Physical Definitions'!E5 + 48*'Physical Definitions'!E4 + 45)*SI!E4</f>
        <v>31556925</v>
      </c>
      <c r="G70" s="1" t="s">
        <v>22</v>
      </c>
      <c r="H70" s="1" t="s">
        <v>982</v>
      </c>
    </row>
    <row r="71" spans="1:8">
      <c r="A71" t="s">
        <v>3975</v>
      </c>
      <c r="B71" t="s">
        <v>3995</v>
      </c>
      <c r="C71" s="1" t="s">
        <v>4225</v>
      </c>
      <c r="D71" s="1" t="s">
        <v>21</v>
      </c>
      <c r="E71" s="170">
        <f>1E+24*F71</f>
        <v>9.9999999999999998E+23</v>
      </c>
      <c r="F71" s="170">
        <f>SI!E4</f>
        <v>1</v>
      </c>
      <c r="G71" s="1" t="s">
        <v>22</v>
      </c>
      <c r="H71" s="1" t="s">
        <v>42</v>
      </c>
    </row>
    <row r="72" spans="1:8">
      <c r="A72" t="s">
        <v>3976</v>
      </c>
      <c r="B72" t="s">
        <v>3996</v>
      </c>
      <c r="C72" s="1" t="s">
        <v>4225</v>
      </c>
      <c r="D72" s="1" t="s">
        <v>21</v>
      </c>
      <c r="E72" s="170">
        <f>1E+21*F72</f>
        <v>1E+21</v>
      </c>
      <c r="F72" s="170">
        <f>SI!E4</f>
        <v>1</v>
      </c>
      <c r="G72" s="1" t="s">
        <v>22</v>
      </c>
      <c r="H72" s="1" t="s">
        <v>42</v>
      </c>
    </row>
    <row r="73" spans="1:8">
      <c r="A73" t="s">
        <v>3977</v>
      </c>
      <c r="B73" t="s">
        <v>3997</v>
      </c>
      <c r="C73" s="1" t="s">
        <v>4225</v>
      </c>
      <c r="D73" s="1" t="s">
        <v>21</v>
      </c>
      <c r="E73" s="170">
        <f>1000000000000000000*F73</f>
        <v>1E+18</v>
      </c>
      <c r="F73" s="170">
        <f>SI!E4</f>
        <v>1</v>
      </c>
      <c r="G73" s="1" t="s">
        <v>22</v>
      </c>
      <c r="H73" s="1" t="s">
        <v>42</v>
      </c>
    </row>
    <row r="74" spans="1:8">
      <c r="A74" t="s">
        <v>3978</v>
      </c>
      <c r="B74" t="s">
        <v>3998</v>
      </c>
      <c r="C74" s="1" t="s">
        <v>4225</v>
      </c>
      <c r="D74" s="1" t="s">
        <v>21</v>
      </c>
      <c r="E74" s="170">
        <f>1000000000000000*F74</f>
        <v>1000000000000000</v>
      </c>
      <c r="F74" s="170">
        <f>SI!E4</f>
        <v>1</v>
      </c>
      <c r="G74" s="1" t="s">
        <v>22</v>
      </c>
      <c r="H74" s="1" t="s">
        <v>42</v>
      </c>
    </row>
    <row r="75" spans="1:8">
      <c r="A75" t="s">
        <v>3979</v>
      </c>
      <c r="B75" t="s">
        <v>3999</v>
      </c>
      <c r="C75" s="1" t="s">
        <v>4225</v>
      </c>
      <c r="D75" s="1" t="s">
        <v>21</v>
      </c>
      <c r="E75" s="170">
        <f>1000000000000*F75</f>
        <v>1000000000000</v>
      </c>
      <c r="F75" s="170">
        <f>SI!E4</f>
        <v>1</v>
      </c>
      <c r="G75" s="1" t="s">
        <v>22</v>
      </c>
      <c r="H75" s="1" t="s">
        <v>42</v>
      </c>
    </row>
    <row r="76" spans="1:8">
      <c r="A76" t="s">
        <v>3980</v>
      </c>
      <c r="B76" t="s">
        <v>4000</v>
      </c>
      <c r="C76" s="1" t="s">
        <v>4225</v>
      </c>
      <c r="D76" s="1" t="s">
        <v>21</v>
      </c>
      <c r="E76" s="170">
        <f>1000000000*F76</f>
        <v>1000000000</v>
      </c>
      <c r="F76" s="170">
        <f>SI!E4</f>
        <v>1</v>
      </c>
      <c r="G76" s="1" t="s">
        <v>22</v>
      </c>
      <c r="H76" s="1" t="s">
        <v>42</v>
      </c>
    </row>
    <row r="77" spans="1:8">
      <c r="A77" t="s">
        <v>3981</v>
      </c>
      <c r="B77" t="s">
        <v>4001</v>
      </c>
      <c r="C77" s="1" t="s">
        <v>4225</v>
      </c>
      <c r="D77" s="1" t="s">
        <v>21</v>
      </c>
      <c r="E77" s="170">
        <f>1000000*F77</f>
        <v>1000000</v>
      </c>
      <c r="F77" s="170">
        <f>SI!E4</f>
        <v>1</v>
      </c>
      <c r="G77" s="1" t="s">
        <v>22</v>
      </c>
      <c r="H77" s="1" t="s">
        <v>42</v>
      </c>
    </row>
    <row r="78" spans="1:8">
      <c r="A78" t="s">
        <v>3982</v>
      </c>
      <c r="B78" t="s">
        <v>4002</v>
      </c>
      <c r="C78" s="1" t="s">
        <v>4225</v>
      </c>
      <c r="D78" s="1" t="s">
        <v>21</v>
      </c>
      <c r="E78" s="170">
        <f>1000*F78</f>
        <v>1000</v>
      </c>
      <c r="F78" s="170">
        <f>SI!E4</f>
        <v>1</v>
      </c>
      <c r="G78" s="1" t="s">
        <v>22</v>
      </c>
      <c r="H78" s="1" t="s">
        <v>42</v>
      </c>
    </row>
    <row r="79" spans="1:8">
      <c r="A79" t="s">
        <v>3983</v>
      </c>
      <c r="B79" t="s">
        <v>4003</v>
      </c>
      <c r="C79" s="1" t="s">
        <v>4225</v>
      </c>
      <c r="D79" s="1" t="s">
        <v>21</v>
      </c>
      <c r="E79" s="170">
        <f>100*F79</f>
        <v>100</v>
      </c>
      <c r="F79" s="170">
        <f>SI!E4</f>
        <v>1</v>
      </c>
      <c r="G79" s="1" t="s">
        <v>22</v>
      </c>
      <c r="H79" s="1" t="s">
        <v>42</v>
      </c>
    </row>
    <row r="80" spans="1:8">
      <c r="A80" t="s">
        <v>3984</v>
      </c>
      <c r="B80" t="s">
        <v>1487</v>
      </c>
      <c r="C80" s="1" t="s">
        <v>4225</v>
      </c>
      <c r="D80" s="1" t="s">
        <v>21</v>
      </c>
      <c r="E80" s="170">
        <f>10*F80</f>
        <v>10</v>
      </c>
      <c r="F80" s="170">
        <f>SI!E4</f>
        <v>1</v>
      </c>
      <c r="G80" s="1" t="s">
        <v>22</v>
      </c>
      <c r="H80" s="1" t="s">
        <v>42</v>
      </c>
    </row>
    <row r="81" spans="1:8">
      <c r="A81" t="s">
        <v>3985</v>
      </c>
      <c r="B81" t="s">
        <v>4004</v>
      </c>
      <c r="C81" s="1" t="s">
        <v>4225</v>
      </c>
      <c r="D81" s="1" t="s">
        <v>21</v>
      </c>
      <c r="E81" s="170">
        <f>0.1*F81</f>
        <v>0.1</v>
      </c>
      <c r="F81" s="170">
        <f>SI!E4</f>
        <v>1</v>
      </c>
      <c r="G81" s="1" t="s">
        <v>22</v>
      </c>
      <c r="H81" s="1" t="s">
        <v>42</v>
      </c>
    </row>
    <row r="82" spans="1:8">
      <c r="A82" t="s">
        <v>3986</v>
      </c>
      <c r="B82" t="s">
        <v>4005</v>
      </c>
      <c r="C82" s="1" t="s">
        <v>4225</v>
      </c>
      <c r="D82" s="1" t="s">
        <v>21</v>
      </c>
      <c r="E82" s="170">
        <f>0.01*F82</f>
        <v>0.01</v>
      </c>
      <c r="F82" s="170">
        <f>SI!E4</f>
        <v>1</v>
      </c>
      <c r="G82" s="1" t="s">
        <v>22</v>
      </c>
      <c r="H82" s="1" t="s">
        <v>42</v>
      </c>
    </row>
    <row r="83" spans="1:8">
      <c r="A83" t="s">
        <v>3987</v>
      </c>
      <c r="B83" t="s">
        <v>4006</v>
      </c>
      <c r="C83" s="1" t="s">
        <v>4225</v>
      </c>
      <c r="D83" s="1" t="s">
        <v>21</v>
      </c>
      <c r="E83" s="170">
        <f>0.001*F83</f>
        <v>1E-3</v>
      </c>
      <c r="F83" s="170">
        <f>SI!E4</f>
        <v>1</v>
      </c>
      <c r="G83" s="1" t="s">
        <v>22</v>
      </c>
      <c r="H83" s="1" t="s">
        <v>42</v>
      </c>
    </row>
    <row r="84" spans="1:8">
      <c r="A84" t="s">
        <v>3988</v>
      </c>
      <c r="B84" t="s">
        <v>4313</v>
      </c>
      <c r="C84" s="1" t="s">
        <v>4225</v>
      </c>
      <c r="D84" s="1" t="s">
        <v>21</v>
      </c>
      <c r="E84" s="170">
        <f>0.000001*F84</f>
        <v>9.9999999999999995E-7</v>
      </c>
      <c r="F84" s="170">
        <f>SI!E4</f>
        <v>1</v>
      </c>
      <c r="G84" s="1" t="s">
        <v>22</v>
      </c>
      <c r="H84" s="1" t="s">
        <v>42</v>
      </c>
    </row>
    <row r="85" spans="1:8">
      <c r="A85" t="s">
        <v>3989</v>
      </c>
      <c r="B85" t="s">
        <v>4007</v>
      </c>
      <c r="C85" s="1" t="s">
        <v>4225</v>
      </c>
      <c r="D85" s="1" t="s">
        <v>21</v>
      </c>
      <c r="E85" s="170">
        <f>0.000000001*F85</f>
        <v>1.0000000000000001E-9</v>
      </c>
      <c r="F85" s="170">
        <f>SI!E4</f>
        <v>1</v>
      </c>
      <c r="G85" s="1" t="s">
        <v>22</v>
      </c>
      <c r="H85" s="1" t="s">
        <v>42</v>
      </c>
    </row>
    <row r="86" spans="1:8">
      <c r="A86" t="s">
        <v>3990</v>
      </c>
      <c r="B86" t="s">
        <v>4008</v>
      </c>
      <c r="C86" s="1" t="s">
        <v>4225</v>
      </c>
      <c r="D86" s="1" t="s">
        <v>21</v>
      </c>
      <c r="E86" s="170">
        <f>0.000000000001*F86</f>
        <v>9.9999999999999998E-13</v>
      </c>
      <c r="F86" s="170">
        <f>SI!E4</f>
        <v>1</v>
      </c>
      <c r="G86" s="1" t="s">
        <v>22</v>
      </c>
      <c r="H86" s="1" t="s">
        <v>42</v>
      </c>
    </row>
    <row r="87" spans="1:8">
      <c r="A87" t="s">
        <v>3991</v>
      </c>
      <c r="B87" t="s">
        <v>4009</v>
      </c>
      <c r="C87" s="1" t="s">
        <v>4225</v>
      </c>
      <c r="D87" s="1" t="s">
        <v>21</v>
      </c>
      <c r="E87" s="170">
        <f>0.000000000000001*F87</f>
        <v>1.0000000000000001E-15</v>
      </c>
      <c r="F87" s="170">
        <f>SI!E4</f>
        <v>1</v>
      </c>
      <c r="G87" s="1" t="s">
        <v>22</v>
      </c>
      <c r="H87" s="1" t="s">
        <v>42</v>
      </c>
    </row>
    <row r="88" spans="1:8">
      <c r="A88" t="s">
        <v>3992</v>
      </c>
      <c r="B88" t="s">
        <v>4010</v>
      </c>
      <c r="C88" s="1" t="s">
        <v>4225</v>
      </c>
      <c r="D88" s="1" t="s">
        <v>21</v>
      </c>
      <c r="E88" s="170">
        <f>0.000000000000000001*F88</f>
        <v>1.0000000000000001E-18</v>
      </c>
      <c r="F88" s="170">
        <f>SI!E4</f>
        <v>1</v>
      </c>
      <c r="G88" s="1" t="s">
        <v>22</v>
      </c>
      <c r="H88" s="1" t="s">
        <v>42</v>
      </c>
    </row>
    <row r="89" spans="1:8">
      <c r="A89" t="s">
        <v>3993</v>
      </c>
      <c r="B89" t="s">
        <v>4011</v>
      </c>
      <c r="C89" s="1" t="s">
        <v>4225</v>
      </c>
      <c r="D89" s="1" t="s">
        <v>21</v>
      </c>
      <c r="E89" s="170">
        <f>1E-21*F89</f>
        <v>9.9999999999999991E-22</v>
      </c>
      <c r="F89" s="170">
        <f>SI!E4</f>
        <v>1</v>
      </c>
      <c r="G89" s="1" t="s">
        <v>22</v>
      </c>
      <c r="H89" s="1" t="s">
        <v>42</v>
      </c>
    </row>
    <row r="90" spans="1:8">
      <c r="A90" t="s">
        <v>3994</v>
      </c>
      <c r="B90" t="s">
        <v>4012</v>
      </c>
      <c r="C90" s="1" t="s">
        <v>4225</v>
      </c>
      <c r="D90" s="1" t="s">
        <v>21</v>
      </c>
      <c r="E90" s="170">
        <f>1E-24*F90</f>
        <v>9.9999999999999992E-25</v>
      </c>
      <c r="F90" s="170">
        <f>SI!E4</f>
        <v>1</v>
      </c>
      <c r="G90" s="1" t="s">
        <v>22</v>
      </c>
      <c r="H90" s="1" t="s">
        <v>42</v>
      </c>
    </row>
    <row r="91" spans="1:8">
      <c r="A91" s="248"/>
      <c r="B91" s="248"/>
      <c r="C91" s="248"/>
      <c r="D91" s="248"/>
      <c r="E91" s="250"/>
      <c r="F91" s="250"/>
      <c r="G91" s="248"/>
      <c r="H91" s="248"/>
    </row>
  </sheetData>
  <sortState xmlns:xlrd2="http://schemas.microsoft.com/office/spreadsheetml/2017/richdata2" ref="A3:H70">
    <sortCondition ref="A2:A70"/>
  </sortState>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E3220-9E25-40AB-9FE4-80B8D4C73E81}">
  <sheetPr codeName="Sheet29"/>
  <dimension ref="A1:H193"/>
  <sheetViews>
    <sheetView topLeftCell="A148" workbookViewId="0">
      <selection activeCell="A158" sqref="A158"/>
    </sheetView>
  </sheetViews>
  <sheetFormatPr defaultRowHeight="14.4"/>
  <cols>
    <col min="1" max="1" width="28.3671875" customWidth="1"/>
    <col min="2" max="2" width="21.3671875" customWidth="1"/>
    <col min="3" max="3" width="20.41796875" customWidth="1"/>
    <col min="4" max="4" width="14" customWidth="1"/>
    <col min="5" max="5" width="27.68359375" customWidth="1"/>
    <col min="6" max="6" width="29.7890625" customWidth="1"/>
    <col min="7" max="7" width="15.15625" customWidth="1"/>
  </cols>
  <sheetData>
    <row r="1" spans="1:8">
      <c r="A1" s="2" t="s">
        <v>11</v>
      </c>
      <c r="B1" s="2" t="s">
        <v>1</v>
      </c>
      <c r="C1" s="2" t="s">
        <v>2</v>
      </c>
      <c r="D1" s="2" t="s">
        <v>3</v>
      </c>
      <c r="E1" s="2" t="s">
        <v>4</v>
      </c>
      <c r="F1" s="128" t="s">
        <v>937</v>
      </c>
      <c r="G1" s="2" t="s">
        <v>0</v>
      </c>
      <c r="H1" s="2" t="s">
        <v>5</v>
      </c>
    </row>
    <row r="2" spans="1:8">
      <c r="A2" s="1" t="s">
        <v>6485</v>
      </c>
      <c r="B2" s="1" t="s">
        <v>6486</v>
      </c>
      <c r="C2" s="1" t="s">
        <v>130</v>
      </c>
      <c r="D2" s="1" t="s">
        <v>2865</v>
      </c>
      <c r="E2" s="12">
        <f>0.000000000000000001*F2/'Physical Definitions'!E7</f>
        <v>3.1709791983764591E-26</v>
      </c>
      <c r="F2" s="12">
        <f>SI!E3/SI!E4</f>
        <v>1</v>
      </c>
      <c r="G2" s="1" t="s">
        <v>1081</v>
      </c>
      <c r="H2" s="1" t="s">
        <v>42</v>
      </c>
    </row>
    <row r="3" spans="1:8">
      <c r="A3" s="1" t="s">
        <v>6490</v>
      </c>
      <c r="B3" s="1" t="s">
        <v>3927</v>
      </c>
      <c r="C3" s="1" t="s">
        <v>130</v>
      </c>
      <c r="D3" s="1" t="s">
        <v>2865</v>
      </c>
      <c r="E3" s="12">
        <f>0.000000000000000001*F3/(30*'Physical Definitions'!E6)</f>
        <v>3.8580246913580251E-25</v>
      </c>
      <c r="F3" s="12">
        <f>SI!E3/SI!E4</f>
        <v>1</v>
      </c>
      <c r="G3" s="1" t="s">
        <v>1081</v>
      </c>
      <c r="H3" s="1" t="s">
        <v>42</v>
      </c>
    </row>
    <row r="4" spans="1:8">
      <c r="A4" s="1" t="s">
        <v>6491</v>
      </c>
      <c r="B4" s="1" t="s">
        <v>6487</v>
      </c>
      <c r="C4" s="1" t="s">
        <v>130</v>
      </c>
      <c r="D4" s="1" t="s">
        <v>2865</v>
      </c>
      <c r="E4" s="12">
        <f>0.000000000000000001*F4/'Physical Definitions'!E6</f>
        <v>1.1574074074074075E-23</v>
      </c>
      <c r="F4" s="12">
        <f>SI!E3/SI!E4</f>
        <v>1</v>
      </c>
      <c r="G4" s="1" t="s">
        <v>1081</v>
      </c>
      <c r="H4" s="1" t="s">
        <v>42</v>
      </c>
    </row>
    <row r="5" spans="1:8">
      <c r="A5" s="1" t="s">
        <v>6492</v>
      </c>
      <c r="B5" s="1" t="s">
        <v>3925</v>
      </c>
      <c r="C5" s="1" t="s">
        <v>130</v>
      </c>
      <c r="D5" s="1" t="s">
        <v>2865</v>
      </c>
      <c r="E5" s="12">
        <f>0.000000000000000001*F5/'Physical Definitions'!E5</f>
        <v>2.7777777777777779E-22</v>
      </c>
      <c r="F5" s="12">
        <f>SI!E3/SI!E4</f>
        <v>1</v>
      </c>
      <c r="G5" s="1" t="s">
        <v>1081</v>
      </c>
      <c r="H5" s="1" t="s">
        <v>42</v>
      </c>
    </row>
    <row r="6" spans="1:8">
      <c r="A6" s="1" t="s">
        <v>6493</v>
      </c>
      <c r="B6" s="1" t="s">
        <v>3926</v>
      </c>
      <c r="C6" s="1" t="s">
        <v>130</v>
      </c>
      <c r="D6" s="1" t="s">
        <v>2865</v>
      </c>
      <c r="E6" s="12">
        <f>0.000000000000000001*F6/'Physical Definitions'!E4</f>
        <v>1.6666666666666668E-20</v>
      </c>
      <c r="F6" s="12">
        <f>SI!E3/SI!E4</f>
        <v>1</v>
      </c>
      <c r="G6" s="1" t="s">
        <v>1081</v>
      </c>
      <c r="H6" s="1" t="s">
        <v>42</v>
      </c>
    </row>
    <row r="7" spans="1:8">
      <c r="A7" s="1" t="s">
        <v>6494</v>
      </c>
      <c r="B7" s="1" t="s">
        <v>6488</v>
      </c>
      <c r="C7" s="1" t="s">
        <v>130</v>
      </c>
      <c r="D7" s="1" t="s">
        <v>2865</v>
      </c>
      <c r="E7" s="12">
        <f>0.000000000000000001*F7</f>
        <v>1.0000000000000001E-18</v>
      </c>
      <c r="F7" s="12">
        <f>SI!E3/SI!E4</f>
        <v>1</v>
      </c>
      <c r="G7" s="1" t="s">
        <v>1081</v>
      </c>
      <c r="H7" s="1" t="s">
        <v>42</v>
      </c>
    </row>
    <row r="8" spans="1:8">
      <c r="A8" s="1" t="s">
        <v>92</v>
      </c>
      <c r="B8" s="1" t="s">
        <v>6489</v>
      </c>
      <c r="C8" s="1" t="s">
        <v>130</v>
      </c>
      <c r="D8" s="1" t="s">
        <v>2865</v>
      </c>
      <c r="E8" s="12">
        <f t="shared" ref="E8:E66" si="0">F8</f>
        <v>1</v>
      </c>
      <c r="F8" s="12">
        <f>SI!E3/SI!E4</f>
        <v>1</v>
      </c>
      <c r="G8" s="1" t="s">
        <v>1081</v>
      </c>
      <c r="H8" s="1" t="s">
        <v>982</v>
      </c>
    </row>
    <row r="9" spans="1:8">
      <c r="A9" s="1" t="s">
        <v>7467</v>
      </c>
      <c r="B9" s="1" t="s">
        <v>483</v>
      </c>
      <c r="C9" s="1" t="s">
        <v>130</v>
      </c>
      <c r="D9" s="1" t="s">
        <v>2865</v>
      </c>
      <c r="E9" s="12">
        <f t="shared" si="0"/>
        <v>3.168808781402895E-14</v>
      </c>
      <c r="F9" s="12">
        <f>0.000001*SI!E3/('Physical Definitions'!E8*SI!E4)</f>
        <v>3.168808781402895E-14</v>
      </c>
      <c r="G9" s="1" t="s">
        <v>1081</v>
      </c>
      <c r="H9" s="1" t="s">
        <v>58</v>
      </c>
    </row>
    <row r="10" spans="1:8">
      <c r="A10" s="1" t="s">
        <v>6495</v>
      </c>
      <c r="B10" s="1" t="s">
        <v>6500</v>
      </c>
      <c r="C10" s="1" t="s">
        <v>130</v>
      </c>
      <c r="D10" s="1" t="s">
        <v>2865</v>
      </c>
      <c r="E10" s="12">
        <f t="shared" si="0"/>
        <v>3.1709791983764586E-10</v>
      </c>
      <c r="F10" s="12">
        <f>('Physical Definitions'!E22/'Physical Definitions'!E7)*SI!E3/SI!E4</f>
        <v>3.1709791983764586E-10</v>
      </c>
      <c r="G10" s="1" t="s">
        <v>1081</v>
      </c>
      <c r="H10" s="1" t="s">
        <v>42</v>
      </c>
    </row>
    <row r="11" spans="1:8">
      <c r="A11" s="1" t="s">
        <v>6496</v>
      </c>
      <c r="B11" s="1" t="s">
        <v>3928</v>
      </c>
      <c r="C11" s="1" t="s">
        <v>130</v>
      </c>
      <c r="D11" s="1" t="s">
        <v>2865</v>
      </c>
      <c r="E11" s="12">
        <f t="shared" si="0"/>
        <v>3.8580246913580249E-9</v>
      </c>
      <c r="F11" s="12">
        <f>('Physical Definitions'!E22/(30*'Physical Definitions'!E6))*SI!E3/SI!E4</f>
        <v>3.8580246913580249E-9</v>
      </c>
      <c r="G11" s="1" t="s">
        <v>1081</v>
      </c>
      <c r="H11" s="1" t="s">
        <v>42</v>
      </c>
    </row>
    <row r="12" spans="1:8">
      <c r="A12" s="1" t="s">
        <v>6497</v>
      </c>
      <c r="B12" s="1" t="s">
        <v>6499</v>
      </c>
      <c r="C12" s="1" t="s">
        <v>130</v>
      </c>
      <c r="D12" s="1" t="s">
        <v>2865</v>
      </c>
      <c r="E12" s="12">
        <f t="shared" si="0"/>
        <v>1.1574074074074074E-7</v>
      </c>
      <c r="F12" s="12">
        <f>('Physical Definitions'!E22/'Physical Definitions'!E6)*SI!E3/SI!E4</f>
        <v>1.1574074074074074E-7</v>
      </c>
      <c r="G12" s="1" t="s">
        <v>1081</v>
      </c>
      <c r="H12" s="1" t="s">
        <v>42</v>
      </c>
    </row>
    <row r="13" spans="1:8">
      <c r="A13" s="1" t="s">
        <v>6498</v>
      </c>
      <c r="B13" s="1" t="s">
        <v>3904</v>
      </c>
      <c r="C13" s="1" t="s">
        <v>130</v>
      </c>
      <c r="D13" s="1" t="s">
        <v>2865</v>
      </c>
      <c r="E13" s="12">
        <f t="shared" si="0"/>
        <v>2.7777777777777779E-6</v>
      </c>
      <c r="F13" s="12">
        <f>('Physical Definitions'!E22/'Physical Definitions'!E5)*SI!E3/SI!E4</f>
        <v>2.7777777777777779E-6</v>
      </c>
      <c r="G13" s="1" t="s">
        <v>1081</v>
      </c>
      <c r="H13" s="1" t="s">
        <v>42</v>
      </c>
    </row>
    <row r="14" spans="1:8">
      <c r="A14" s="1" t="s">
        <v>6503</v>
      </c>
      <c r="B14" s="1" t="s">
        <v>3903</v>
      </c>
      <c r="C14" s="1" t="s">
        <v>130</v>
      </c>
      <c r="D14" s="1" t="s">
        <v>2865</v>
      </c>
      <c r="E14" s="12">
        <f t="shared" si="0"/>
        <v>1.6666666666666666E-4</v>
      </c>
      <c r="F14" s="12">
        <f>('Physical Definitions'!E22/'Physical Definitions'!E4)*SI!E3/SI!E4</f>
        <v>1.6666666666666666E-4</v>
      </c>
      <c r="G14" s="1" t="s">
        <v>1081</v>
      </c>
      <c r="H14" s="1" t="s">
        <v>42</v>
      </c>
    </row>
    <row r="15" spans="1:8">
      <c r="A15" s="1" t="s">
        <v>6504</v>
      </c>
      <c r="B15" s="1" t="s">
        <v>6501</v>
      </c>
      <c r="C15" s="1" t="s">
        <v>130</v>
      </c>
      <c r="D15" s="1" t="s">
        <v>2865</v>
      </c>
      <c r="E15" s="12">
        <f t="shared" si="0"/>
        <v>0.01</v>
      </c>
      <c r="F15" s="12">
        <f>'Physical Definitions'!E22*SI!E3/SI!E4</f>
        <v>0.01</v>
      </c>
      <c r="G15" s="1" t="s">
        <v>1081</v>
      </c>
      <c r="H15" s="1" t="s">
        <v>36</v>
      </c>
    </row>
    <row r="16" spans="1:8">
      <c r="A16" s="1" t="s">
        <v>6505</v>
      </c>
      <c r="B16" s="1" t="s">
        <v>6502</v>
      </c>
      <c r="C16" s="1" t="s">
        <v>130</v>
      </c>
      <c r="D16" s="1" t="s">
        <v>2865</v>
      </c>
      <c r="E16" s="12">
        <f t="shared" si="0"/>
        <v>6.3789954337899547E-7</v>
      </c>
      <c r="F16" s="12">
        <f>(66*Systems!D6/'Physical Definitions'!E7)*SI!E3/SI!E4</f>
        <v>6.3789954337899547E-7</v>
      </c>
      <c r="G16" s="1" t="s">
        <v>1081</v>
      </c>
      <c r="H16" s="1" t="s">
        <v>1148</v>
      </c>
    </row>
    <row r="17" spans="1:8">
      <c r="A17" s="1" t="s">
        <v>6506</v>
      </c>
      <c r="B17" s="1" t="s">
        <v>3929</v>
      </c>
      <c r="C17" s="1" t="s">
        <v>130</v>
      </c>
      <c r="D17" s="1" t="s">
        <v>2865</v>
      </c>
      <c r="E17" s="12">
        <f t="shared" si="0"/>
        <v>7.7611111111111115E-6</v>
      </c>
      <c r="F17" s="12">
        <f>(66*Systems!D6/(30*'Physical Definitions'!E6))*SI!E3/SI!E4</f>
        <v>7.7611111111111115E-6</v>
      </c>
      <c r="G17" s="1" t="s">
        <v>1081</v>
      </c>
      <c r="H17" s="1" t="s">
        <v>1148</v>
      </c>
    </row>
    <row r="18" spans="1:8">
      <c r="A18" s="1" t="s">
        <v>6507</v>
      </c>
      <c r="B18" s="1" t="s">
        <v>6509</v>
      </c>
      <c r="C18" s="1" t="s">
        <v>130</v>
      </c>
      <c r="D18" s="1" t="s">
        <v>2865</v>
      </c>
      <c r="E18" s="12">
        <f t="shared" si="0"/>
        <v>2.3283333333333335E-4</v>
      </c>
      <c r="F18" s="12">
        <f>(66*Systems!D6/'Physical Definitions'!E6)*SI!E3/SI!E4</f>
        <v>2.3283333333333335E-4</v>
      </c>
      <c r="G18" s="1" t="s">
        <v>1081</v>
      </c>
      <c r="H18" s="1" t="s">
        <v>1148</v>
      </c>
    </row>
    <row r="19" spans="1:8">
      <c r="A19" s="1" t="s">
        <v>6508</v>
      </c>
      <c r="B19" s="1" t="s">
        <v>6510</v>
      </c>
      <c r="C19" s="1" t="s">
        <v>130</v>
      </c>
      <c r="D19" s="1" t="s">
        <v>2865</v>
      </c>
      <c r="E19" s="12">
        <f t="shared" si="0"/>
        <v>5.5880000000000001E-3</v>
      </c>
      <c r="F19" s="12">
        <f>(66*Systems!D6/'Physical Definitions'!E5)*SI!E3/SI!E4</f>
        <v>5.5880000000000001E-3</v>
      </c>
      <c r="G19" s="1" t="s">
        <v>1081</v>
      </c>
      <c r="H19" s="1" t="s">
        <v>1148</v>
      </c>
    </row>
    <row r="20" spans="1:8">
      <c r="A20" s="1" t="s">
        <v>6512</v>
      </c>
      <c r="B20" s="1" t="s">
        <v>3899</v>
      </c>
      <c r="C20" s="1" t="s">
        <v>130</v>
      </c>
      <c r="D20" s="1" t="s">
        <v>2865</v>
      </c>
      <c r="E20" s="12">
        <f t="shared" si="0"/>
        <v>0.33528000000000002</v>
      </c>
      <c r="F20" s="12">
        <f>(66*Systems!D6/'Physical Definitions'!E4)*SI!E3/SI!E4</f>
        <v>0.33528000000000002</v>
      </c>
      <c r="G20" s="1" t="s">
        <v>1081</v>
      </c>
      <c r="H20" s="1" t="s">
        <v>1148</v>
      </c>
    </row>
    <row r="21" spans="1:8">
      <c r="A21" s="1" t="s">
        <v>6513</v>
      </c>
      <c r="B21" s="1" t="s">
        <v>6511</v>
      </c>
      <c r="C21" s="1" t="s">
        <v>130</v>
      </c>
      <c r="D21" s="1" t="s">
        <v>2865</v>
      </c>
      <c r="E21" s="12">
        <f t="shared" si="0"/>
        <v>20.116800000000001</v>
      </c>
      <c r="F21" s="12">
        <f>66*Systems!D15*SI!E3/SI!E4</f>
        <v>20.116800000000001</v>
      </c>
      <c r="G21" s="1" t="s">
        <v>1081</v>
      </c>
      <c r="H21" s="1" t="s">
        <v>1148</v>
      </c>
    </row>
    <row r="22" spans="1:8">
      <c r="A22" s="1" t="s">
        <v>153</v>
      </c>
      <c r="B22" s="1" t="s">
        <v>26</v>
      </c>
      <c r="C22" s="1" t="s">
        <v>130</v>
      </c>
      <c r="D22" s="1" t="s">
        <v>2865</v>
      </c>
      <c r="E22" s="12">
        <f t="shared" si="0"/>
        <v>2.8316846592000004E-2</v>
      </c>
      <c r="F22" s="12">
        <f>POWER(Systems!D6,3)*SI!E3/SI!E4</f>
        <v>2.8316846592000004E-2</v>
      </c>
      <c r="G22" s="1" t="s">
        <v>1081</v>
      </c>
      <c r="H22" s="1" t="s">
        <v>46</v>
      </c>
    </row>
    <row r="23" spans="1:8">
      <c r="A23" s="1" t="s">
        <v>6518</v>
      </c>
      <c r="B23" s="1" t="s">
        <v>6514</v>
      </c>
      <c r="C23" s="1" t="s">
        <v>130</v>
      </c>
      <c r="D23" s="1" t="s">
        <v>2865</v>
      </c>
      <c r="E23" s="12">
        <f>10*F23/'Physical Definitions'!E7</f>
        <v>3.1709791983764589E-7</v>
      </c>
      <c r="F23" s="12">
        <f>SI!E3/SI!E4</f>
        <v>1</v>
      </c>
      <c r="G23" s="1" t="s">
        <v>1081</v>
      </c>
      <c r="H23" s="1" t="s">
        <v>42</v>
      </c>
    </row>
    <row r="24" spans="1:8">
      <c r="A24" s="1" t="s">
        <v>6519</v>
      </c>
      <c r="B24" s="1" t="s">
        <v>3930</v>
      </c>
      <c r="C24" s="1" t="s">
        <v>130</v>
      </c>
      <c r="D24" s="1" t="s">
        <v>2865</v>
      </c>
      <c r="E24" s="12">
        <f>10*F24/(30*'Physical Definitions'!E6)</f>
        <v>3.8580246913580248E-6</v>
      </c>
      <c r="F24" s="12">
        <f>SI!E3/SI!E4</f>
        <v>1</v>
      </c>
      <c r="G24" s="1" t="s">
        <v>1081</v>
      </c>
      <c r="H24" s="1" t="s">
        <v>42</v>
      </c>
    </row>
    <row r="25" spans="1:8">
      <c r="A25" s="1" t="s">
        <v>6520</v>
      </c>
      <c r="B25" s="1" t="s">
        <v>6515</v>
      </c>
      <c r="C25" s="1" t="s">
        <v>130</v>
      </c>
      <c r="D25" s="1" t="s">
        <v>2865</v>
      </c>
      <c r="E25" s="12">
        <f>10*F25/'Physical Definitions'!E6</f>
        <v>1.1574074074074075E-4</v>
      </c>
      <c r="F25" s="12">
        <f>SI!E3/SI!E4</f>
        <v>1</v>
      </c>
      <c r="G25" s="1" t="s">
        <v>1081</v>
      </c>
      <c r="H25" s="1" t="s">
        <v>42</v>
      </c>
    </row>
    <row r="26" spans="1:8">
      <c r="A26" s="1" t="s">
        <v>6521</v>
      </c>
      <c r="B26" s="1" t="s">
        <v>3913</v>
      </c>
      <c r="C26" s="1" t="s">
        <v>130</v>
      </c>
      <c r="D26" s="1" t="s">
        <v>2865</v>
      </c>
      <c r="E26" s="12">
        <f>10*F26/'Physical Definitions'!E5</f>
        <v>2.7777777777777779E-3</v>
      </c>
      <c r="F26" s="12">
        <f>SI!E3/SI!E4</f>
        <v>1</v>
      </c>
      <c r="G26" s="1" t="s">
        <v>1081</v>
      </c>
      <c r="H26" s="1" t="s">
        <v>42</v>
      </c>
    </row>
    <row r="27" spans="1:8">
      <c r="A27" s="1" t="s">
        <v>6522</v>
      </c>
      <c r="B27" s="1" t="s">
        <v>3914</v>
      </c>
      <c r="C27" s="1" t="s">
        <v>130</v>
      </c>
      <c r="D27" s="1" t="s">
        <v>2865</v>
      </c>
      <c r="E27" s="12">
        <f>10*F27/'Physical Definitions'!E4</f>
        <v>0.16666666666666666</v>
      </c>
      <c r="F27" s="12">
        <f>SI!E3/SI!E4</f>
        <v>1</v>
      </c>
      <c r="G27" s="1" t="s">
        <v>1081</v>
      </c>
      <c r="H27" s="1" t="s">
        <v>42</v>
      </c>
    </row>
    <row r="28" spans="1:8">
      <c r="A28" s="1" t="s">
        <v>6523</v>
      </c>
      <c r="B28" s="1" t="s">
        <v>6516</v>
      </c>
      <c r="C28" s="1" t="s">
        <v>130</v>
      </c>
      <c r="D28" s="1" t="s">
        <v>2865</v>
      </c>
      <c r="E28" s="12">
        <f>10*F28</f>
        <v>10</v>
      </c>
      <c r="F28" s="12">
        <f>SI!E3/SI!E4</f>
        <v>1</v>
      </c>
      <c r="G28" s="1" t="s">
        <v>1081</v>
      </c>
      <c r="H28" s="1" t="s">
        <v>42</v>
      </c>
    </row>
    <row r="29" spans="1:8">
      <c r="A29" s="1" t="s">
        <v>6524</v>
      </c>
      <c r="B29" s="1" t="s">
        <v>6517</v>
      </c>
      <c r="C29" s="1" t="s">
        <v>130</v>
      </c>
      <c r="D29" s="1" t="s">
        <v>2865</v>
      </c>
      <c r="E29" s="12">
        <f>0.1*F29/'Physical Definitions'!E7</f>
        <v>3.170979198376459E-9</v>
      </c>
      <c r="F29" s="12">
        <f>SI!E3/SI!E4</f>
        <v>1</v>
      </c>
      <c r="G29" s="1" t="s">
        <v>1081</v>
      </c>
      <c r="H29" s="1" t="s">
        <v>42</v>
      </c>
    </row>
    <row r="30" spans="1:8">
      <c r="A30" s="1" t="s">
        <v>6525</v>
      </c>
      <c r="B30" s="1" t="s">
        <v>3931</v>
      </c>
      <c r="C30" s="1" t="s">
        <v>130</v>
      </c>
      <c r="D30" s="1" t="s">
        <v>2865</v>
      </c>
      <c r="E30" s="12">
        <f>0.1*F30/(30*'Physical Definitions'!E6)</f>
        <v>3.8580246913580247E-8</v>
      </c>
      <c r="F30" s="12">
        <f>SI!E3/SI!E4</f>
        <v>1</v>
      </c>
      <c r="G30" s="1" t="s">
        <v>1081</v>
      </c>
      <c r="H30" s="1" t="s">
        <v>42</v>
      </c>
    </row>
    <row r="31" spans="1:8">
      <c r="A31" s="1" t="s">
        <v>6526</v>
      </c>
      <c r="B31" s="1" t="s">
        <v>6527</v>
      </c>
      <c r="C31" s="1" t="s">
        <v>130</v>
      </c>
      <c r="D31" s="1" t="s">
        <v>2865</v>
      </c>
      <c r="E31" s="12">
        <f>0.1*F31/'Physical Definitions'!E6</f>
        <v>1.1574074074074074E-6</v>
      </c>
      <c r="F31" s="12">
        <f>SI!E3/SI!E4</f>
        <v>1</v>
      </c>
      <c r="G31" s="1" t="s">
        <v>1081</v>
      </c>
      <c r="H31" s="1" t="s">
        <v>42</v>
      </c>
    </row>
    <row r="32" spans="1:8">
      <c r="A32" s="1" t="s">
        <v>6533</v>
      </c>
      <c r="B32" s="1" t="s">
        <v>3915</v>
      </c>
      <c r="C32" s="1" t="s">
        <v>130</v>
      </c>
      <c r="D32" s="1" t="s">
        <v>2865</v>
      </c>
      <c r="E32" s="12">
        <f>0.1*F32/'Physical Definitions'!E5</f>
        <v>2.7777777777777779E-5</v>
      </c>
      <c r="F32" s="12">
        <f>SI!E3/SI!E4</f>
        <v>1</v>
      </c>
      <c r="G32" s="1" t="s">
        <v>1081</v>
      </c>
      <c r="H32" s="1" t="s">
        <v>42</v>
      </c>
    </row>
    <row r="33" spans="1:8">
      <c r="A33" s="1" t="s">
        <v>6534</v>
      </c>
      <c r="B33" s="1" t="s">
        <v>3916</v>
      </c>
      <c r="C33" s="1" t="s">
        <v>130</v>
      </c>
      <c r="D33" s="1" t="s">
        <v>2865</v>
      </c>
      <c r="E33" s="12">
        <f>0.1*F33/'Physical Definitions'!E4</f>
        <v>1.6666666666666668E-3</v>
      </c>
      <c r="F33" s="12">
        <f>SI!E3/SI!E4</f>
        <v>1</v>
      </c>
      <c r="G33" s="1" t="s">
        <v>1081</v>
      </c>
      <c r="H33" s="1" t="s">
        <v>42</v>
      </c>
    </row>
    <row r="34" spans="1:8">
      <c r="A34" s="1" t="s">
        <v>6535</v>
      </c>
      <c r="B34" s="1" t="s">
        <v>6528</v>
      </c>
      <c r="C34" s="1" t="s">
        <v>130</v>
      </c>
      <c r="D34" s="1" t="s">
        <v>2865</v>
      </c>
      <c r="E34" s="12">
        <f>0.1*F34</f>
        <v>0.1</v>
      </c>
      <c r="F34" s="12">
        <f>SI!E3/SI!E4</f>
        <v>1</v>
      </c>
      <c r="G34" s="1" t="s">
        <v>1081</v>
      </c>
      <c r="H34" s="1" t="s">
        <v>42</v>
      </c>
    </row>
    <row r="35" spans="1:8">
      <c r="A35" s="1" t="s">
        <v>6536</v>
      </c>
      <c r="B35" s="1" t="s">
        <v>6529</v>
      </c>
      <c r="C35" s="1" t="s">
        <v>130</v>
      </c>
      <c r="D35" s="1" t="s">
        <v>2865</v>
      </c>
      <c r="E35" s="12">
        <f>0.000000000000001*F35/'Physical Definitions'!E7</f>
        <v>3.1709791983764592E-23</v>
      </c>
      <c r="F35" s="12">
        <f>SI!E3/SI!E4</f>
        <v>1</v>
      </c>
      <c r="G35" s="1" t="s">
        <v>1081</v>
      </c>
      <c r="H35" s="1" t="s">
        <v>42</v>
      </c>
    </row>
    <row r="36" spans="1:8">
      <c r="A36" s="1" t="s">
        <v>6537</v>
      </c>
      <c r="B36" s="1" t="s">
        <v>3932</v>
      </c>
      <c r="C36" s="1" t="s">
        <v>130</v>
      </c>
      <c r="D36" s="1" t="s">
        <v>2865</v>
      </c>
      <c r="E36" s="12">
        <f>0.000000000000001*F36/(30*'Physical Definitions'!E6)</f>
        <v>3.858024691358025E-22</v>
      </c>
      <c r="F36" s="12">
        <f>SI!E3/SI!E4</f>
        <v>1</v>
      </c>
      <c r="G36" s="1" t="s">
        <v>1081</v>
      </c>
      <c r="H36" s="1" t="s">
        <v>42</v>
      </c>
    </row>
    <row r="37" spans="1:8">
      <c r="A37" s="1" t="s">
        <v>6538</v>
      </c>
      <c r="B37" s="1" t="s">
        <v>6530</v>
      </c>
      <c r="C37" s="1" t="s">
        <v>130</v>
      </c>
      <c r="D37" s="1" t="s">
        <v>2865</v>
      </c>
      <c r="E37" s="12">
        <f>0.000000000000001*F37/'Physical Definitions'!E6</f>
        <v>1.1574074074074075E-20</v>
      </c>
      <c r="F37" s="12">
        <f>SI!E3/SI!E4</f>
        <v>1</v>
      </c>
      <c r="G37" s="1" t="s">
        <v>1081</v>
      </c>
      <c r="H37" s="1" t="s">
        <v>42</v>
      </c>
    </row>
    <row r="38" spans="1:8">
      <c r="A38" s="1" t="s">
        <v>6539</v>
      </c>
      <c r="B38" s="1" t="s">
        <v>3923</v>
      </c>
      <c r="C38" s="1" t="s">
        <v>130</v>
      </c>
      <c r="D38" s="1" t="s">
        <v>2865</v>
      </c>
      <c r="E38" s="12">
        <f>0.000000000000001*F38/'Physical Definitions'!E5</f>
        <v>2.7777777777777778E-19</v>
      </c>
      <c r="F38" s="12">
        <f>SI!E3/SI!E4</f>
        <v>1</v>
      </c>
      <c r="G38" s="1" t="s">
        <v>1081</v>
      </c>
      <c r="H38" s="1" t="s">
        <v>42</v>
      </c>
    </row>
    <row r="39" spans="1:8">
      <c r="A39" s="1" t="s">
        <v>6540</v>
      </c>
      <c r="B39" s="1" t="s">
        <v>3924</v>
      </c>
      <c r="C39" s="1" t="s">
        <v>130</v>
      </c>
      <c r="D39" s="1" t="s">
        <v>2865</v>
      </c>
      <c r="E39" s="12">
        <f>0.000000000000001*F39/'Physical Definitions'!E5</f>
        <v>2.7777777777777778E-19</v>
      </c>
      <c r="F39" s="12">
        <f>SI!E3/SI!E4</f>
        <v>1</v>
      </c>
      <c r="G39" s="1" t="s">
        <v>1081</v>
      </c>
      <c r="H39" s="1" t="s">
        <v>42</v>
      </c>
    </row>
    <row r="40" spans="1:8">
      <c r="A40" s="1" t="s">
        <v>6541</v>
      </c>
      <c r="B40" s="1" t="s">
        <v>6531</v>
      </c>
      <c r="C40" s="1" t="s">
        <v>130</v>
      </c>
      <c r="D40" s="1" t="s">
        <v>2865</v>
      </c>
      <c r="E40" s="12">
        <f>0.000000000000001*F40</f>
        <v>1.0000000000000001E-15</v>
      </c>
      <c r="F40" s="12">
        <f>SI!E3/SI!E4</f>
        <v>1</v>
      </c>
      <c r="G40" s="1" t="s">
        <v>1081</v>
      </c>
      <c r="H40" s="1" t="s">
        <v>42</v>
      </c>
    </row>
    <row r="41" spans="1:8">
      <c r="A41" s="1" t="s">
        <v>6542</v>
      </c>
      <c r="B41" s="1" t="s">
        <v>6532</v>
      </c>
      <c r="C41" s="1" t="s">
        <v>130</v>
      </c>
      <c r="D41" s="1" t="s">
        <v>2865</v>
      </c>
      <c r="E41" s="12">
        <f t="shared" si="0"/>
        <v>9.6651445966514461E-9</v>
      </c>
      <c r="F41" s="12">
        <f>(Systems!D6/'Physical Definitions'!E7)*SI!E3/SI!E4</f>
        <v>9.6651445966514461E-9</v>
      </c>
      <c r="G41" s="1" t="s">
        <v>1081</v>
      </c>
      <c r="H41" s="1" t="s">
        <v>1148</v>
      </c>
    </row>
    <row r="42" spans="1:8">
      <c r="A42" s="1" t="s">
        <v>6543</v>
      </c>
      <c r="B42" s="1" t="s">
        <v>3933</v>
      </c>
      <c r="C42" s="1" t="s">
        <v>130</v>
      </c>
      <c r="D42" s="1" t="s">
        <v>2865</v>
      </c>
      <c r="E42" s="12">
        <f t="shared" si="0"/>
        <v>1.175925925925926E-7</v>
      </c>
      <c r="F42" s="12">
        <f>(Systems!D6/(30*'Physical Definitions'!E6))*SI!E3/SI!E4</f>
        <v>1.175925925925926E-7</v>
      </c>
      <c r="G42" s="1" t="s">
        <v>1081</v>
      </c>
      <c r="H42" s="1" t="s">
        <v>1148</v>
      </c>
    </row>
    <row r="43" spans="1:8">
      <c r="A43" s="1" t="s">
        <v>6544</v>
      </c>
      <c r="B43" s="1" t="s">
        <v>6548</v>
      </c>
      <c r="C43" s="1" t="s">
        <v>130</v>
      </c>
      <c r="D43" s="1" t="s">
        <v>2865</v>
      </c>
      <c r="E43" s="12">
        <f t="shared" si="0"/>
        <v>3.5277777777777779E-6</v>
      </c>
      <c r="F43" s="12">
        <f>(Systems!D6/'Physical Definitions'!E6)*SI!E3/SI!E4</f>
        <v>3.5277777777777779E-6</v>
      </c>
      <c r="G43" s="1" t="s">
        <v>1081</v>
      </c>
      <c r="H43" s="1" t="s">
        <v>1148</v>
      </c>
    </row>
    <row r="44" spans="1:8">
      <c r="A44" s="1" t="s">
        <v>6545</v>
      </c>
      <c r="B44" s="1" t="s">
        <v>6549</v>
      </c>
      <c r="C44" s="1" t="s">
        <v>130</v>
      </c>
      <c r="D44" s="1" t="s">
        <v>2865</v>
      </c>
      <c r="E44" s="12">
        <f t="shared" si="0"/>
        <v>8.4666666666666674E-5</v>
      </c>
      <c r="F44" s="12">
        <f>(Systems!D6/'Physical Definitions'!E5)*SI!E3/SI!E4</f>
        <v>8.4666666666666674E-5</v>
      </c>
      <c r="G44" s="1" t="s">
        <v>1081</v>
      </c>
      <c r="H44" s="1" t="s">
        <v>1148</v>
      </c>
    </row>
    <row r="45" spans="1:8">
      <c r="A45" s="1" t="s">
        <v>6546</v>
      </c>
      <c r="B45" s="1" t="s">
        <v>1628</v>
      </c>
      <c r="C45" s="1" t="s">
        <v>130</v>
      </c>
      <c r="D45" s="1" t="s">
        <v>2865</v>
      </c>
      <c r="E45" s="12">
        <f t="shared" si="0"/>
        <v>5.0800000000000003E-3</v>
      </c>
      <c r="F45" s="12">
        <f>(Systems!D6/'Physical Definitions'!E4)*SI!E3/SI!E4</f>
        <v>5.0800000000000003E-3</v>
      </c>
      <c r="G45" s="1" t="s">
        <v>1081</v>
      </c>
      <c r="H45" s="1" t="s">
        <v>1148</v>
      </c>
    </row>
    <row r="46" spans="1:8">
      <c r="A46" s="1" t="s">
        <v>6547</v>
      </c>
      <c r="B46" s="1" t="s">
        <v>6550</v>
      </c>
      <c r="C46" s="1" t="s">
        <v>130</v>
      </c>
      <c r="D46" s="1" t="s">
        <v>2865</v>
      </c>
      <c r="E46" s="12">
        <f t="shared" si="0"/>
        <v>0.30480000000000002</v>
      </c>
      <c r="F46" s="12">
        <f>Systems!D15*SI!E3/SI!E4</f>
        <v>0.30480000000000002</v>
      </c>
      <c r="G46" s="1" t="s">
        <v>1081</v>
      </c>
      <c r="H46" s="1" t="s">
        <v>1148</v>
      </c>
    </row>
    <row r="47" spans="1:8">
      <c r="A47" s="1" t="s">
        <v>6547</v>
      </c>
      <c r="B47" s="1" t="s">
        <v>6550</v>
      </c>
      <c r="C47" s="1" t="s">
        <v>130</v>
      </c>
      <c r="D47" s="1" t="s">
        <v>2865</v>
      </c>
      <c r="E47" s="12">
        <f t="shared" si="0"/>
        <v>0.30480000000000002</v>
      </c>
      <c r="F47" s="12">
        <f>Systems!D15*SI!E3/SI!E4</f>
        <v>0.30480000000000002</v>
      </c>
      <c r="G47" s="1" t="s">
        <v>1081</v>
      </c>
      <c r="H47" s="1" t="s">
        <v>117</v>
      </c>
    </row>
    <row r="48" spans="1:8">
      <c r="A48" s="1" t="s">
        <v>6552</v>
      </c>
      <c r="B48" s="1" t="s">
        <v>6551</v>
      </c>
      <c r="C48" s="1" t="s">
        <v>130</v>
      </c>
      <c r="D48" s="1" t="s">
        <v>2865</v>
      </c>
      <c r="E48" s="12">
        <f t="shared" si="0"/>
        <v>6.3789954337899549E-6</v>
      </c>
      <c r="F48" s="12">
        <f>(660*Systems!D6/'Physical Definitions'!E7)*SI!E3/SI!E4</f>
        <v>6.3789954337899549E-6</v>
      </c>
      <c r="G48" s="1" t="s">
        <v>1081</v>
      </c>
      <c r="H48" s="1" t="s">
        <v>1148</v>
      </c>
    </row>
    <row r="49" spans="1:8">
      <c r="A49" s="1" t="s">
        <v>6553</v>
      </c>
      <c r="B49" s="1" t="s">
        <v>3934</v>
      </c>
      <c r="C49" s="1" t="s">
        <v>130</v>
      </c>
      <c r="D49" s="1" t="s">
        <v>2865</v>
      </c>
      <c r="E49" s="12">
        <f t="shared" si="0"/>
        <v>7.7611111111111115E-5</v>
      </c>
      <c r="F49" s="12">
        <f>(660*Systems!D6/(30*'Physical Definitions'!E6))*SI!E3/SI!E4</f>
        <v>7.7611111111111115E-5</v>
      </c>
      <c r="G49" s="1" t="s">
        <v>1081</v>
      </c>
      <c r="H49" s="1" t="s">
        <v>1148</v>
      </c>
    </row>
    <row r="50" spans="1:8">
      <c r="A50" s="1" t="s">
        <v>6554</v>
      </c>
      <c r="B50" s="1" t="s">
        <v>6556</v>
      </c>
      <c r="C50" s="1" t="s">
        <v>130</v>
      </c>
      <c r="D50" s="1" t="s">
        <v>2865</v>
      </c>
      <c r="E50" s="12">
        <f t="shared" si="0"/>
        <v>2.3283333333333333E-3</v>
      </c>
      <c r="F50" s="12">
        <f>(660*Systems!D6/'Physical Definitions'!E6)*SI!E3/SI!E4</f>
        <v>2.3283333333333333E-3</v>
      </c>
      <c r="G50" s="1" t="s">
        <v>1081</v>
      </c>
      <c r="H50" s="1" t="s">
        <v>1148</v>
      </c>
    </row>
    <row r="51" spans="1:8">
      <c r="A51" s="1" t="s">
        <v>6555</v>
      </c>
      <c r="B51" s="1" t="s">
        <v>6557</v>
      </c>
      <c r="C51" s="1" t="s">
        <v>130</v>
      </c>
      <c r="D51" s="1" t="s">
        <v>2865</v>
      </c>
      <c r="E51" s="12">
        <f t="shared" si="0"/>
        <v>5.5879999999999999E-2</v>
      </c>
      <c r="F51" s="12">
        <f>(660*Systems!D6/'Physical Definitions'!E5)*SI!E3/SI!E4</f>
        <v>5.5879999999999999E-2</v>
      </c>
      <c r="G51" s="1" t="s">
        <v>1081</v>
      </c>
      <c r="H51" s="1" t="s">
        <v>1148</v>
      </c>
    </row>
    <row r="52" spans="1:8">
      <c r="A52" s="1" t="s">
        <v>6558</v>
      </c>
      <c r="B52" s="1" t="s">
        <v>3900</v>
      </c>
      <c r="C52" s="1" t="s">
        <v>130</v>
      </c>
      <c r="D52" s="1" t="s">
        <v>2865</v>
      </c>
      <c r="E52" s="12">
        <f t="shared" si="0"/>
        <v>3.3528000000000002</v>
      </c>
      <c r="F52" s="12">
        <f>(660*Systems!D6/'Physical Definitions'!E4)*SI!E3/SI!E4</f>
        <v>3.3528000000000002</v>
      </c>
      <c r="G52" s="1" t="s">
        <v>1081</v>
      </c>
      <c r="H52" s="1" t="s">
        <v>1148</v>
      </c>
    </row>
    <row r="53" spans="1:8">
      <c r="A53" s="1" t="s">
        <v>6559</v>
      </c>
      <c r="B53" s="1" t="s">
        <v>6560</v>
      </c>
      <c r="C53" s="1" t="s">
        <v>130</v>
      </c>
      <c r="D53" s="1" t="s">
        <v>2865</v>
      </c>
      <c r="E53" s="12">
        <f t="shared" si="0"/>
        <v>201.16800000000001</v>
      </c>
      <c r="F53" s="12">
        <f>660*Systems!D15*SI!E3/SI!E4</f>
        <v>201.16800000000001</v>
      </c>
      <c r="G53" s="1" t="s">
        <v>1081</v>
      </c>
      <c r="H53" s="1" t="s">
        <v>1148</v>
      </c>
    </row>
    <row r="54" spans="1:8" ht="25.2" customHeight="1">
      <c r="A54" s="1" t="s">
        <v>6562</v>
      </c>
      <c r="B54" s="1" t="s">
        <v>6561</v>
      </c>
      <c r="C54" s="1" t="s">
        <v>130</v>
      </c>
      <c r="D54" s="1" t="s">
        <v>2865</v>
      </c>
      <c r="E54" s="12">
        <f t="shared" si="0"/>
        <v>0.10160000000000001</v>
      </c>
      <c r="F54" s="12">
        <f>Systems!D6*SI!E3/(3*SI!E4)</f>
        <v>0.10160000000000001</v>
      </c>
      <c r="G54" s="1" t="s">
        <v>1081</v>
      </c>
      <c r="H54" s="1" t="s">
        <v>1148</v>
      </c>
    </row>
    <row r="55" spans="1:8" ht="24.6" customHeight="1">
      <c r="A55" s="1" t="s">
        <v>6563</v>
      </c>
      <c r="B55" s="1" t="s">
        <v>3935</v>
      </c>
      <c r="C55" s="1" t="s">
        <v>130</v>
      </c>
      <c r="D55" s="1" t="s">
        <v>2865</v>
      </c>
      <c r="E55" s="12">
        <f>F55/'Physical Definitions'!E4</f>
        <v>1.6933333333333336E-3</v>
      </c>
      <c r="F55" s="12">
        <f>Systems!D6*SI!E3/(3*SI!E4)</f>
        <v>0.10160000000000001</v>
      </c>
      <c r="G55" s="1" t="s">
        <v>1081</v>
      </c>
      <c r="H55" s="1" t="s">
        <v>1148</v>
      </c>
    </row>
    <row r="56" spans="1:8" ht="23.1" customHeight="1">
      <c r="A56" s="1" t="s">
        <v>6564</v>
      </c>
      <c r="B56" s="1" t="s">
        <v>3936</v>
      </c>
      <c r="C56" s="1" t="s">
        <v>130</v>
      </c>
      <c r="D56" s="1" t="s">
        <v>2865</v>
      </c>
      <c r="E56" s="12">
        <f>F56/'Physical Definitions'!E5</f>
        <v>2.8222222222222223E-5</v>
      </c>
      <c r="F56" s="12">
        <f>Systems!D6*SI!E3/(3*SI!E4)</f>
        <v>0.10160000000000001</v>
      </c>
      <c r="G56" s="1" t="s">
        <v>1081</v>
      </c>
      <c r="H56" s="1" t="s">
        <v>1148</v>
      </c>
    </row>
    <row r="57" spans="1:8" ht="28.2" customHeight="1">
      <c r="A57" s="1" t="s">
        <v>6565</v>
      </c>
      <c r="B57" s="1" t="s">
        <v>6566</v>
      </c>
      <c r="C57" s="1" t="s">
        <v>130</v>
      </c>
      <c r="D57" s="1" t="s">
        <v>2865</v>
      </c>
      <c r="E57" s="12">
        <f>F57/'Physical Definitions'!E6</f>
        <v>1.175925925925926E-6</v>
      </c>
      <c r="F57" s="12">
        <f>Systems!D6*SI!E3/(3*SI!E4)</f>
        <v>0.10160000000000001</v>
      </c>
      <c r="G57" s="1" t="s">
        <v>1081</v>
      </c>
      <c r="H57" s="1" t="s">
        <v>1148</v>
      </c>
    </row>
    <row r="58" spans="1:8" ht="28.2" customHeight="1">
      <c r="A58" s="1" t="s">
        <v>6570</v>
      </c>
      <c r="B58" s="1" t="s">
        <v>4314</v>
      </c>
      <c r="C58" s="1" t="s">
        <v>130</v>
      </c>
      <c r="D58" s="1" t="s">
        <v>2865</v>
      </c>
      <c r="E58" s="12">
        <f>F58/(30*'Physical Definitions'!E6)</f>
        <v>3.9197530864197534E-8</v>
      </c>
      <c r="F58" s="12">
        <f>Systems!D6*SI!E3/(3*SI!E4)</f>
        <v>0.10160000000000001</v>
      </c>
      <c r="G58" s="1" t="s">
        <v>1081</v>
      </c>
      <c r="H58" s="1" t="s">
        <v>1148</v>
      </c>
    </row>
    <row r="59" spans="1:8" ht="28.2" customHeight="1">
      <c r="A59" s="1" t="s">
        <v>6571</v>
      </c>
      <c r="B59" s="1" t="s">
        <v>6567</v>
      </c>
      <c r="C59" s="1" t="s">
        <v>130</v>
      </c>
      <c r="D59" s="1" t="s">
        <v>2865</v>
      </c>
      <c r="E59" s="12">
        <f>F59/'Physical Definitions'!E7</f>
        <v>3.2217148655504822E-9</v>
      </c>
      <c r="F59" s="12">
        <f>Systems!D6*SI!E3/(3*SI!E4)</f>
        <v>0.10160000000000001</v>
      </c>
      <c r="G59" s="1" t="s">
        <v>1081</v>
      </c>
      <c r="H59" s="1" t="s">
        <v>1148</v>
      </c>
    </row>
    <row r="60" spans="1:8">
      <c r="A60" s="1" t="s">
        <v>6572</v>
      </c>
      <c r="B60" s="1" t="s">
        <v>6568</v>
      </c>
      <c r="C60" s="1" t="s">
        <v>130</v>
      </c>
      <c r="D60" s="1" t="s">
        <v>2865</v>
      </c>
      <c r="E60" s="12">
        <f>100*F60/'Physical Definitions'!E7</f>
        <v>3.1709791983764586E-6</v>
      </c>
      <c r="F60" s="12">
        <f>SI!E3/SI!E4</f>
        <v>1</v>
      </c>
      <c r="G60" s="1" t="s">
        <v>1081</v>
      </c>
      <c r="H60" s="1" t="s">
        <v>42</v>
      </c>
    </row>
    <row r="61" spans="1:8">
      <c r="A61" s="1" t="s">
        <v>6573</v>
      </c>
      <c r="B61" s="1" t="s">
        <v>3937</v>
      </c>
      <c r="C61" s="1" t="s">
        <v>130</v>
      </c>
      <c r="D61" s="1" t="s">
        <v>2865</v>
      </c>
      <c r="E61" s="12">
        <f>100*F61/(30*'Physical Definitions'!E6)</f>
        <v>3.8580246913580246E-5</v>
      </c>
      <c r="F61" s="12">
        <f>SI!E3/SI!E4</f>
        <v>1</v>
      </c>
      <c r="G61" s="1" t="s">
        <v>1081</v>
      </c>
      <c r="H61" s="1" t="s">
        <v>42</v>
      </c>
    </row>
    <row r="62" spans="1:8">
      <c r="A62" s="1" t="s">
        <v>6574</v>
      </c>
      <c r="B62" s="1" t="s">
        <v>6569</v>
      </c>
      <c r="C62" s="1" t="s">
        <v>130</v>
      </c>
      <c r="D62" s="1" t="s">
        <v>2865</v>
      </c>
      <c r="E62" s="12">
        <f>100*F62/'Physical Definitions'!E6</f>
        <v>1.1574074074074073E-3</v>
      </c>
      <c r="F62" s="12">
        <f>SI!E3/SI!E4</f>
        <v>1</v>
      </c>
      <c r="G62" s="1" t="s">
        <v>1081</v>
      </c>
      <c r="H62" s="1" t="s">
        <v>42</v>
      </c>
    </row>
    <row r="63" spans="1:8">
      <c r="A63" s="1" t="s">
        <v>6575</v>
      </c>
      <c r="B63" s="1" t="s">
        <v>3911</v>
      </c>
      <c r="C63" s="1" t="s">
        <v>130</v>
      </c>
      <c r="D63" s="1" t="s">
        <v>2865</v>
      </c>
      <c r="E63" s="12">
        <f>100*F63/'Physical Definitions'!E5</f>
        <v>2.7777777777777776E-2</v>
      </c>
      <c r="F63" s="12">
        <f>SI!E3/SI!E4</f>
        <v>1</v>
      </c>
      <c r="G63" s="1" t="s">
        <v>1081</v>
      </c>
      <c r="H63" s="1" t="s">
        <v>42</v>
      </c>
    </row>
    <row r="64" spans="1:8">
      <c r="A64" s="1" t="s">
        <v>6576</v>
      </c>
      <c r="B64" s="1" t="s">
        <v>3912</v>
      </c>
      <c r="C64" s="1" t="s">
        <v>130</v>
      </c>
      <c r="D64" s="1" t="s">
        <v>2865</v>
      </c>
      <c r="E64" s="12">
        <f>100*F64/'Physical Definitions'!E4</f>
        <v>1.6666666666666667</v>
      </c>
      <c r="F64" s="12">
        <f>SI!E3/SI!E4</f>
        <v>1</v>
      </c>
      <c r="G64" s="1" t="s">
        <v>1081</v>
      </c>
      <c r="H64" s="1" t="s">
        <v>42</v>
      </c>
    </row>
    <row r="65" spans="1:8">
      <c r="A65" s="1" t="s">
        <v>6579</v>
      </c>
      <c r="B65" s="1" t="s">
        <v>6577</v>
      </c>
      <c r="C65" s="1" t="s">
        <v>130</v>
      </c>
      <c r="D65" s="1" t="s">
        <v>2865</v>
      </c>
      <c r="E65" s="12">
        <f>100*F65</f>
        <v>100</v>
      </c>
      <c r="F65" s="12">
        <f>SI!E3/SI!E4</f>
        <v>1</v>
      </c>
      <c r="G65" s="1" t="s">
        <v>1081</v>
      </c>
      <c r="H65" s="1" t="s">
        <v>42</v>
      </c>
    </row>
    <row r="66" spans="1:8" ht="45.6" customHeight="1">
      <c r="A66" s="1" t="s">
        <v>6580</v>
      </c>
      <c r="B66" s="1" t="s">
        <v>6578</v>
      </c>
      <c r="C66" s="1" t="s">
        <v>130</v>
      </c>
      <c r="D66" s="1" t="s">
        <v>2865</v>
      </c>
      <c r="E66" s="12">
        <f t="shared" si="0"/>
        <v>2.5400000000000002E-2</v>
      </c>
      <c r="F66" s="12">
        <f>Systems!D6*SI!E3/(12*SI!E4)</f>
        <v>2.5400000000000002E-2</v>
      </c>
      <c r="G66" s="1" t="s">
        <v>1081</v>
      </c>
      <c r="H66" s="1" t="s">
        <v>1148</v>
      </c>
    </row>
    <row r="67" spans="1:8" ht="45.6" customHeight="1">
      <c r="A67" s="1" t="s">
        <v>6581</v>
      </c>
      <c r="B67" s="1" t="s">
        <v>3889</v>
      </c>
      <c r="C67" s="1" t="s">
        <v>130</v>
      </c>
      <c r="D67" s="1" t="s">
        <v>2865</v>
      </c>
      <c r="E67" s="12">
        <f>F67/'Physical Definitions'!E4</f>
        <v>4.233333333333334E-4</v>
      </c>
      <c r="F67" s="12">
        <f>Systems!D6*SI!E3/(12*SI!E4)</f>
        <v>2.5400000000000002E-2</v>
      </c>
      <c r="G67" s="1" t="s">
        <v>1081</v>
      </c>
      <c r="H67" s="1" t="s">
        <v>1148</v>
      </c>
    </row>
    <row r="68" spans="1:8" ht="45.6" customHeight="1">
      <c r="A68" s="1" t="s">
        <v>6582</v>
      </c>
      <c r="B68" s="1" t="s">
        <v>3893</v>
      </c>
      <c r="C68" s="1" t="s">
        <v>130</v>
      </c>
      <c r="D68" s="1" t="s">
        <v>2865</v>
      </c>
      <c r="E68" s="12">
        <f>F68/'Physical Definitions'!E5</f>
        <v>7.0555555555555559E-6</v>
      </c>
      <c r="F68" s="12">
        <f>Systems!D6*SI!E3/(12*SI!E4)</f>
        <v>2.5400000000000002E-2</v>
      </c>
      <c r="G68" s="1" t="s">
        <v>1081</v>
      </c>
      <c r="H68" s="1" t="s">
        <v>1148</v>
      </c>
    </row>
    <row r="69" spans="1:8" ht="45.6" customHeight="1">
      <c r="A69" s="1" t="s">
        <v>6584</v>
      </c>
      <c r="B69" s="1" t="s">
        <v>6583</v>
      </c>
      <c r="C69" s="1" t="s">
        <v>130</v>
      </c>
      <c r="D69" s="1" t="s">
        <v>2865</v>
      </c>
      <c r="E69" s="12">
        <f>F69/'Physical Definitions'!E6</f>
        <v>2.9398148148148149E-7</v>
      </c>
      <c r="F69" s="12">
        <f>Systems!D6*SI!E3/(12*SI!E4)</f>
        <v>2.5400000000000002E-2</v>
      </c>
      <c r="G69" s="1" t="s">
        <v>1081</v>
      </c>
      <c r="H69" s="1" t="s">
        <v>1148</v>
      </c>
    </row>
    <row r="70" spans="1:8" ht="45.6" customHeight="1">
      <c r="A70" s="1" t="s">
        <v>6585</v>
      </c>
      <c r="B70" s="1" t="s">
        <v>3938</v>
      </c>
      <c r="C70" s="1" t="s">
        <v>130</v>
      </c>
      <c r="D70" s="1" t="s">
        <v>2865</v>
      </c>
      <c r="E70" s="12">
        <f>F70/(30*'Physical Definitions'!E6)</f>
        <v>9.7993827160493836E-9</v>
      </c>
      <c r="F70" s="12">
        <f>Systems!D6*SI!E3/(12*SI!E4)</f>
        <v>2.5400000000000002E-2</v>
      </c>
      <c r="G70" s="1" t="s">
        <v>1081</v>
      </c>
      <c r="H70" s="1" t="s">
        <v>1148</v>
      </c>
    </row>
    <row r="71" spans="1:8" ht="45.6" customHeight="1">
      <c r="A71" s="1" t="s">
        <v>6588</v>
      </c>
      <c r="B71" s="1" t="s">
        <v>6586</v>
      </c>
      <c r="C71" s="1" t="s">
        <v>130</v>
      </c>
      <c r="D71" s="1" t="s">
        <v>2865</v>
      </c>
      <c r="E71" s="12">
        <f>F71/'Physical Definitions'!E7</f>
        <v>8.0542871638762054E-10</v>
      </c>
      <c r="F71" s="12">
        <f>Systems!D6*SI!E3/(12*SI!E4)</f>
        <v>2.5400000000000002E-2</v>
      </c>
      <c r="G71" s="1" t="s">
        <v>1081</v>
      </c>
      <c r="H71" s="1" t="s">
        <v>1148</v>
      </c>
    </row>
    <row r="72" spans="1:8">
      <c r="A72" s="1" t="s">
        <v>6589</v>
      </c>
      <c r="B72" s="1" t="s">
        <v>6587</v>
      </c>
      <c r="C72" s="1" t="s">
        <v>130</v>
      </c>
      <c r="D72" s="1" t="s">
        <v>2865</v>
      </c>
      <c r="E72" s="12">
        <f>1000*F72/'Physical Definitions'!E7</f>
        <v>3.1709791983764585E-5</v>
      </c>
      <c r="F72" s="12">
        <f>SI!E3/SI!E4</f>
        <v>1</v>
      </c>
      <c r="G72" s="1" t="s">
        <v>1081</v>
      </c>
      <c r="H72" s="1" t="s">
        <v>42</v>
      </c>
    </row>
    <row r="73" spans="1:8">
      <c r="A73" s="1" t="s">
        <v>6590</v>
      </c>
      <c r="B73" s="1" t="s">
        <v>3939</v>
      </c>
      <c r="C73" s="1" t="s">
        <v>130</v>
      </c>
      <c r="D73" s="1" t="s">
        <v>2865</v>
      </c>
      <c r="E73" s="12">
        <f>1000*F73/'Physical Definitions'!E6</f>
        <v>1.1574074074074073E-2</v>
      </c>
      <c r="F73" s="12">
        <f>SI!E3/SI!E4</f>
        <v>1</v>
      </c>
      <c r="G73" s="1" t="s">
        <v>1081</v>
      </c>
      <c r="H73" s="1" t="s">
        <v>42</v>
      </c>
    </row>
    <row r="74" spans="1:8">
      <c r="A74" s="1" t="s">
        <v>6591</v>
      </c>
      <c r="B74" s="1" t="s">
        <v>6592</v>
      </c>
      <c r="C74" s="1" t="s">
        <v>130</v>
      </c>
      <c r="D74" s="1" t="s">
        <v>2865</v>
      </c>
      <c r="E74" s="12">
        <f>1000*F74/(30*'Physical Definitions'!E6)</f>
        <v>3.8580246913580245E-4</v>
      </c>
      <c r="F74" s="12">
        <f>SI!E3/SI!E4</f>
        <v>1</v>
      </c>
      <c r="G74" s="1" t="s">
        <v>1081</v>
      </c>
      <c r="H74" s="1" t="s">
        <v>42</v>
      </c>
    </row>
    <row r="75" spans="1:8">
      <c r="A75" s="1" t="s">
        <v>6594</v>
      </c>
      <c r="B75" s="1" t="s">
        <v>3887</v>
      </c>
      <c r="C75" s="1" t="s">
        <v>130</v>
      </c>
      <c r="D75" s="1" t="s">
        <v>2865</v>
      </c>
      <c r="E75" s="12">
        <f>1000*F75/'Physical Definitions'!E5</f>
        <v>0.27777777777777779</v>
      </c>
      <c r="F75" s="12">
        <f>SI!E3/SI!E4</f>
        <v>1</v>
      </c>
      <c r="G75" s="1" t="s">
        <v>1081</v>
      </c>
      <c r="H75" s="1" t="s">
        <v>42</v>
      </c>
    </row>
    <row r="76" spans="1:8">
      <c r="A76" s="1" t="s">
        <v>6595</v>
      </c>
      <c r="B76" s="1" t="s">
        <v>3901</v>
      </c>
      <c r="C76" s="1" t="s">
        <v>130</v>
      </c>
      <c r="D76" s="1" t="s">
        <v>2865</v>
      </c>
      <c r="E76" s="12">
        <f>1000*F76/'Physical Definitions'!E4</f>
        <v>16.666666666666668</v>
      </c>
      <c r="F76" s="12">
        <f>SI!E3/SI!E4</f>
        <v>1</v>
      </c>
      <c r="G76" s="1" t="s">
        <v>1081</v>
      </c>
      <c r="H76" s="1" t="s">
        <v>42</v>
      </c>
    </row>
    <row r="77" spans="1:8">
      <c r="A77" s="1" t="s">
        <v>6596</v>
      </c>
      <c r="B77" s="1" t="s">
        <v>6593</v>
      </c>
      <c r="C77" s="1" t="s">
        <v>130</v>
      </c>
      <c r="D77" s="1" t="s">
        <v>2865</v>
      </c>
      <c r="E77" s="12">
        <f>1000*F77</f>
        <v>1000</v>
      </c>
      <c r="F77" s="12">
        <f>SI!E3/SI!E4</f>
        <v>1</v>
      </c>
      <c r="G77" s="1" t="s">
        <v>1081</v>
      </c>
      <c r="H77" s="1" t="s">
        <v>42</v>
      </c>
    </row>
    <row r="78" spans="1:8">
      <c r="A78" s="1" t="s">
        <v>264</v>
      </c>
      <c r="B78" s="1" t="s">
        <v>26</v>
      </c>
      <c r="C78" s="1" t="s">
        <v>130</v>
      </c>
      <c r="D78" s="1" t="s">
        <v>2865</v>
      </c>
      <c r="E78" s="12">
        <f>0.01*F78</f>
        <v>0.01</v>
      </c>
      <c r="F78" s="12">
        <f>SI!E3/SI!E4</f>
        <v>1</v>
      </c>
      <c r="G78" s="1" t="s">
        <v>1081</v>
      </c>
      <c r="H78" s="1" t="s">
        <v>36</v>
      </c>
    </row>
    <row r="79" spans="1:8">
      <c r="A79" s="1" t="s">
        <v>3896</v>
      </c>
      <c r="B79" s="1" t="s">
        <v>4128</v>
      </c>
      <c r="C79" s="1" t="s">
        <v>130</v>
      </c>
      <c r="D79" s="1" t="s">
        <v>2865</v>
      </c>
      <c r="E79" s="12">
        <f>6080*F79/'Physical Definitions'!E5</f>
        <v>0.51477333333333342</v>
      </c>
      <c r="F79" s="12">
        <f>Systems!D6</f>
        <v>0.30480000000000002</v>
      </c>
      <c r="G79" s="1" t="s">
        <v>1081</v>
      </c>
      <c r="H79" s="1" t="s">
        <v>46</v>
      </c>
    </row>
    <row r="80" spans="1:8">
      <c r="A80" s="1" t="s">
        <v>3896</v>
      </c>
      <c r="B80" s="1" t="s">
        <v>4128</v>
      </c>
      <c r="C80" s="1" t="s">
        <v>130</v>
      </c>
      <c r="D80" s="1" t="s">
        <v>2865</v>
      </c>
      <c r="E80" s="12">
        <f>6080*F80/'Physical Definitions'!E5</f>
        <v>0.51477333333333342</v>
      </c>
      <c r="F80" s="12">
        <f>Systems!D6</f>
        <v>0.30480000000000002</v>
      </c>
      <c r="G80" s="1" t="s">
        <v>1081</v>
      </c>
      <c r="H80" s="1" t="s">
        <v>47</v>
      </c>
    </row>
    <row r="81" spans="1:8">
      <c r="A81" s="1" t="s">
        <v>3896</v>
      </c>
      <c r="B81" s="1" t="s">
        <v>4128</v>
      </c>
      <c r="C81" s="1" t="s">
        <v>130</v>
      </c>
      <c r="D81" s="1" t="s">
        <v>2865</v>
      </c>
      <c r="E81" s="12">
        <f>6080*F81/'Physical Definitions'!E5</f>
        <v>0.51477333333333342</v>
      </c>
      <c r="F81" s="12">
        <f>Systems!D6</f>
        <v>0.30480000000000002</v>
      </c>
      <c r="G81" s="1" t="s">
        <v>1081</v>
      </c>
      <c r="H81" s="1" t="s">
        <v>1148</v>
      </c>
    </row>
    <row r="82" spans="1:8">
      <c r="A82" s="1" t="s">
        <v>267</v>
      </c>
      <c r="B82" s="1" t="s">
        <v>1374</v>
      </c>
      <c r="C82" s="1" t="s">
        <v>130</v>
      </c>
      <c r="D82" s="1" t="s">
        <v>2865</v>
      </c>
      <c r="E82" s="12">
        <f>0.01*F82</f>
        <v>0.01</v>
      </c>
      <c r="F82" s="12">
        <f>SI!E3/SI!E4</f>
        <v>1</v>
      </c>
      <c r="G82" s="1" t="s">
        <v>1081</v>
      </c>
      <c r="H82" s="1" t="s">
        <v>982</v>
      </c>
    </row>
    <row r="83" spans="1:8">
      <c r="A83" s="1" t="s">
        <v>6597</v>
      </c>
      <c r="B83" s="1" t="s">
        <v>6598</v>
      </c>
      <c r="C83" s="1" t="s">
        <v>130</v>
      </c>
      <c r="D83" s="1" t="s">
        <v>2865</v>
      </c>
      <c r="E83" s="12">
        <f t="shared" ref="E83:E88" si="1">F83</f>
        <v>1.530958904109589E-4</v>
      </c>
      <c r="F83" s="12">
        <f>(15840*Systems!D6/'Physical Definitions'!E7)*SI!E3/SI!E4</f>
        <v>1.530958904109589E-4</v>
      </c>
      <c r="G83" s="1" t="s">
        <v>1081</v>
      </c>
      <c r="H83" s="1" t="s">
        <v>1148</v>
      </c>
    </row>
    <row r="84" spans="1:8">
      <c r="A84" s="1" t="s">
        <v>6600</v>
      </c>
      <c r="B84" s="1" t="s">
        <v>3940</v>
      </c>
      <c r="C84" s="1" t="s">
        <v>130</v>
      </c>
      <c r="D84" s="1" t="s">
        <v>2865</v>
      </c>
      <c r="E84" s="12">
        <f t="shared" si="1"/>
        <v>1.8626666666666668E-3</v>
      </c>
      <c r="F84" s="12">
        <f>(15840*Systems!D6/(30*'Physical Definitions'!E6))*SI!E3/SI!E4</f>
        <v>1.8626666666666668E-3</v>
      </c>
      <c r="G84" s="1" t="s">
        <v>1081</v>
      </c>
      <c r="H84" s="1" t="s">
        <v>1148</v>
      </c>
    </row>
    <row r="85" spans="1:8">
      <c r="A85" s="1" t="s">
        <v>6601</v>
      </c>
      <c r="B85" s="1" t="s">
        <v>6599</v>
      </c>
      <c r="C85" s="1" t="s">
        <v>130</v>
      </c>
      <c r="D85" s="1" t="s">
        <v>2865</v>
      </c>
      <c r="E85" s="12">
        <f t="shared" si="1"/>
        <v>5.5879999999999999E-2</v>
      </c>
      <c r="F85" s="12">
        <f>(15840*Systems!D6/'Physical Definitions'!E6)*SI!E3/SI!E4</f>
        <v>5.5879999999999999E-2</v>
      </c>
      <c r="G85" s="1" t="s">
        <v>1081</v>
      </c>
      <c r="H85" s="1" t="s">
        <v>1148</v>
      </c>
    </row>
    <row r="86" spans="1:8">
      <c r="A86" s="1" t="s">
        <v>6604</v>
      </c>
      <c r="B86" s="1" t="s">
        <v>6602</v>
      </c>
      <c r="C86" s="1" t="s">
        <v>130</v>
      </c>
      <c r="D86" s="1" t="s">
        <v>2865</v>
      </c>
      <c r="E86" s="12">
        <f t="shared" si="1"/>
        <v>1.3411200000000001</v>
      </c>
      <c r="F86" s="12">
        <f>(15840*Systems!D6/'Physical Definitions'!E5)*SI!E3/SI!E4</f>
        <v>1.3411200000000001</v>
      </c>
      <c r="G86" s="1" t="s">
        <v>1081</v>
      </c>
      <c r="H86" s="1" t="s">
        <v>1148</v>
      </c>
    </row>
    <row r="87" spans="1:8">
      <c r="A87" s="1" t="s">
        <v>6605</v>
      </c>
      <c r="B87" s="1" t="s">
        <v>3902</v>
      </c>
      <c r="C87" s="1" t="s">
        <v>130</v>
      </c>
      <c r="D87" s="1" t="s">
        <v>2865</v>
      </c>
      <c r="E87" s="12">
        <f t="shared" si="1"/>
        <v>80.467200000000005</v>
      </c>
      <c r="F87" s="12">
        <f>(15840*Systems!D6/'Physical Definitions'!E4)*SI!E3/SI!E4</f>
        <v>80.467200000000005</v>
      </c>
      <c r="G87" s="1" t="s">
        <v>1081</v>
      </c>
      <c r="H87" s="1" t="s">
        <v>1148</v>
      </c>
    </row>
    <row r="88" spans="1:8">
      <c r="A88" s="1" t="s">
        <v>6606</v>
      </c>
      <c r="B88" s="1" t="s">
        <v>6603</v>
      </c>
      <c r="C88" s="1" t="s">
        <v>130</v>
      </c>
      <c r="D88" s="1" t="s">
        <v>2865</v>
      </c>
      <c r="E88" s="12">
        <f t="shared" si="1"/>
        <v>4828.0320000000002</v>
      </c>
      <c r="F88" s="12">
        <f>15840*Systems!D15*SI!E3/SI!E4</f>
        <v>4828.0320000000002</v>
      </c>
      <c r="G88" s="1" t="s">
        <v>1081</v>
      </c>
      <c r="H88" s="1" t="s">
        <v>1148</v>
      </c>
    </row>
    <row r="89" spans="1:8" ht="16.8">
      <c r="A89" s="1" t="s">
        <v>7468</v>
      </c>
      <c r="B89" s="1" t="s">
        <v>2833</v>
      </c>
      <c r="C89" s="1" t="s">
        <v>130</v>
      </c>
      <c r="D89" s="1" t="s">
        <v>2865</v>
      </c>
      <c r="E89" s="12">
        <f>F89</f>
        <v>342.60364855033282</v>
      </c>
      <c r="F89" s="12">
        <f>SQRT('Physical Measurements'!E18*'Physical Measurements'!E19*'Physical Definitions'!E33)*SI!E3/SI!E4</f>
        <v>342.60364855033282</v>
      </c>
      <c r="G89" s="1" t="s">
        <v>1081</v>
      </c>
      <c r="H89" s="1" t="s">
        <v>58</v>
      </c>
    </row>
    <row r="90" spans="1:8">
      <c r="A90" s="1" t="s">
        <v>6607</v>
      </c>
      <c r="B90" s="1" t="s">
        <v>6608</v>
      </c>
      <c r="C90" s="1" t="s">
        <v>130</v>
      </c>
      <c r="D90" s="1" t="s">
        <v>2865</v>
      </c>
      <c r="E90" s="12">
        <f>0.000001*F90</f>
        <v>9.9999999999999995E-7</v>
      </c>
      <c r="F90" s="12">
        <f>SI!E3/SI!E4</f>
        <v>1</v>
      </c>
      <c r="G90" s="1" t="s">
        <v>1081</v>
      </c>
      <c r="H90" s="1" t="s">
        <v>42</v>
      </c>
    </row>
    <row r="91" spans="1:8">
      <c r="A91" s="1" t="s">
        <v>6618</v>
      </c>
      <c r="B91" s="1" t="s">
        <v>3917</v>
      </c>
      <c r="C91" s="1" t="s">
        <v>130</v>
      </c>
      <c r="D91" s="1" t="s">
        <v>2865</v>
      </c>
      <c r="E91" s="12">
        <f>0.000001*F91/'Physical Definitions'!E4</f>
        <v>1.6666666666666667E-8</v>
      </c>
      <c r="F91" s="12">
        <f>SI!E3/SI!E4</f>
        <v>1</v>
      </c>
      <c r="G91" s="1" t="s">
        <v>1081</v>
      </c>
      <c r="H91" s="1" t="s">
        <v>42</v>
      </c>
    </row>
    <row r="92" spans="1:8">
      <c r="A92" s="1" t="s">
        <v>6619</v>
      </c>
      <c r="B92" s="1" t="s">
        <v>3918</v>
      </c>
      <c r="C92" s="1" t="s">
        <v>130</v>
      </c>
      <c r="D92" s="1" t="s">
        <v>2865</v>
      </c>
      <c r="E92" s="12">
        <f>0.000001*F92/'Physical Definitions'!E5</f>
        <v>2.7777777777777777E-10</v>
      </c>
      <c r="F92" s="12">
        <f>SI!E3/SI!E4</f>
        <v>1</v>
      </c>
      <c r="G92" s="1" t="s">
        <v>1081</v>
      </c>
      <c r="H92" s="1" t="s">
        <v>42</v>
      </c>
    </row>
    <row r="93" spans="1:8">
      <c r="A93" s="1" t="s">
        <v>6620</v>
      </c>
      <c r="B93" s="1" t="s">
        <v>6609</v>
      </c>
      <c r="C93" s="1" t="s">
        <v>130</v>
      </c>
      <c r="D93" s="1" t="s">
        <v>2865</v>
      </c>
      <c r="E93" s="12">
        <f>0.000001*F93/'Physical Definitions'!E6</f>
        <v>1.1574074074074074E-11</v>
      </c>
      <c r="F93" s="12">
        <f>SI!E3/SI!E4</f>
        <v>1</v>
      </c>
      <c r="G93" s="1" t="s">
        <v>1081</v>
      </c>
      <c r="H93" s="1" t="s">
        <v>42</v>
      </c>
    </row>
    <row r="94" spans="1:8">
      <c r="A94" s="1" t="s">
        <v>6621</v>
      </c>
      <c r="B94" s="1" t="s">
        <v>3941</v>
      </c>
      <c r="C94" s="1" t="s">
        <v>130</v>
      </c>
      <c r="D94" s="1" t="s">
        <v>2865</v>
      </c>
      <c r="E94" s="12">
        <f>0.000001*F94/(30*'Physical Definitions'!E6)</f>
        <v>3.8580246913580245E-13</v>
      </c>
      <c r="F94" s="12">
        <f>SI!E3/SI!E4</f>
        <v>1</v>
      </c>
      <c r="G94" s="1" t="s">
        <v>1081</v>
      </c>
      <c r="H94" s="1" t="s">
        <v>42</v>
      </c>
    </row>
    <row r="95" spans="1:8">
      <c r="A95" s="1" t="s">
        <v>6622</v>
      </c>
      <c r="B95" s="1" t="s">
        <v>6610</v>
      </c>
      <c r="C95" s="1" t="s">
        <v>130</v>
      </c>
      <c r="D95" s="1" t="s">
        <v>2865</v>
      </c>
      <c r="E95" s="12">
        <f>0.000001*F95/'Physical Definitions'!E7</f>
        <v>3.1709791983764584E-14</v>
      </c>
      <c r="F95" s="12">
        <f>SI!E3/SI!E4</f>
        <v>1</v>
      </c>
      <c r="G95" s="1" t="s">
        <v>1081</v>
      </c>
      <c r="H95" s="1" t="s">
        <v>42</v>
      </c>
    </row>
    <row r="96" spans="1:8">
      <c r="A96" s="1" t="s">
        <v>6623</v>
      </c>
      <c r="B96" s="1" t="s">
        <v>6611</v>
      </c>
      <c r="C96" s="1" t="s">
        <v>130</v>
      </c>
      <c r="D96" s="1" t="s">
        <v>2865</v>
      </c>
      <c r="E96" s="12">
        <f>F96*'Physical Definitions'!E21</f>
        <v>1E-3</v>
      </c>
      <c r="F96" s="12">
        <f>SI!E3/SI!E4</f>
        <v>1</v>
      </c>
      <c r="G96" s="1" t="s">
        <v>1081</v>
      </c>
      <c r="H96" s="1" t="s">
        <v>42</v>
      </c>
    </row>
    <row r="97" spans="1:8">
      <c r="A97" s="1" t="s">
        <v>6624</v>
      </c>
      <c r="B97" s="1" t="s">
        <v>3894</v>
      </c>
      <c r="C97" s="1" t="s">
        <v>130</v>
      </c>
      <c r="D97" s="1" t="s">
        <v>2865</v>
      </c>
      <c r="E97" s="12">
        <f>F97*'Physical Definitions'!E21/'Physical Definitions'!E4</f>
        <v>1.6666666666666667E-5</v>
      </c>
      <c r="F97" s="12">
        <f>SI!E3/SI!E4</f>
        <v>1</v>
      </c>
      <c r="G97" s="1" t="s">
        <v>1081</v>
      </c>
      <c r="H97" s="1" t="s">
        <v>42</v>
      </c>
    </row>
    <row r="98" spans="1:8">
      <c r="A98" s="1" t="s">
        <v>6625</v>
      </c>
      <c r="B98" s="1" t="s">
        <v>3895</v>
      </c>
      <c r="C98" s="1" t="s">
        <v>130</v>
      </c>
      <c r="D98" s="1" t="s">
        <v>2865</v>
      </c>
      <c r="E98" s="12">
        <f>F98*'Physical Definitions'!E21/'Physical Definitions'!E5</f>
        <v>2.7777777777777776E-7</v>
      </c>
      <c r="F98" s="12">
        <f>SI!E3/SI!E4</f>
        <v>1</v>
      </c>
      <c r="G98" s="1" t="s">
        <v>1081</v>
      </c>
      <c r="H98" s="1" t="s">
        <v>42</v>
      </c>
    </row>
    <row r="99" spans="1:8">
      <c r="A99" s="1" t="s">
        <v>6626</v>
      </c>
      <c r="B99" s="1" t="s">
        <v>6615</v>
      </c>
      <c r="C99" s="1" t="s">
        <v>130</v>
      </c>
      <c r="D99" s="1" t="s">
        <v>2865</v>
      </c>
      <c r="E99" s="12">
        <f>F99*'Physical Definitions'!E21/'Physical Definitions'!E6</f>
        <v>1.1574074074074074E-8</v>
      </c>
      <c r="F99" s="12">
        <f>SI!E3/SI!E4</f>
        <v>1</v>
      </c>
      <c r="G99" s="1" t="s">
        <v>1081</v>
      </c>
      <c r="H99" s="1" t="s">
        <v>42</v>
      </c>
    </row>
    <row r="100" spans="1:8">
      <c r="A100" s="1" t="s">
        <v>6627</v>
      </c>
      <c r="B100" s="1" t="s">
        <v>3942</v>
      </c>
      <c r="C100" s="1" t="s">
        <v>130</v>
      </c>
      <c r="D100" s="1" t="s">
        <v>2865</v>
      </c>
      <c r="E100" s="12">
        <f>F100*'Physical Definitions'!E21/(30*'Physical Definitions'!E6)</f>
        <v>3.8580246913580248E-10</v>
      </c>
      <c r="F100" s="12">
        <f>SI!E3/SI!E4</f>
        <v>1</v>
      </c>
      <c r="G100" s="1" t="s">
        <v>1081</v>
      </c>
      <c r="H100" s="1" t="s">
        <v>42</v>
      </c>
    </row>
    <row r="101" spans="1:8">
      <c r="A101" s="1" t="s">
        <v>6628</v>
      </c>
      <c r="B101" s="1" t="s">
        <v>6616</v>
      </c>
      <c r="C101" s="1" t="s">
        <v>130</v>
      </c>
      <c r="D101" s="1" t="s">
        <v>2865</v>
      </c>
      <c r="E101" s="12">
        <f>F101*'Physical Definitions'!E21/'Physical Definitions'!E7</f>
        <v>3.1709791983764586E-11</v>
      </c>
      <c r="F101" s="12">
        <f>SI!E3/SI!E4</f>
        <v>1</v>
      </c>
      <c r="G101" s="1" t="s">
        <v>1081</v>
      </c>
      <c r="H101" s="1" t="s">
        <v>42</v>
      </c>
    </row>
    <row r="102" spans="1:8">
      <c r="A102" s="1" t="s">
        <v>6629</v>
      </c>
      <c r="B102" s="1" t="s">
        <v>6617</v>
      </c>
      <c r="C102" s="1" t="s">
        <v>130</v>
      </c>
      <c r="D102" s="1" t="s">
        <v>2865</v>
      </c>
      <c r="E102" s="12">
        <f>1000000*F102</f>
        <v>1000000</v>
      </c>
      <c r="F102" s="12">
        <f>SI!E3/SI!E4</f>
        <v>1</v>
      </c>
      <c r="G102" s="1" t="s">
        <v>1081</v>
      </c>
      <c r="H102" s="1" t="s">
        <v>42</v>
      </c>
    </row>
    <row r="103" spans="1:8">
      <c r="A103" s="1" t="s">
        <v>6630</v>
      </c>
      <c r="B103" s="1" t="s">
        <v>3909</v>
      </c>
      <c r="C103" s="1" t="s">
        <v>130</v>
      </c>
      <c r="D103" s="1" t="s">
        <v>2865</v>
      </c>
      <c r="E103" s="12">
        <f>1000000*F103/'Physical Definitions'!E4</f>
        <v>16666.666666666668</v>
      </c>
      <c r="F103" s="12">
        <f>SI!E3/SI!E4</f>
        <v>1</v>
      </c>
      <c r="G103" s="1" t="s">
        <v>1081</v>
      </c>
      <c r="H103" s="1" t="s">
        <v>42</v>
      </c>
    </row>
    <row r="104" spans="1:8">
      <c r="A104" s="1" t="s">
        <v>6631</v>
      </c>
      <c r="B104" s="1" t="s">
        <v>3910</v>
      </c>
      <c r="C104" s="1" t="s">
        <v>130</v>
      </c>
      <c r="D104" s="1" t="s">
        <v>2865</v>
      </c>
      <c r="E104" s="12">
        <f>1000000*F104/'Physical Definitions'!E5</f>
        <v>277.77777777777777</v>
      </c>
      <c r="F104" s="12">
        <f>SI!E3/SI!E4</f>
        <v>1</v>
      </c>
      <c r="G104" s="1" t="s">
        <v>1081</v>
      </c>
      <c r="H104" s="1" t="s">
        <v>42</v>
      </c>
    </row>
    <row r="105" spans="1:8">
      <c r="A105" s="1" t="s">
        <v>6632</v>
      </c>
      <c r="B105" s="1" t="s">
        <v>6612</v>
      </c>
      <c r="C105" s="1" t="s">
        <v>130</v>
      </c>
      <c r="D105" s="1" t="s">
        <v>2865</v>
      </c>
      <c r="E105" s="12">
        <f>1000000*F105/'Physical Definitions'!E6</f>
        <v>11.574074074074074</v>
      </c>
      <c r="F105" s="12">
        <f>SI!E3/SI!E4</f>
        <v>1</v>
      </c>
      <c r="G105" s="1" t="s">
        <v>1081</v>
      </c>
      <c r="H105" s="1" t="s">
        <v>42</v>
      </c>
    </row>
    <row r="106" spans="1:8">
      <c r="A106" s="1" t="s">
        <v>6633</v>
      </c>
      <c r="B106" s="1" t="s">
        <v>3943</v>
      </c>
      <c r="C106" s="1" t="s">
        <v>130</v>
      </c>
      <c r="D106" s="1" t="s">
        <v>2865</v>
      </c>
      <c r="E106" s="12">
        <f>1000000*F106/(30*'Physical Definitions'!E6)</f>
        <v>0.38580246913580246</v>
      </c>
      <c r="F106" s="12">
        <f>SI!E3/SI!E4</f>
        <v>1</v>
      </c>
      <c r="G106" s="1" t="s">
        <v>1081</v>
      </c>
      <c r="H106" s="1" t="s">
        <v>42</v>
      </c>
    </row>
    <row r="107" spans="1:8">
      <c r="A107" s="1" t="s">
        <v>6634</v>
      </c>
      <c r="B107" s="1" t="s">
        <v>6613</v>
      </c>
      <c r="C107" s="1" t="s">
        <v>130</v>
      </c>
      <c r="D107" s="1" t="s">
        <v>2865</v>
      </c>
      <c r="E107" s="12">
        <f>1000000*F107/'Physical Definitions'!E7</f>
        <v>3.1709791983764585E-2</v>
      </c>
      <c r="F107" s="12">
        <f>SI!E3/SI!E4</f>
        <v>1</v>
      </c>
      <c r="G107" s="1" t="s">
        <v>1081</v>
      </c>
      <c r="H107" s="1" t="s">
        <v>42</v>
      </c>
    </row>
    <row r="108" spans="1:8">
      <c r="A108" s="1" t="s">
        <v>6635</v>
      </c>
      <c r="B108" s="1" t="s">
        <v>6614</v>
      </c>
      <c r="C108" s="1" t="s">
        <v>130</v>
      </c>
      <c r="D108" s="1" t="s">
        <v>2865</v>
      </c>
      <c r="E108" s="12">
        <f>F108</f>
        <v>1</v>
      </c>
      <c r="F108" s="12">
        <f>SI!E3/SI!E4</f>
        <v>1</v>
      </c>
      <c r="G108" s="1" t="s">
        <v>1081</v>
      </c>
      <c r="H108" s="1" t="s">
        <v>42</v>
      </c>
    </row>
    <row r="109" spans="1:8">
      <c r="A109" s="1" t="s">
        <v>6636</v>
      </c>
      <c r="B109" s="1" t="s">
        <v>3890</v>
      </c>
      <c r="C109" s="1" t="s">
        <v>130</v>
      </c>
      <c r="D109" s="1" t="s">
        <v>2865</v>
      </c>
      <c r="E109" s="12">
        <f>F109/'Physical Definitions'!E4</f>
        <v>1.6666666666666666E-2</v>
      </c>
      <c r="F109" s="12">
        <f>SI!E3/SI!E4</f>
        <v>1</v>
      </c>
      <c r="G109" s="1" t="s">
        <v>1081</v>
      </c>
      <c r="H109" s="1" t="s">
        <v>42</v>
      </c>
    </row>
    <row r="110" spans="1:8">
      <c r="A110" s="1" t="s">
        <v>6637</v>
      </c>
      <c r="B110" s="1" t="s">
        <v>3891</v>
      </c>
      <c r="C110" s="1" t="s">
        <v>130</v>
      </c>
      <c r="D110" s="1" t="s">
        <v>2865</v>
      </c>
      <c r="E110" s="12">
        <f>F110/'Physical Definitions'!E5</f>
        <v>2.7777777777777778E-4</v>
      </c>
      <c r="F110" s="12">
        <f>SI!E3/SI!E4</f>
        <v>1</v>
      </c>
      <c r="G110" s="1" t="s">
        <v>1081</v>
      </c>
      <c r="H110" s="1" t="s">
        <v>42</v>
      </c>
    </row>
    <row r="111" spans="1:8">
      <c r="A111" s="1" t="s">
        <v>6638</v>
      </c>
      <c r="B111" s="1" t="s">
        <v>6639</v>
      </c>
      <c r="C111" s="1" t="s">
        <v>130</v>
      </c>
      <c r="D111" s="1" t="s">
        <v>2865</v>
      </c>
      <c r="E111" s="12">
        <f>F111/'Physical Definitions'!E6</f>
        <v>1.1574074074074073E-5</v>
      </c>
      <c r="F111" s="12">
        <f>SI!E3/SI!E4</f>
        <v>1</v>
      </c>
      <c r="G111" s="1" t="s">
        <v>1081</v>
      </c>
      <c r="H111" s="1" t="s">
        <v>42</v>
      </c>
    </row>
    <row r="112" spans="1:8">
      <c r="A112" s="1" t="s">
        <v>6641</v>
      </c>
      <c r="B112" s="1" t="s">
        <v>3944</v>
      </c>
      <c r="C112" s="1" t="s">
        <v>130</v>
      </c>
      <c r="D112" s="1" t="s">
        <v>2865</v>
      </c>
      <c r="E112" s="12">
        <f>F112/(30*'Physical Definitions'!E6)</f>
        <v>3.8580246913580245E-7</v>
      </c>
      <c r="F112" s="12">
        <f>SI!E3/SI!E4</f>
        <v>1</v>
      </c>
      <c r="G112" s="1" t="s">
        <v>1081</v>
      </c>
      <c r="H112" s="1" t="s">
        <v>42</v>
      </c>
    </row>
    <row r="113" spans="1:8">
      <c r="A113" s="1" t="s">
        <v>6642</v>
      </c>
      <c r="B113" s="1" t="s">
        <v>6640</v>
      </c>
      <c r="C113" s="1" t="s">
        <v>130</v>
      </c>
      <c r="D113" s="1" t="s">
        <v>2865</v>
      </c>
      <c r="E113" s="12">
        <f>F113/'Physical Definitions'!E7</f>
        <v>3.1709791983764586E-8</v>
      </c>
      <c r="F113" s="12">
        <f>SI!E3/SI!E4</f>
        <v>1</v>
      </c>
      <c r="G113" s="1" t="s">
        <v>1081</v>
      </c>
      <c r="H113" s="1" t="s">
        <v>42</v>
      </c>
    </row>
    <row r="114" spans="1:8">
      <c r="A114" s="1" t="s">
        <v>6643</v>
      </c>
      <c r="B114" s="1" t="s">
        <v>294</v>
      </c>
      <c r="C114" s="1" t="s">
        <v>130</v>
      </c>
      <c r="D114" s="1" t="s">
        <v>2865</v>
      </c>
      <c r="E114" s="12">
        <f t="shared" ref="E114:E121" si="2">F114</f>
        <v>8.0542871638762054E-10</v>
      </c>
      <c r="F114" s="12">
        <f>Systems!D6*SI!E3/(12*'Physical Definitions'!E7*SI!E4)</f>
        <v>8.0542871638762054E-10</v>
      </c>
      <c r="G114" s="1" t="s">
        <v>1081</v>
      </c>
      <c r="H114" s="1" t="s">
        <v>1148</v>
      </c>
    </row>
    <row r="115" spans="1:8">
      <c r="A115" s="1" t="s">
        <v>6644</v>
      </c>
      <c r="B115" s="1" t="s">
        <v>3898</v>
      </c>
      <c r="C115" s="1" t="s">
        <v>130</v>
      </c>
      <c r="D115" s="1" t="s">
        <v>2865</v>
      </c>
      <c r="E115" s="12">
        <f t="shared" si="2"/>
        <v>1609.3440000000001</v>
      </c>
      <c r="F115" s="12">
        <f>(5280*Systems!D6/SI!E4)*SI!E3/SI!E4</f>
        <v>1609.3440000000001</v>
      </c>
      <c r="G115" s="1" t="s">
        <v>1081</v>
      </c>
      <c r="H115" s="1" t="s">
        <v>1148</v>
      </c>
    </row>
    <row r="116" spans="1:8">
      <c r="A116" s="1" t="s">
        <v>6645</v>
      </c>
      <c r="B116" s="1" t="s">
        <v>3897</v>
      </c>
      <c r="C116" s="1" t="s">
        <v>130</v>
      </c>
      <c r="D116" s="1" t="s">
        <v>2865</v>
      </c>
      <c r="E116" s="12">
        <f t="shared" si="2"/>
        <v>26.822400000000002</v>
      </c>
      <c r="F116" s="12">
        <f>(5280*Systems!D6/'Physical Definitions'!E4)*SI!E3/SI!E4</f>
        <v>26.822400000000002</v>
      </c>
      <c r="G116" s="1" t="s">
        <v>1081</v>
      </c>
      <c r="H116" s="1" t="s">
        <v>1148</v>
      </c>
    </row>
    <row r="117" spans="1:8">
      <c r="A117" s="1" t="s">
        <v>6646</v>
      </c>
      <c r="B117" s="1" t="s">
        <v>6647</v>
      </c>
      <c r="C117" s="1" t="s">
        <v>130</v>
      </c>
      <c r="D117" s="1" t="s">
        <v>2865</v>
      </c>
      <c r="E117" s="12">
        <f t="shared" si="2"/>
        <v>0.44703999999999999</v>
      </c>
      <c r="F117" s="12">
        <f>(5280*Systems!D6/'Physical Definitions'!E5)*SI!E3/SI!E4</f>
        <v>0.44703999999999999</v>
      </c>
      <c r="G117" s="1" t="s">
        <v>1081</v>
      </c>
      <c r="H117" s="1" t="s">
        <v>1148</v>
      </c>
    </row>
    <row r="118" spans="1:8">
      <c r="A118" s="1" t="s">
        <v>6650</v>
      </c>
      <c r="B118" s="1" t="s">
        <v>6648</v>
      </c>
      <c r="C118" s="1" t="s">
        <v>130</v>
      </c>
      <c r="D118" s="1" t="s">
        <v>2865</v>
      </c>
      <c r="E118" s="12">
        <f t="shared" si="2"/>
        <v>1.8626666666666666E-2</v>
      </c>
      <c r="F118" s="12">
        <f>(5280*Systems!D6/'Physical Definitions'!E6)*SI!E3/SI!E4</f>
        <v>1.8626666666666666E-2</v>
      </c>
      <c r="G118" s="1" t="s">
        <v>1081</v>
      </c>
      <c r="H118" s="1" t="s">
        <v>1148</v>
      </c>
    </row>
    <row r="119" spans="1:8">
      <c r="A119" s="1" t="s">
        <v>6651</v>
      </c>
      <c r="B119" s="1" t="s">
        <v>3945</v>
      </c>
      <c r="C119" s="1" t="s">
        <v>130</v>
      </c>
      <c r="D119" s="1" t="s">
        <v>2865</v>
      </c>
      <c r="E119" s="12">
        <f t="shared" si="2"/>
        <v>6.2088888888888892E-4</v>
      </c>
      <c r="F119" s="12">
        <f>(5280*Systems!D6/(30*'Physical Definitions'!E6))*SI!E3/SI!E4</f>
        <v>6.2088888888888892E-4</v>
      </c>
      <c r="G119" s="1" t="s">
        <v>1081</v>
      </c>
      <c r="H119" s="1" t="s">
        <v>1148</v>
      </c>
    </row>
    <row r="120" spans="1:8">
      <c r="A120" s="1" t="s">
        <v>6652</v>
      </c>
      <c r="B120" s="1" t="s">
        <v>6649</v>
      </c>
      <c r="C120" s="1" t="s">
        <v>130</v>
      </c>
      <c r="D120" s="1" t="s">
        <v>2865</v>
      </c>
      <c r="E120" s="12">
        <f t="shared" si="2"/>
        <v>5.1031963470319639E-5</v>
      </c>
      <c r="F120" s="12">
        <f>(5280*Systems!D6/'Physical Definitions'!E7)*SI!E3/SI!E4</f>
        <v>5.1031963470319639E-5</v>
      </c>
      <c r="G120" s="1" t="s">
        <v>1081</v>
      </c>
      <c r="H120" s="1" t="s">
        <v>1148</v>
      </c>
    </row>
    <row r="121" spans="1:8" ht="28.8">
      <c r="A121" s="1" t="s">
        <v>6653</v>
      </c>
      <c r="B121" s="1" t="s">
        <v>6654</v>
      </c>
      <c r="C121" s="1" t="s">
        <v>130</v>
      </c>
      <c r="D121" s="1" t="s">
        <v>2865</v>
      </c>
      <c r="E121" s="12">
        <f t="shared" si="2"/>
        <v>1.1574074074074072E-9</v>
      </c>
      <c r="F121" s="12">
        <f>(0.000001*SI!E2/(POWER('Physical Definitions'!E25,2)*'Physical Definitions'!E6))*SI!E3/SI!E4</f>
        <v>1.1574074074074072E-9</v>
      </c>
      <c r="G121" s="1" t="s">
        <v>1081</v>
      </c>
      <c r="H121" s="1" t="s">
        <v>982</v>
      </c>
    </row>
    <row r="122" spans="1:8">
      <c r="A122" s="1" t="s">
        <v>6658</v>
      </c>
      <c r="B122" s="1" t="s">
        <v>6655</v>
      </c>
      <c r="C122" s="1" t="s">
        <v>130</v>
      </c>
      <c r="D122" s="1" t="s">
        <v>2865</v>
      </c>
      <c r="E122" s="12">
        <f>0.000000001*F122</f>
        <v>1.0000000000000001E-9</v>
      </c>
      <c r="F122" s="12">
        <f>SI!E3/SI!E4</f>
        <v>1</v>
      </c>
      <c r="G122" s="1" t="s">
        <v>1081</v>
      </c>
      <c r="H122" s="1" t="s">
        <v>42</v>
      </c>
    </row>
    <row r="123" spans="1:8">
      <c r="A123" s="1" t="s">
        <v>6659</v>
      </c>
      <c r="B123" s="1" t="s">
        <v>3919</v>
      </c>
      <c r="C123" s="1" t="s">
        <v>130</v>
      </c>
      <c r="D123" s="1" t="s">
        <v>2865</v>
      </c>
      <c r="E123" s="12">
        <f>0.000000001*F123/'Physical Definitions'!E4</f>
        <v>1.6666666666666667E-11</v>
      </c>
      <c r="F123" s="12">
        <f>SI!E3/SI!E4</f>
        <v>1</v>
      </c>
      <c r="G123" s="1" t="s">
        <v>1081</v>
      </c>
      <c r="H123" s="1" t="s">
        <v>42</v>
      </c>
    </row>
    <row r="124" spans="1:8">
      <c r="A124" s="1" t="s">
        <v>6660</v>
      </c>
      <c r="B124" s="1" t="s">
        <v>3920</v>
      </c>
      <c r="C124" s="1" t="s">
        <v>130</v>
      </c>
      <c r="D124" s="1" t="s">
        <v>2865</v>
      </c>
      <c r="E124" s="12">
        <f>0.000000001*F124/'Physical Definitions'!E5</f>
        <v>2.7777777777777779E-13</v>
      </c>
      <c r="F124" s="12">
        <f>SI!E3/SI!E4</f>
        <v>1</v>
      </c>
      <c r="G124" s="1" t="s">
        <v>1081</v>
      </c>
      <c r="H124" s="1" t="s">
        <v>42</v>
      </c>
    </row>
    <row r="125" spans="1:8">
      <c r="A125" s="1" t="s">
        <v>6661</v>
      </c>
      <c r="B125" s="1" t="s">
        <v>6656</v>
      </c>
      <c r="C125" s="1" t="s">
        <v>130</v>
      </c>
      <c r="D125" s="1" t="s">
        <v>2865</v>
      </c>
      <c r="E125" s="12">
        <f>0.000000001*F125/'Physical Definitions'!E6</f>
        <v>1.1574074074074075E-14</v>
      </c>
      <c r="F125" s="12">
        <f>SI!E3/SI!E4</f>
        <v>1</v>
      </c>
      <c r="G125" s="1" t="s">
        <v>1081</v>
      </c>
      <c r="H125" s="1" t="s">
        <v>42</v>
      </c>
    </row>
    <row r="126" spans="1:8">
      <c r="A126" s="1" t="s">
        <v>6662</v>
      </c>
      <c r="B126" s="1" t="s">
        <v>3946</v>
      </c>
      <c r="C126" s="1" t="s">
        <v>130</v>
      </c>
      <c r="D126" s="1" t="s">
        <v>2865</v>
      </c>
      <c r="E126" s="12">
        <f>0.000000001*F126/(30*'Physical Definitions'!E6)</f>
        <v>3.8580246913580251E-16</v>
      </c>
      <c r="F126" s="12">
        <f>SI!E3/SI!E4</f>
        <v>1</v>
      </c>
      <c r="G126" s="1" t="s">
        <v>1081</v>
      </c>
      <c r="H126" s="1" t="s">
        <v>42</v>
      </c>
    </row>
    <row r="127" spans="1:8">
      <c r="A127" s="1" t="s">
        <v>6663</v>
      </c>
      <c r="B127" s="1" t="s">
        <v>6657</v>
      </c>
      <c r="C127" s="1" t="s">
        <v>130</v>
      </c>
      <c r="D127" s="1" t="s">
        <v>2865</v>
      </c>
      <c r="E127" s="12">
        <f>0.000000001*F127/'Physical Definitions'!E7</f>
        <v>3.1709791983764588E-17</v>
      </c>
      <c r="F127" s="12">
        <f>SI!E3/SI!E4</f>
        <v>1</v>
      </c>
      <c r="G127" s="1" t="s">
        <v>1081</v>
      </c>
      <c r="H127" s="1" t="s">
        <v>42</v>
      </c>
    </row>
    <row r="128" spans="1:8">
      <c r="A128" s="1" t="s">
        <v>6664</v>
      </c>
      <c r="B128" s="1" t="s">
        <v>6665</v>
      </c>
      <c r="C128" s="1" t="s">
        <v>130</v>
      </c>
      <c r="D128" s="1" t="s">
        <v>2865</v>
      </c>
      <c r="E128" s="12">
        <f>F128</f>
        <v>0.51444444444444448</v>
      </c>
      <c r="F128" s="12">
        <f>(1852/'Physical Definitions'!E5)*SI!E3/SI!E4</f>
        <v>0.51444444444444448</v>
      </c>
      <c r="G128" s="1" t="s">
        <v>1081</v>
      </c>
      <c r="H128" s="1" t="s">
        <v>58</v>
      </c>
    </row>
    <row r="129" spans="1:8">
      <c r="A129" s="1" t="s">
        <v>3010</v>
      </c>
      <c r="B129" s="1" t="s">
        <v>26</v>
      </c>
      <c r="C129" s="1" t="s">
        <v>130</v>
      </c>
      <c r="D129" s="1" t="s">
        <v>2865</v>
      </c>
      <c r="E129" s="12">
        <f>F129</f>
        <v>0.51444444444444448</v>
      </c>
      <c r="F129" s="12">
        <f>(1852/'Physical Definitions'!E5)*SI!E3/SI!E4</f>
        <v>0.51444444444444448</v>
      </c>
      <c r="G129" s="1" t="s">
        <v>1081</v>
      </c>
      <c r="H129" s="1" t="s">
        <v>58</v>
      </c>
    </row>
    <row r="130" spans="1:8">
      <c r="A130" s="1" t="s">
        <v>6669</v>
      </c>
      <c r="B130" s="1" t="s">
        <v>6666</v>
      </c>
      <c r="C130" s="1" t="s">
        <v>130</v>
      </c>
      <c r="D130" s="1" t="s">
        <v>2865</v>
      </c>
      <c r="E130" s="12">
        <f>0.000000000001*F130</f>
        <v>9.9999999999999998E-13</v>
      </c>
      <c r="F130" s="12">
        <f>SI!E3/SI!E4</f>
        <v>1</v>
      </c>
      <c r="G130" s="1" t="s">
        <v>1081</v>
      </c>
      <c r="H130" s="1" t="s">
        <v>42</v>
      </c>
    </row>
    <row r="131" spans="1:8">
      <c r="A131" s="1" t="s">
        <v>6670</v>
      </c>
      <c r="B131" s="1" t="s">
        <v>3921</v>
      </c>
      <c r="C131" s="1" t="s">
        <v>130</v>
      </c>
      <c r="D131" s="1" t="s">
        <v>2865</v>
      </c>
      <c r="E131" s="12">
        <f>0.000000000001*F131/'Physical Definitions'!E4</f>
        <v>1.6666666666666667E-14</v>
      </c>
      <c r="F131" s="12">
        <f>SI!E3/SI!E4</f>
        <v>1</v>
      </c>
      <c r="G131" s="1" t="s">
        <v>1081</v>
      </c>
      <c r="H131" s="1" t="s">
        <v>42</v>
      </c>
    </row>
    <row r="132" spans="1:8">
      <c r="A132" s="1" t="s">
        <v>6671</v>
      </c>
      <c r="B132" s="1" t="s">
        <v>3922</v>
      </c>
      <c r="C132" s="1" t="s">
        <v>130</v>
      </c>
      <c r="D132" s="1" t="s">
        <v>2865</v>
      </c>
      <c r="E132" s="12">
        <f>0.000000000001*F132/'Physical Definitions'!E5</f>
        <v>2.7777777777777775E-16</v>
      </c>
      <c r="F132" s="12">
        <f>SI!E3/SI!E4</f>
        <v>1</v>
      </c>
      <c r="G132" s="1" t="s">
        <v>1081</v>
      </c>
      <c r="H132" s="1" t="s">
        <v>42</v>
      </c>
    </row>
    <row r="133" spans="1:8">
      <c r="A133" s="1" t="s">
        <v>6672</v>
      </c>
      <c r="B133" s="1" t="s">
        <v>6667</v>
      </c>
      <c r="C133" s="1" t="s">
        <v>130</v>
      </c>
      <c r="D133" s="1" t="s">
        <v>2865</v>
      </c>
      <c r="E133" s="12">
        <f>0.000000000001*F133/'Physical Definitions'!E6</f>
        <v>1.1574074074074074E-17</v>
      </c>
      <c r="F133" s="12">
        <f>SI!E3/SI!E4</f>
        <v>1</v>
      </c>
      <c r="G133" s="1" t="s">
        <v>1081</v>
      </c>
      <c r="H133" s="1" t="s">
        <v>42</v>
      </c>
    </row>
    <row r="134" spans="1:8">
      <c r="A134" s="1" t="s">
        <v>6673</v>
      </c>
      <c r="B134" s="1" t="s">
        <v>3947</v>
      </c>
      <c r="C134" s="1" t="s">
        <v>130</v>
      </c>
      <c r="D134" s="1" t="s">
        <v>2865</v>
      </c>
      <c r="E134" s="12">
        <f>0.000000000001*F134/(30*'Physical Definitions'!E6)</f>
        <v>3.8580246913580248E-19</v>
      </c>
      <c r="F134" s="12">
        <f>SI!E3/SI!E4</f>
        <v>1</v>
      </c>
      <c r="G134" s="1" t="s">
        <v>1081</v>
      </c>
      <c r="H134" s="1" t="s">
        <v>42</v>
      </c>
    </row>
    <row r="135" spans="1:8">
      <c r="A135" s="1" t="s">
        <v>6674</v>
      </c>
      <c r="B135" s="1" t="s">
        <v>6668</v>
      </c>
      <c r="C135" s="1" t="s">
        <v>130</v>
      </c>
      <c r="D135" s="1" t="s">
        <v>2865</v>
      </c>
      <c r="E135" s="12">
        <f>0.000000000001*F135/'Physical Definitions'!E7</f>
        <v>3.1709791983764586E-20</v>
      </c>
      <c r="F135" s="12">
        <f>SI!E3/SI!E4</f>
        <v>1</v>
      </c>
      <c r="G135" s="1" t="s">
        <v>1081</v>
      </c>
      <c r="H135" s="1" t="s">
        <v>42</v>
      </c>
    </row>
    <row r="136" spans="1:8">
      <c r="A136" s="1" t="s">
        <v>6702</v>
      </c>
      <c r="B136" s="1" t="s">
        <v>6703</v>
      </c>
      <c r="C136" s="1" t="s">
        <v>130</v>
      </c>
      <c r="D136" s="1" t="s">
        <v>2865</v>
      </c>
      <c r="E136" s="12">
        <f>F136</f>
        <v>299792458</v>
      </c>
      <c r="F136" s="12">
        <f>'Physical Constants'!E3</f>
        <v>299792458</v>
      </c>
      <c r="G136" s="1" t="s">
        <v>1081</v>
      </c>
      <c r="H136" s="1" t="s">
        <v>982</v>
      </c>
    </row>
    <row r="137" spans="1:8">
      <c r="A137" s="1" t="s">
        <v>2590</v>
      </c>
      <c r="B137" s="1" t="s">
        <v>384</v>
      </c>
      <c r="C137" s="1" t="s">
        <v>130</v>
      </c>
      <c r="D137" s="1" t="s">
        <v>2865</v>
      </c>
      <c r="E137" s="12">
        <f>0.000000000000001*F137</f>
        <v>1.0000000000000001E-15</v>
      </c>
      <c r="F137" s="12">
        <f>SI!E3/SI!E4</f>
        <v>1</v>
      </c>
      <c r="G137" s="1" t="s">
        <v>1081</v>
      </c>
      <c r="H137" s="1" t="s">
        <v>982</v>
      </c>
    </row>
    <row r="138" spans="1:8">
      <c r="A138" s="1" t="s">
        <v>6681</v>
      </c>
      <c r="B138" s="1" t="s">
        <v>6675</v>
      </c>
      <c r="C138" s="1" t="s">
        <v>130</v>
      </c>
      <c r="D138" s="1" t="s">
        <v>2865</v>
      </c>
      <c r="E138" s="12">
        <f>3*Systems!D6*F138</f>
        <v>0.9144000000000001</v>
      </c>
      <c r="F138" s="12">
        <f>SI!E3/SI!E4</f>
        <v>1</v>
      </c>
      <c r="G138" s="1" t="s">
        <v>1081</v>
      </c>
      <c r="H138" s="1" t="s">
        <v>982</v>
      </c>
    </row>
    <row r="139" spans="1:8">
      <c r="A139" s="1" t="s">
        <v>6682</v>
      </c>
      <c r="B139" s="1" t="s">
        <v>3888</v>
      </c>
      <c r="C139" s="1" t="s">
        <v>130</v>
      </c>
      <c r="D139" s="1" t="s">
        <v>2865</v>
      </c>
      <c r="E139" s="12">
        <f>3*Systems!D6*F139/'Physical Definitions'!E4</f>
        <v>1.5240000000000002E-2</v>
      </c>
      <c r="F139" s="12">
        <f>SI!E3/SI!E4</f>
        <v>1</v>
      </c>
      <c r="G139" s="1" t="s">
        <v>1081</v>
      </c>
      <c r="H139" s="1" t="s">
        <v>982</v>
      </c>
    </row>
    <row r="140" spans="1:8">
      <c r="A140" s="1" t="s">
        <v>6683</v>
      </c>
      <c r="B140" s="1" t="s">
        <v>3892</v>
      </c>
      <c r="C140" s="1" t="s">
        <v>130</v>
      </c>
      <c r="D140" s="1" t="s">
        <v>2865</v>
      </c>
      <c r="E140" s="12">
        <f>3*Systems!D6*F140/'Physical Definitions'!E5</f>
        <v>2.5400000000000005E-4</v>
      </c>
      <c r="F140" s="12">
        <f>SI!E3/SI!E4</f>
        <v>1</v>
      </c>
      <c r="G140" s="1" t="s">
        <v>1081</v>
      </c>
      <c r="H140" s="1" t="s">
        <v>982</v>
      </c>
    </row>
    <row r="141" spans="1:8">
      <c r="A141" s="1" t="s">
        <v>6684</v>
      </c>
      <c r="B141" s="1" t="s">
        <v>6676</v>
      </c>
      <c r="C141" s="1" t="s">
        <v>130</v>
      </c>
      <c r="D141" s="1" t="s">
        <v>2865</v>
      </c>
      <c r="E141" s="12">
        <f>3*Systems!D6*F141/'Physical Definitions'!E6</f>
        <v>1.0583333333333334E-5</v>
      </c>
      <c r="F141" s="12">
        <f>SI!E3/SI!E4</f>
        <v>1</v>
      </c>
      <c r="G141" s="1" t="s">
        <v>1081</v>
      </c>
      <c r="H141" s="1" t="s">
        <v>982</v>
      </c>
    </row>
    <row r="142" spans="1:8">
      <c r="A142" s="1" t="s">
        <v>6685</v>
      </c>
      <c r="B142" s="1" t="s">
        <v>3948</v>
      </c>
      <c r="C142" s="1" t="s">
        <v>130</v>
      </c>
      <c r="D142" s="1" t="s">
        <v>2865</v>
      </c>
      <c r="E142" s="12">
        <f>3*Systems!D6*F142/(30*'Physical Definitions'!E6)</f>
        <v>3.5277777777777784E-7</v>
      </c>
      <c r="F142" s="12">
        <f>SI!E3/SI!E4</f>
        <v>1</v>
      </c>
      <c r="G142" s="1" t="s">
        <v>1081</v>
      </c>
      <c r="H142" s="1" t="s">
        <v>982</v>
      </c>
    </row>
    <row r="143" spans="1:8">
      <c r="A143" s="1" t="s">
        <v>6686</v>
      </c>
      <c r="B143" s="1" t="s">
        <v>6677</v>
      </c>
      <c r="C143" s="1" t="s">
        <v>130</v>
      </c>
      <c r="D143" s="1" t="s">
        <v>2865</v>
      </c>
      <c r="E143" s="12">
        <f>3*Systems!D6*F143/'Physical Definitions'!E7</f>
        <v>2.899543378995434E-8</v>
      </c>
      <c r="F143" s="12">
        <f>SI!E3/SI!E4</f>
        <v>1</v>
      </c>
      <c r="G143" s="1" t="s">
        <v>1081</v>
      </c>
      <c r="H143" s="1" t="s">
        <v>982</v>
      </c>
    </row>
    <row r="144" spans="1:8">
      <c r="A144" s="1" t="s">
        <v>6687</v>
      </c>
      <c r="B144" s="1" t="s">
        <v>6678</v>
      </c>
      <c r="C144" s="1" t="s">
        <v>130</v>
      </c>
      <c r="D144" s="1" t="s">
        <v>2865</v>
      </c>
      <c r="E144" s="12">
        <f>1E-24*F144</f>
        <v>9.9999999999999992E-25</v>
      </c>
      <c r="F144" s="12">
        <f>SI!E3/SI!E4</f>
        <v>1</v>
      </c>
      <c r="G144" s="1" t="s">
        <v>1081</v>
      </c>
      <c r="H144" s="1" t="s">
        <v>42</v>
      </c>
    </row>
    <row r="145" spans="1:8">
      <c r="A145" s="1" t="s">
        <v>6688</v>
      </c>
      <c r="B145" s="1" t="s">
        <v>3905</v>
      </c>
      <c r="C145" s="1" t="s">
        <v>130</v>
      </c>
      <c r="D145" s="1" t="s">
        <v>2865</v>
      </c>
      <c r="E145" s="12">
        <f>1E-24*F145/'Physical Definitions'!E4</f>
        <v>1.6666666666666665E-26</v>
      </c>
      <c r="F145" s="12">
        <f>SI!E3/SI!E4</f>
        <v>1</v>
      </c>
      <c r="G145" s="1" t="s">
        <v>1081</v>
      </c>
      <c r="H145" s="1" t="s">
        <v>42</v>
      </c>
    </row>
    <row r="146" spans="1:8">
      <c r="A146" s="1" t="s">
        <v>6689</v>
      </c>
      <c r="B146" s="1" t="s">
        <v>3906</v>
      </c>
      <c r="C146" s="1" t="s">
        <v>130</v>
      </c>
      <c r="D146" s="1" t="s">
        <v>2865</v>
      </c>
      <c r="E146" s="12">
        <f>1E-24*F146/'Physical Definitions'!E5</f>
        <v>2.7777777777777777E-28</v>
      </c>
      <c r="F146" s="12">
        <f>SI!E3/SI!E4</f>
        <v>1</v>
      </c>
      <c r="G146" s="1" t="s">
        <v>1081</v>
      </c>
      <c r="H146" s="1" t="s">
        <v>42</v>
      </c>
    </row>
    <row r="147" spans="1:8">
      <c r="A147" s="1" t="s">
        <v>6690</v>
      </c>
      <c r="B147" s="1" t="s">
        <v>6679</v>
      </c>
      <c r="C147" s="1" t="s">
        <v>130</v>
      </c>
      <c r="D147" s="1" t="s">
        <v>2865</v>
      </c>
      <c r="E147" s="12">
        <f>1E-24*F147/'Physical Definitions'!E6</f>
        <v>1.1574074074074073E-29</v>
      </c>
      <c r="F147" s="12">
        <f>SI!E3/SI!E4</f>
        <v>1</v>
      </c>
      <c r="G147" s="1" t="s">
        <v>1081</v>
      </c>
      <c r="H147" s="1" t="s">
        <v>42</v>
      </c>
    </row>
    <row r="148" spans="1:8">
      <c r="A148" s="1" t="s">
        <v>6691</v>
      </c>
      <c r="B148" s="1" t="s">
        <v>3949</v>
      </c>
      <c r="C148" s="1" t="s">
        <v>130</v>
      </c>
      <c r="D148" s="1" t="s">
        <v>2865</v>
      </c>
      <c r="E148" s="12">
        <f>1E-24*F148/(30*'Physical Definitions'!E6)</f>
        <v>3.8580246913580243E-31</v>
      </c>
      <c r="F148" s="12">
        <f>SI!E3/SI!E4</f>
        <v>1</v>
      </c>
      <c r="G148" s="1" t="s">
        <v>1081</v>
      </c>
      <c r="H148" s="1" t="s">
        <v>42</v>
      </c>
    </row>
    <row r="149" spans="1:8">
      <c r="A149" s="1" t="s">
        <v>6692</v>
      </c>
      <c r="B149" s="1" t="s">
        <v>6680</v>
      </c>
      <c r="C149" s="1" t="s">
        <v>130</v>
      </c>
      <c r="D149" s="1" t="s">
        <v>2865</v>
      </c>
      <c r="E149" s="12">
        <f>1E-24*F149/'Physical Definitions'!E7</f>
        <v>3.1709791983764584E-32</v>
      </c>
      <c r="F149" s="12">
        <f>SI!E3/SI!E4</f>
        <v>1</v>
      </c>
      <c r="G149" s="1" t="s">
        <v>1081</v>
      </c>
      <c r="H149" s="1" t="s">
        <v>42</v>
      </c>
    </row>
    <row r="150" spans="1:8">
      <c r="A150" s="1" t="s">
        <v>428</v>
      </c>
      <c r="B150" s="1" t="s">
        <v>26</v>
      </c>
      <c r="C150" s="1" t="s">
        <v>130</v>
      </c>
      <c r="D150" s="1" t="s">
        <v>2865</v>
      </c>
      <c r="E150" s="12">
        <f>F150</f>
        <v>3.3356409519815204E-9</v>
      </c>
      <c r="F150" s="12">
        <f>(1/'Physical Constants'!E3)*SI!E3/SI!E4</f>
        <v>3.3356409519815204E-9</v>
      </c>
      <c r="G150" s="1" t="s">
        <v>1081</v>
      </c>
      <c r="H150" s="1" t="s">
        <v>42</v>
      </c>
    </row>
    <row r="151" spans="1:8">
      <c r="A151" s="1" t="s">
        <v>6696</v>
      </c>
      <c r="B151" s="1" t="s">
        <v>6693</v>
      </c>
      <c r="C151" s="1" t="s">
        <v>130</v>
      </c>
      <c r="D151" s="1" t="s">
        <v>2865</v>
      </c>
      <c r="E151" s="12">
        <f>1E-21*F151</f>
        <v>9.9999999999999991E-22</v>
      </c>
      <c r="F151" s="12">
        <f>SI!E3/SI!E4</f>
        <v>1</v>
      </c>
      <c r="G151" s="1" t="s">
        <v>1081</v>
      </c>
      <c r="H151" s="1" t="s">
        <v>42</v>
      </c>
    </row>
    <row r="152" spans="1:8">
      <c r="A152" s="1" t="s">
        <v>6697</v>
      </c>
      <c r="B152" s="1" t="s">
        <v>3907</v>
      </c>
      <c r="C152" s="1" t="s">
        <v>130</v>
      </c>
      <c r="D152" s="1" t="s">
        <v>2865</v>
      </c>
      <c r="E152" s="12">
        <f>1E-21*F152/'Physical Definitions'!E4</f>
        <v>1.6666666666666666E-23</v>
      </c>
      <c r="F152" s="12">
        <f>SI!E3/SI!E4</f>
        <v>1</v>
      </c>
      <c r="G152" s="1" t="s">
        <v>1081</v>
      </c>
      <c r="H152" s="1" t="s">
        <v>42</v>
      </c>
    </row>
    <row r="153" spans="1:8">
      <c r="A153" s="1" t="s">
        <v>6698</v>
      </c>
      <c r="B153" s="1" t="s">
        <v>3908</v>
      </c>
      <c r="C153" s="1" t="s">
        <v>130</v>
      </c>
      <c r="D153" s="1" t="s">
        <v>2865</v>
      </c>
      <c r="E153" s="12">
        <f>1E-21*F153/'Physical Definitions'!E5</f>
        <v>2.7777777777777774E-25</v>
      </c>
      <c r="F153" s="12">
        <f>SI!E3/SI!E4</f>
        <v>1</v>
      </c>
      <c r="G153" s="1" t="s">
        <v>1081</v>
      </c>
      <c r="H153" s="1" t="s">
        <v>42</v>
      </c>
    </row>
    <row r="154" spans="1:8">
      <c r="A154" s="1" t="s">
        <v>6699</v>
      </c>
      <c r="B154" s="1" t="s">
        <v>6694</v>
      </c>
      <c r="C154" s="1" t="s">
        <v>130</v>
      </c>
      <c r="D154" s="1" t="s">
        <v>2865</v>
      </c>
      <c r="E154" s="12">
        <f>1E-21*F154/'Physical Definitions'!E6</f>
        <v>1.1574074074074073E-26</v>
      </c>
      <c r="F154" s="12">
        <f>SI!E3/SI!E4</f>
        <v>1</v>
      </c>
      <c r="G154" s="1" t="s">
        <v>1081</v>
      </c>
      <c r="H154" s="1" t="s">
        <v>42</v>
      </c>
    </row>
    <row r="155" spans="1:8">
      <c r="A155" s="1" t="s">
        <v>6700</v>
      </c>
      <c r="B155" s="1" t="s">
        <v>3950</v>
      </c>
      <c r="C155" s="1" t="s">
        <v>130</v>
      </c>
      <c r="D155" s="1" t="s">
        <v>2865</v>
      </c>
      <c r="E155" s="12">
        <f>1E-21*F155/(30*'Physical Definitions'!E6)</f>
        <v>3.8580246913580243E-28</v>
      </c>
      <c r="F155" s="12">
        <f>SI!E3/SI!E4</f>
        <v>1</v>
      </c>
      <c r="G155" s="1" t="s">
        <v>1081</v>
      </c>
      <c r="H155" s="1" t="s">
        <v>42</v>
      </c>
    </row>
    <row r="156" spans="1:8">
      <c r="A156" s="1" t="s">
        <v>6701</v>
      </c>
      <c r="B156" s="1" t="s">
        <v>6695</v>
      </c>
      <c r="C156" s="1" t="s">
        <v>130</v>
      </c>
      <c r="D156" s="1" t="s">
        <v>2865</v>
      </c>
      <c r="E156" s="12">
        <f>1E-21*F156/'Physical Definitions'!E7</f>
        <v>3.1709791983764583E-29</v>
      </c>
      <c r="F156" s="12">
        <f>SI!E3/SI!E4</f>
        <v>1</v>
      </c>
      <c r="G156" s="1" t="s">
        <v>1081</v>
      </c>
      <c r="H156" s="1" t="s">
        <v>42</v>
      </c>
    </row>
    <row r="157" spans="1:8">
      <c r="A157" s="248"/>
      <c r="B157" s="248"/>
      <c r="C157" s="248"/>
      <c r="D157" s="248"/>
      <c r="E157" s="250"/>
      <c r="F157" s="250"/>
      <c r="G157" s="248"/>
      <c r="H157" s="248"/>
    </row>
    <row r="158" spans="1:8" ht="16.5">
      <c r="A158" s="1" t="s">
        <v>7469</v>
      </c>
      <c r="B158" s="1" t="s">
        <v>213</v>
      </c>
      <c r="C158" s="1" t="s">
        <v>121</v>
      </c>
      <c r="D158" s="1" t="s">
        <v>2841</v>
      </c>
      <c r="E158" s="12">
        <f>0.01*F158</f>
        <v>0.01</v>
      </c>
      <c r="F158" s="12">
        <f>SI!E3/POWER(SI!E4,2)</f>
        <v>1</v>
      </c>
      <c r="G158" s="1" t="s">
        <v>1077</v>
      </c>
      <c r="H158" s="1" t="s">
        <v>36</v>
      </c>
    </row>
    <row r="159" spans="1:8" ht="16.5">
      <c r="A159" s="1" t="s">
        <v>120</v>
      </c>
      <c r="B159" s="1" t="s">
        <v>26</v>
      </c>
      <c r="C159" s="1" t="s">
        <v>121</v>
      </c>
      <c r="D159" s="1" t="s">
        <v>2841</v>
      </c>
      <c r="E159" s="12">
        <f t="shared" ref="E159:E169" si="3">F159</f>
        <v>0.30480000000000002</v>
      </c>
      <c r="F159" s="12">
        <f>Systems!D15*SI!E3/POWER(SI!E4,2)</f>
        <v>0.30480000000000002</v>
      </c>
      <c r="G159" s="1" t="s">
        <v>1077</v>
      </c>
      <c r="H159" s="1" t="s">
        <v>117</v>
      </c>
    </row>
    <row r="160" spans="1:8" ht="16.5">
      <c r="A160" s="1" t="s">
        <v>6712</v>
      </c>
      <c r="B160" s="1" t="s">
        <v>6704</v>
      </c>
      <c r="C160" s="1" t="s">
        <v>121</v>
      </c>
      <c r="D160" s="1" t="s">
        <v>2841</v>
      </c>
      <c r="E160" s="12">
        <f t="shared" si="3"/>
        <v>2.5400000000000002E-2</v>
      </c>
      <c r="F160" s="12">
        <f>(Systems!D6/12)*SI!E3/POWER(SI!E4,2)</f>
        <v>2.5400000000000002E-2</v>
      </c>
      <c r="G160" s="1" t="s">
        <v>1077</v>
      </c>
      <c r="H160" s="1" t="s">
        <v>1148</v>
      </c>
    </row>
    <row r="161" spans="1:8" ht="16.5">
      <c r="A161" s="1" t="s">
        <v>6713</v>
      </c>
      <c r="B161" s="1" t="s">
        <v>6705</v>
      </c>
      <c r="C161" s="1" t="s">
        <v>121</v>
      </c>
      <c r="D161" s="1" t="s">
        <v>2841</v>
      </c>
      <c r="E161" s="12">
        <f t="shared" si="3"/>
        <v>0.10160000000000001</v>
      </c>
      <c r="F161" s="12">
        <f>(Systems!D6/3)*SI!E3/POWER(SI!E4,2)</f>
        <v>0.10160000000000001</v>
      </c>
      <c r="G161" s="1" t="s">
        <v>1077</v>
      </c>
      <c r="H161" s="1" t="s">
        <v>1148</v>
      </c>
    </row>
    <row r="162" spans="1:8" ht="16.5">
      <c r="A162" s="1" t="s">
        <v>6714</v>
      </c>
      <c r="B162" s="1" t="s">
        <v>6706</v>
      </c>
      <c r="C162" s="1" t="s">
        <v>121</v>
      </c>
      <c r="D162" s="1" t="s">
        <v>2841</v>
      </c>
      <c r="E162" s="12">
        <f t="shared" si="3"/>
        <v>0.30480000000000002</v>
      </c>
      <c r="F162" s="12">
        <f>Systems!D15*SI!E3/POWER(SI!E4,2)</f>
        <v>0.30480000000000002</v>
      </c>
      <c r="G162" s="1" t="s">
        <v>1077</v>
      </c>
      <c r="H162" s="1" t="s">
        <v>117</v>
      </c>
    </row>
    <row r="163" spans="1:8" ht="16.5">
      <c r="A163" s="1" t="s">
        <v>6714</v>
      </c>
      <c r="B163" s="1" t="s">
        <v>6706</v>
      </c>
      <c r="C163" s="1" t="s">
        <v>121</v>
      </c>
      <c r="D163" s="1" t="s">
        <v>2841</v>
      </c>
      <c r="E163" s="12">
        <f>F163</f>
        <v>0.30480000000000002</v>
      </c>
      <c r="F163" s="12">
        <f>Systems!D15*SI!E3/POWER(SI!E4,2)</f>
        <v>0.30480000000000002</v>
      </c>
      <c r="G163" s="1" t="s">
        <v>1077</v>
      </c>
      <c r="H163" s="1" t="s">
        <v>1148</v>
      </c>
    </row>
    <row r="164" spans="1:8" ht="16.5">
      <c r="A164" s="1" t="s">
        <v>6715</v>
      </c>
      <c r="B164" s="1" t="s">
        <v>6707</v>
      </c>
      <c r="C164" s="1" t="s">
        <v>121</v>
      </c>
      <c r="D164" s="1" t="s">
        <v>2841</v>
      </c>
      <c r="E164" s="12">
        <f t="shared" si="3"/>
        <v>0.9144000000000001</v>
      </c>
      <c r="F164" s="12">
        <f>3*Systems!D6*SI!E3/POWER(SI!E4,2)</f>
        <v>0.9144000000000001</v>
      </c>
      <c r="G164" s="1" t="s">
        <v>1077</v>
      </c>
      <c r="H164" s="1" t="s">
        <v>1148</v>
      </c>
    </row>
    <row r="165" spans="1:8" ht="16.5">
      <c r="A165" s="1" t="s">
        <v>6716</v>
      </c>
      <c r="B165" s="1" t="s">
        <v>6708</v>
      </c>
      <c r="C165" s="1" t="s">
        <v>121</v>
      </c>
      <c r="D165" s="1" t="s">
        <v>2841</v>
      </c>
      <c r="E165" s="12">
        <f t="shared" si="3"/>
        <v>20.116800000000001</v>
      </c>
      <c r="F165" s="12">
        <f>66*Systems!D6*SI!E3/POWER(SI!E4,2)</f>
        <v>20.116800000000001</v>
      </c>
      <c r="G165" s="1" t="s">
        <v>1077</v>
      </c>
      <c r="H165" s="1" t="s">
        <v>1148</v>
      </c>
    </row>
    <row r="166" spans="1:8" ht="16.5">
      <c r="A166" s="1" t="s">
        <v>6717</v>
      </c>
      <c r="B166" s="1" t="s">
        <v>6709</v>
      </c>
      <c r="C166" s="1" t="s">
        <v>121</v>
      </c>
      <c r="D166" s="1" t="s">
        <v>2841</v>
      </c>
      <c r="E166" s="12">
        <f t="shared" si="3"/>
        <v>201.16800000000001</v>
      </c>
      <c r="F166" s="12">
        <f>660*Systems!D6*SI!E3/POWER(SI!E4,2)</f>
        <v>201.16800000000001</v>
      </c>
      <c r="G166" s="1" t="s">
        <v>1077</v>
      </c>
      <c r="H166" s="1" t="s">
        <v>1148</v>
      </c>
    </row>
    <row r="167" spans="1:8" ht="16.5">
      <c r="A167" s="1" t="s">
        <v>6718</v>
      </c>
      <c r="B167" s="1" t="s">
        <v>6710</v>
      </c>
      <c r="C167" s="1" t="s">
        <v>121</v>
      </c>
      <c r="D167" s="1" t="s">
        <v>2841</v>
      </c>
      <c r="E167" s="12">
        <f t="shared" si="3"/>
        <v>1609.3440000000001</v>
      </c>
      <c r="F167" s="12">
        <f>5280*Systems!D6*SI!E3/POWER(SI!E4,2)</f>
        <v>1609.3440000000001</v>
      </c>
      <c r="G167" s="1" t="s">
        <v>1077</v>
      </c>
      <c r="H167" s="1" t="s">
        <v>1148</v>
      </c>
    </row>
    <row r="168" spans="1:8" ht="16.5">
      <c r="A168" s="1" t="s">
        <v>6719</v>
      </c>
      <c r="B168" s="1" t="s">
        <v>6711</v>
      </c>
      <c r="C168" s="1" t="s">
        <v>121</v>
      </c>
      <c r="D168" s="1" t="s">
        <v>2841</v>
      </c>
      <c r="E168" s="12">
        <f t="shared" si="3"/>
        <v>4828.0320000000002</v>
      </c>
      <c r="F168" s="12">
        <f>15840*Systems!D6*SI!E3/POWER(SI!E4,2)</f>
        <v>4828.0320000000002</v>
      </c>
      <c r="G168" s="1" t="s">
        <v>1077</v>
      </c>
      <c r="H168" s="1" t="s">
        <v>1148</v>
      </c>
    </row>
    <row r="169" spans="1:8" ht="16.5">
      <c r="A169" s="1" t="s">
        <v>533</v>
      </c>
      <c r="B169" s="1" t="s">
        <v>174</v>
      </c>
      <c r="C169" s="1" t="s">
        <v>121</v>
      </c>
      <c r="D169" s="1" t="s">
        <v>2841</v>
      </c>
      <c r="E169" s="12">
        <f t="shared" si="3"/>
        <v>9.8066499999999994</v>
      </c>
      <c r="F169" s="12">
        <f>'Physical Definitions'!E13*SI!E3/POWER(SI!E4,2)</f>
        <v>9.8066499999999994</v>
      </c>
      <c r="G169" s="1" t="s">
        <v>1077</v>
      </c>
      <c r="H169" s="1" t="s">
        <v>58</v>
      </c>
    </row>
    <row r="170" spans="1:8" ht="16.5">
      <c r="A170" s="1" t="s">
        <v>272</v>
      </c>
      <c r="B170" s="1" t="s">
        <v>26</v>
      </c>
      <c r="C170" s="1" t="s">
        <v>121</v>
      </c>
      <c r="D170" s="1" t="s">
        <v>2841</v>
      </c>
      <c r="E170" s="12">
        <f>10*F170</f>
        <v>10</v>
      </c>
      <c r="F170" s="12">
        <f>SI!E3/POWER(SI!E4,2)</f>
        <v>1</v>
      </c>
      <c r="G170" s="1" t="s">
        <v>1077</v>
      </c>
      <c r="H170" s="1" t="s">
        <v>982</v>
      </c>
    </row>
    <row r="171" spans="1:8" ht="16.5">
      <c r="A171" s="1" t="s">
        <v>6735</v>
      </c>
      <c r="B171" s="1" t="s">
        <v>6721</v>
      </c>
      <c r="C171" s="1" t="s">
        <v>121</v>
      </c>
      <c r="D171" s="1" t="s">
        <v>2841</v>
      </c>
      <c r="E171" s="12">
        <f>1E-24*F171</f>
        <v>9.9999999999999992E-25</v>
      </c>
      <c r="F171" s="12">
        <f>SI!E2/POWER(SI!E3,2)</f>
        <v>1</v>
      </c>
      <c r="G171" s="1" t="s">
        <v>1077</v>
      </c>
      <c r="H171" s="1" t="s">
        <v>42</v>
      </c>
    </row>
    <row r="172" spans="1:8" ht="16.5">
      <c r="A172" s="1" t="s">
        <v>6736</v>
      </c>
      <c r="B172" s="1" t="s">
        <v>6722</v>
      </c>
      <c r="C172" s="1" t="s">
        <v>121</v>
      </c>
      <c r="D172" s="1" t="s">
        <v>2841</v>
      </c>
      <c r="E172" s="12">
        <f>1E-21*F172</f>
        <v>9.9999999999999991E-22</v>
      </c>
      <c r="F172" s="12">
        <f>SI!E2/POWER(SI!E3,2)</f>
        <v>1</v>
      </c>
      <c r="G172" s="1" t="s">
        <v>1077</v>
      </c>
      <c r="H172" s="1" t="s">
        <v>42</v>
      </c>
    </row>
    <row r="173" spans="1:8" ht="16.5">
      <c r="A173" s="1" t="s">
        <v>6737</v>
      </c>
      <c r="B173" s="1" t="s">
        <v>6723</v>
      </c>
      <c r="C173" s="1" t="s">
        <v>121</v>
      </c>
      <c r="D173" s="1" t="s">
        <v>2841</v>
      </c>
      <c r="E173" s="12">
        <f>0.000000000000000001*F173</f>
        <v>1.0000000000000001E-18</v>
      </c>
      <c r="F173" s="12">
        <f>SI!E2/POWER(SI!E3,2)</f>
        <v>1</v>
      </c>
      <c r="G173" s="1" t="s">
        <v>1077</v>
      </c>
      <c r="H173" s="1" t="s">
        <v>42</v>
      </c>
    </row>
    <row r="174" spans="1:8" ht="16.5">
      <c r="A174" s="1" t="s">
        <v>6738</v>
      </c>
      <c r="B174" s="1" t="s">
        <v>6724</v>
      </c>
      <c r="C174" s="1" t="s">
        <v>121</v>
      </c>
      <c r="D174" s="1" t="s">
        <v>2841</v>
      </c>
      <c r="E174" s="12">
        <f>0.000000000000001*F174</f>
        <v>1.0000000000000001E-15</v>
      </c>
      <c r="F174" s="12">
        <f>SI!E2/POWER(SI!E3,2)</f>
        <v>1</v>
      </c>
      <c r="G174" s="1" t="s">
        <v>1077</v>
      </c>
      <c r="H174" s="1" t="s">
        <v>42</v>
      </c>
    </row>
    <row r="175" spans="1:8" ht="16.5">
      <c r="A175" s="1" t="s">
        <v>6739</v>
      </c>
      <c r="B175" s="1" t="s">
        <v>6725</v>
      </c>
      <c r="C175" s="1" t="s">
        <v>121</v>
      </c>
      <c r="D175" s="1" t="s">
        <v>2841</v>
      </c>
      <c r="E175" s="12">
        <f>0.000000000001*F175</f>
        <v>9.9999999999999998E-13</v>
      </c>
      <c r="F175" s="12">
        <f>SI!E3/POWER(SI!E4,2)</f>
        <v>1</v>
      </c>
      <c r="G175" s="1" t="s">
        <v>1077</v>
      </c>
      <c r="H175" s="1" t="s">
        <v>42</v>
      </c>
    </row>
    <row r="176" spans="1:8" ht="16.5">
      <c r="A176" s="1" t="s">
        <v>6740</v>
      </c>
      <c r="B176" s="1" t="s">
        <v>6726</v>
      </c>
      <c r="C176" s="1" t="s">
        <v>121</v>
      </c>
      <c r="D176" s="1" t="s">
        <v>2841</v>
      </c>
      <c r="E176" s="12">
        <f>0.000000001*F176</f>
        <v>1.0000000000000001E-9</v>
      </c>
      <c r="F176" s="12">
        <f>SI!E3/POWER(SI!E4,2)</f>
        <v>1</v>
      </c>
      <c r="G176" s="1" t="s">
        <v>1077</v>
      </c>
      <c r="H176" s="1" t="s">
        <v>42</v>
      </c>
    </row>
    <row r="177" spans="1:8" ht="16.5">
      <c r="A177" s="1" t="s">
        <v>6741</v>
      </c>
      <c r="B177" s="1" t="s">
        <v>6727</v>
      </c>
      <c r="C177" s="1" t="s">
        <v>121</v>
      </c>
      <c r="D177" s="1" t="s">
        <v>2841</v>
      </c>
      <c r="E177" s="12">
        <f>0.000001*F177</f>
        <v>9.9999999999999995E-7</v>
      </c>
      <c r="F177" s="12">
        <f>SI!E3/POWER(SI!E4,2)</f>
        <v>1</v>
      </c>
      <c r="G177" s="1" t="s">
        <v>1077</v>
      </c>
      <c r="H177" s="1" t="s">
        <v>42</v>
      </c>
    </row>
    <row r="178" spans="1:8" ht="16.5">
      <c r="A178" s="1" t="s">
        <v>6742</v>
      </c>
      <c r="B178" s="1" t="s">
        <v>6728</v>
      </c>
      <c r="C178" s="1" t="s">
        <v>121</v>
      </c>
      <c r="D178" s="1" t="s">
        <v>2841</v>
      </c>
      <c r="E178" s="12">
        <f>0.001*F178</f>
        <v>1E-3</v>
      </c>
      <c r="F178" s="12">
        <f>SI!E3/POWER(SI!E4,2)</f>
        <v>1</v>
      </c>
      <c r="G178" s="1" t="s">
        <v>1077</v>
      </c>
      <c r="H178" s="1" t="s">
        <v>42</v>
      </c>
    </row>
    <row r="179" spans="1:8" ht="16.5">
      <c r="A179" s="1" t="s">
        <v>6743</v>
      </c>
      <c r="B179" s="1" t="s">
        <v>6729</v>
      </c>
      <c r="C179" s="1" t="s">
        <v>121</v>
      </c>
      <c r="D179" s="1" t="s">
        <v>2841</v>
      </c>
      <c r="E179" s="12">
        <f>0.01*F179</f>
        <v>0.01</v>
      </c>
      <c r="F179" s="12">
        <f>SI!E3/POWER(SI!E4,2)</f>
        <v>1</v>
      </c>
      <c r="G179" s="1" t="s">
        <v>1077</v>
      </c>
      <c r="H179" s="1" t="s">
        <v>42</v>
      </c>
    </row>
    <row r="180" spans="1:8" ht="16.5">
      <c r="A180" s="1" t="s">
        <v>6744</v>
      </c>
      <c r="B180" s="1" t="s">
        <v>6730</v>
      </c>
      <c r="C180" s="1" t="s">
        <v>121</v>
      </c>
      <c r="D180" s="1" t="s">
        <v>2841</v>
      </c>
      <c r="E180" s="12">
        <f>0.1*F180</f>
        <v>0.1</v>
      </c>
      <c r="F180" s="12">
        <f>SI!E3/POWER(SI!E4,2)</f>
        <v>1</v>
      </c>
      <c r="G180" s="1" t="s">
        <v>1077</v>
      </c>
      <c r="H180" s="1" t="s">
        <v>42</v>
      </c>
    </row>
    <row r="181" spans="1:8" ht="16.5">
      <c r="A181" s="1" t="s">
        <v>6745</v>
      </c>
      <c r="B181" s="1" t="s">
        <v>6731</v>
      </c>
      <c r="C181" s="1" t="s">
        <v>121</v>
      </c>
      <c r="D181" s="1" t="s">
        <v>2841</v>
      </c>
      <c r="E181" s="12">
        <f>F181</f>
        <v>1</v>
      </c>
      <c r="F181" s="12">
        <f>SI!E3/POWER(SI!E4,2)</f>
        <v>1</v>
      </c>
      <c r="G181" s="1" t="s">
        <v>1077</v>
      </c>
      <c r="H181" s="1" t="s">
        <v>42</v>
      </c>
    </row>
    <row r="182" spans="1:8" ht="16.5">
      <c r="A182" s="1" t="s">
        <v>6746</v>
      </c>
      <c r="B182" s="1" t="s">
        <v>6732</v>
      </c>
      <c r="C182" s="1" t="s">
        <v>121</v>
      </c>
      <c r="D182" s="1" t="s">
        <v>2841</v>
      </c>
      <c r="E182" s="12">
        <f>10*F182</f>
        <v>10</v>
      </c>
      <c r="F182" s="12">
        <f>SI!E3/POWER(SI!E4,2)</f>
        <v>1</v>
      </c>
      <c r="G182" s="1" t="s">
        <v>1077</v>
      </c>
      <c r="H182" s="1" t="s">
        <v>42</v>
      </c>
    </row>
    <row r="183" spans="1:8" ht="16.5">
      <c r="A183" s="1" t="s">
        <v>6747</v>
      </c>
      <c r="B183" s="1" t="s">
        <v>6733</v>
      </c>
      <c r="C183" s="1" t="s">
        <v>121</v>
      </c>
      <c r="D183" s="1" t="s">
        <v>2841</v>
      </c>
      <c r="E183" s="12">
        <f>100*F183</f>
        <v>100</v>
      </c>
      <c r="F183" s="12">
        <f>SI!E3/POWER(SI!E4,2)</f>
        <v>1</v>
      </c>
      <c r="G183" s="1" t="s">
        <v>1077</v>
      </c>
      <c r="H183" s="1" t="s">
        <v>42</v>
      </c>
    </row>
    <row r="184" spans="1:8" ht="16.5">
      <c r="A184" s="1" t="s">
        <v>6748</v>
      </c>
      <c r="B184" s="1" t="s">
        <v>6734</v>
      </c>
      <c r="C184" s="1" t="s">
        <v>121</v>
      </c>
      <c r="D184" s="1" t="s">
        <v>2841</v>
      </c>
      <c r="E184" s="12">
        <f>1000*F184</f>
        <v>1000</v>
      </c>
      <c r="F184" s="12">
        <f>SI!E3/POWER(SI!E4,2)</f>
        <v>1</v>
      </c>
      <c r="G184" s="1" t="s">
        <v>1077</v>
      </c>
      <c r="H184" s="1" t="s">
        <v>42</v>
      </c>
    </row>
    <row r="185" spans="1:8" ht="16.8">
      <c r="A185" s="1" t="s">
        <v>6720</v>
      </c>
      <c r="B185" s="1" t="s">
        <v>310</v>
      </c>
      <c r="C185" s="1" t="s">
        <v>121</v>
      </c>
      <c r="D185" s="1" t="s">
        <v>2841</v>
      </c>
      <c r="E185" s="12">
        <f>F185</f>
        <v>9.8066499999999994</v>
      </c>
      <c r="F185" s="12">
        <f>'Physical Definitions'!E13*SI!E3/POWER(SI!E4,2)</f>
        <v>9.8066499999999994</v>
      </c>
      <c r="G185" s="1" t="s">
        <v>1077</v>
      </c>
      <c r="H185" s="1" t="s">
        <v>58</v>
      </c>
    </row>
    <row r="186" spans="1:8">
      <c r="A186" s="248"/>
      <c r="B186" s="248"/>
      <c r="C186" s="248"/>
      <c r="D186" s="248"/>
      <c r="E186" s="250"/>
      <c r="F186" s="250"/>
      <c r="G186" s="248"/>
      <c r="H186" s="248"/>
    </row>
    <row r="187" spans="1:8" ht="28.8">
      <c r="A187" s="1" t="s">
        <v>542</v>
      </c>
      <c r="B187" s="1" t="s">
        <v>15</v>
      </c>
      <c r="C187" s="1" t="s">
        <v>4224</v>
      </c>
      <c r="D187" s="1" t="s">
        <v>2889</v>
      </c>
      <c r="E187" s="12">
        <f>0.01*F187</f>
        <v>0.01</v>
      </c>
      <c r="F187" s="12">
        <f>SI!E3/POWER(SI!E4,3)</f>
        <v>1</v>
      </c>
      <c r="G187" s="1" t="s">
        <v>1134</v>
      </c>
      <c r="H187" s="1" t="s">
        <v>36</v>
      </c>
    </row>
    <row r="188" spans="1:8" ht="28.8">
      <c r="A188" s="1" t="s">
        <v>3011</v>
      </c>
      <c r="B188" s="1" t="s">
        <v>3012</v>
      </c>
      <c r="C188" s="1" t="s">
        <v>4224</v>
      </c>
      <c r="D188" s="1" t="s">
        <v>2889</v>
      </c>
      <c r="E188" s="12">
        <f>0.01*F188</f>
        <v>0.01</v>
      </c>
      <c r="F188" s="12">
        <f>SI!E3/POWER(SI!E4,3)</f>
        <v>1</v>
      </c>
      <c r="G188" s="1" t="s">
        <v>1134</v>
      </c>
      <c r="H188" s="1" t="s">
        <v>36</v>
      </c>
    </row>
    <row r="189" spans="1:8" ht="28.8">
      <c r="A189" s="1" t="s">
        <v>542</v>
      </c>
      <c r="B189" s="1" t="s">
        <v>15</v>
      </c>
      <c r="C189" s="1" t="s">
        <v>4224</v>
      </c>
      <c r="D189" s="1" t="s">
        <v>2889</v>
      </c>
      <c r="E189" s="12">
        <f>F189</f>
        <v>1</v>
      </c>
      <c r="F189" s="12">
        <f>SI!E3/POWER(SI!E4,3)</f>
        <v>1</v>
      </c>
      <c r="G189" s="1" t="s">
        <v>1134</v>
      </c>
      <c r="H189" s="1" t="s">
        <v>42</v>
      </c>
    </row>
    <row r="190" spans="1:8" ht="28.8">
      <c r="A190" s="1" t="s">
        <v>3011</v>
      </c>
      <c r="B190" s="1" t="s">
        <v>3012</v>
      </c>
      <c r="C190" s="1" t="s">
        <v>4224</v>
      </c>
      <c r="D190" s="1" t="s">
        <v>2889</v>
      </c>
      <c r="E190" s="12">
        <f>F190</f>
        <v>1</v>
      </c>
      <c r="F190" s="12">
        <f>SI!E3/POWER(SI!E4,3)</f>
        <v>1</v>
      </c>
      <c r="G190" s="1" t="s">
        <v>1134</v>
      </c>
      <c r="H190" s="1" t="s">
        <v>42</v>
      </c>
    </row>
    <row r="191" spans="1:8" ht="28.8">
      <c r="A191" s="1" t="s">
        <v>542</v>
      </c>
      <c r="B191" s="1" t="s">
        <v>15</v>
      </c>
      <c r="C191" s="1" t="s">
        <v>4224</v>
      </c>
      <c r="D191" s="1" t="s">
        <v>2889</v>
      </c>
      <c r="E191" s="12">
        <f>Systems!D6*F191</f>
        <v>0.30480000000000002</v>
      </c>
      <c r="F191" s="12">
        <f>SI!E3/POWER(SI!E4,3)</f>
        <v>1</v>
      </c>
      <c r="G191" s="1" t="s">
        <v>1134</v>
      </c>
      <c r="H191" s="1" t="s">
        <v>1148</v>
      </c>
    </row>
    <row r="192" spans="1:8" ht="28.8">
      <c r="A192" s="1" t="s">
        <v>3011</v>
      </c>
      <c r="B192" s="1" t="s">
        <v>3012</v>
      </c>
      <c r="C192" s="1" t="s">
        <v>4224</v>
      </c>
      <c r="D192" s="1" t="s">
        <v>2889</v>
      </c>
      <c r="E192" s="12">
        <f>Systems!D6*F192</f>
        <v>0.30480000000000002</v>
      </c>
      <c r="F192" s="12">
        <f>SI!E3/POWER(SI!E4,3)</f>
        <v>1</v>
      </c>
      <c r="G192" s="1" t="s">
        <v>1134</v>
      </c>
      <c r="H192" s="1" t="s">
        <v>1148</v>
      </c>
    </row>
    <row r="193" spans="1:8">
      <c r="A193" s="248"/>
      <c r="B193" s="248"/>
      <c r="C193" s="248"/>
      <c r="D193" s="248"/>
      <c r="E193" s="250"/>
      <c r="F193" s="250"/>
      <c r="G193" s="248"/>
      <c r="H193" s="248"/>
    </row>
  </sheetData>
  <sortState xmlns:xlrd2="http://schemas.microsoft.com/office/spreadsheetml/2017/richdata2" ref="A159:H185">
    <sortCondition ref="A159:A185"/>
  </sortState>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D7519-8E5E-462E-AA78-C74FD8A57218}">
  <sheetPr codeName="Sheet30"/>
  <dimension ref="A1:H56"/>
  <sheetViews>
    <sheetView workbookViewId="0">
      <selection activeCell="N12" sqref="N12"/>
    </sheetView>
  </sheetViews>
  <sheetFormatPr defaultRowHeight="14.4"/>
  <cols>
    <col min="1" max="1" width="38.62890625" customWidth="1"/>
    <col min="2" max="2" width="14.3671875" customWidth="1"/>
    <col min="3" max="3" width="19.5234375" customWidth="1"/>
    <col min="4" max="4" width="19.89453125" customWidth="1"/>
    <col min="5" max="5" width="23.20703125" customWidth="1"/>
    <col min="6" max="6" width="21.62890625" customWidth="1"/>
    <col min="7" max="7" width="15.05078125" customWidth="1"/>
  </cols>
  <sheetData>
    <row r="1" spans="1:8" ht="19.2" customHeight="1">
      <c r="A1" s="2" t="s">
        <v>11</v>
      </c>
      <c r="B1" s="2" t="s">
        <v>1</v>
      </c>
      <c r="C1" s="2" t="s">
        <v>2</v>
      </c>
      <c r="D1" s="2" t="s">
        <v>3</v>
      </c>
      <c r="E1" s="2" t="s">
        <v>4</v>
      </c>
      <c r="F1" s="128" t="s">
        <v>937</v>
      </c>
      <c r="G1" s="2" t="s">
        <v>0</v>
      </c>
      <c r="H1" s="2" t="s">
        <v>5</v>
      </c>
    </row>
    <row r="2" spans="1:8" ht="16.5">
      <c r="A2" s="1" t="s">
        <v>127</v>
      </c>
      <c r="B2" s="1" t="s">
        <v>129</v>
      </c>
      <c r="C2" s="1" t="s">
        <v>4222</v>
      </c>
      <c r="D2" s="1" t="s">
        <v>2888</v>
      </c>
      <c r="E2" s="12">
        <f>F2</f>
        <v>9.9999999999999995E-7</v>
      </c>
      <c r="F2" s="12">
        <f>POWER('Physical Definitions'!E21*SI!E3,2)/SI!E4</f>
        <v>9.9999999999999995E-7</v>
      </c>
      <c r="G2" s="1" t="s">
        <v>1117</v>
      </c>
      <c r="H2" s="1" t="s">
        <v>36</v>
      </c>
    </row>
    <row r="3" spans="1:8" ht="16.5">
      <c r="A3" s="1" t="s">
        <v>7470</v>
      </c>
      <c r="B3" s="1" t="s">
        <v>26</v>
      </c>
      <c r="C3" s="1" t="s">
        <v>4222</v>
      </c>
      <c r="D3" s="1" t="s">
        <v>2888</v>
      </c>
      <c r="E3" s="12">
        <f>0.0001*F3</f>
        <v>1E-8</v>
      </c>
      <c r="F3" s="12">
        <f>POWER('Physical Definitions'!E22,2)*POWER(SI!E3,2)/SI!E4</f>
        <v>1E-4</v>
      </c>
      <c r="G3" s="1" t="s">
        <v>1117</v>
      </c>
      <c r="H3" s="1" t="s">
        <v>36</v>
      </c>
    </row>
    <row r="4" spans="1:8" ht="16.5">
      <c r="A4" s="1" t="s">
        <v>3970</v>
      </c>
      <c r="B4" s="1" t="s">
        <v>3971</v>
      </c>
      <c r="C4" s="1" t="s">
        <v>4222</v>
      </c>
      <c r="D4" s="1" t="s">
        <v>2888</v>
      </c>
      <c r="E4" s="12">
        <f>F4</f>
        <v>1.0000000000000001E-7</v>
      </c>
      <c r="F4" s="12">
        <f>0.001*POWER('Physical Definitions'!E22,2)*POWER(SI!E3,2)/SI!E4</f>
        <v>1.0000000000000001E-7</v>
      </c>
      <c r="G4" s="1" t="s">
        <v>1117</v>
      </c>
      <c r="H4" s="1" t="s">
        <v>36</v>
      </c>
    </row>
    <row r="5" spans="1:8" ht="16.5">
      <c r="A5" s="1" t="s">
        <v>2579</v>
      </c>
      <c r="B5" s="1" t="s">
        <v>3008</v>
      </c>
      <c r="C5" s="1" t="s">
        <v>4222</v>
      </c>
      <c r="D5" s="1" t="s">
        <v>2888</v>
      </c>
      <c r="E5" s="12">
        <f>0.0001*F5</f>
        <v>1E-8</v>
      </c>
      <c r="F5" s="12">
        <f>POWER('Physical Definitions'!E22,2)*POWER(SI!E3,2)/SI!E4</f>
        <v>1E-4</v>
      </c>
      <c r="G5" s="1" t="s">
        <v>1117</v>
      </c>
      <c r="H5" s="1" t="s">
        <v>36</v>
      </c>
    </row>
    <row r="6" spans="1:8" ht="16.5">
      <c r="A6" s="1" t="s">
        <v>6759</v>
      </c>
      <c r="B6" s="1" t="s">
        <v>6749</v>
      </c>
      <c r="C6" s="1" t="s">
        <v>4222</v>
      </c>
      <c r="D6" s="1" t="s">
        <v>2888</v>
      </c>
      <c r="E6" s="12">
        <f t="shared" ref="E6:E15" si="0">F6</f>
        <v>2.5806400000000001E-5</v>
      </c>
      <c r="F6" s="12">
        <f>POWER(Systems!D6,2)*POWER(SI!E3,2)/('Physical Definitions'!E5*SI!E4)</f>
        <v>2.5806400000000001E-5</v>
      </c>
      <c r="G6" s="1" t="s">
        <v>1117</v>
      </c>
      <c r="H6" s="1" t="s">
        <v>1148</v>
      </c>
    </row>
    <row r="7" spans="1:8" ht="16.5">
      <c r="A7" s="1" t="s">
        <v>6760</v>
      </c>
      <c r="B7" s="1" t="s">
        <v>6750</v>
      </c>
      <c r="C7" s="1" t="s">
        <v>4222</v>
      </c>
      <c r="D7" s="1" t="s">
        <v>2888</v>
      </c>
      <c r="E7" s="12">
        <f t="shared" si="0"/>
        <v>9.2903040000000006E-2</v>
      </c>
      <c r="F7" s="12">
        <f>POWER(Systems!D6,2)*POWER(SI!E3,2)/SI!E4</f>
        <v>9.2903040000000006E-2</v>
      </c>
      <c r="G7" s="1" t="s">
        <v>1117</v>
      </c>
      <c r="H7" s="1" t="s">
        <v>1148</v>
      </c>
    </row>
    <row r="8" spans="1:8" ht="16.5">
      <c r="A8" s="1" t="s">
        <v>6761</v>
      </c>
      <c r="B8" s="1" t="s">
        <v>6751</v>
      </c>
      <c r="C8" s="1" t="s">
        <v>4222</v>
      </c>
      <c r="D8" s="1" t="s">
        <v>2888</v>
      </c>
      <c r="E8" s="12">
        <f t="shared" si="0"/>
        <v>1.7921111111111114E-7</v>
      </c>
      <c r="F8" s="12">
        <f>POWER(Systems!D6*SI!E3/12,2)/('Physical Definitions'!E5*SI!E4)</f>
        <v>1.7921111111111114E-7</v>
      </c>
      <c r="G8" s="1" t="s">
        <v>1117</v>
      </c>
      <c r="H8" s="1" t="s">
        <v>1148</v>
      </c>
    </row>
    <row r="9" spans="1:8" ht="16.5">
      <c r="A9" s="1" t="s">
        <v>6762</v>
      </c>
      <c r="B9" s="1" t="s">
        <v>6752</v>
      </c>
      <c r="C9" s="1" t="s">
        <v>4222</v>
      </c>
      <c r="D9" s="1" t="s">
        <v>2888</v>
      </c>
      <c r="E9" s="12">
        <f t="shared" si="0"/>
        <v>6.4516000000000009E-4</v>
      </c>
      <c r="F9" s="12">
        <f>POWER(Systems!D6*SI!E3/12,2)/SI!E4</f>
        <v>6.4516000000000009E-4</v>
      </c>
      <c r="G9" s="1" t="s">
        <v>1117</v>
      </c>
      <c r="H9" s="1" t="s">
        <v>1148</v>
      </c>
    </row>
    <row r="10" spans="1:8" ht="16.5">
      <c r="A10" s="1" t="s">
        <v>6763</v>
      </c>
      <c r="B10" s="1" t="s">
        <v>6753</v>
      </c>
      <c r="C10" s="1" t="s">
        <v>4222</v>
      </c>
      <c r="D10" s="1" t="s">
        <v>2888</v>
      </c>
      <c r="E10" s="12">
        <f t="shared" si="0"/>
        <v>2.7777777777777778E-4</v>
      </c>
      <c r="F10" s="12">
        <f>POWER(SI!E3,2)/('Physical Definitions'!E5*SI!E4)</f>
        <v>2.7777777777777778E-4</v>
      </c>
      <c r="G10" s="1" t="s">
        <v>1117</v>
      </c>
      <c r="H10" s="1" t="s">
        <v>1148</v>
      </c>
    </row>
    <row r="11" spans="1:8" ht="16.5">
      <c r="A11" s="1" t="s">
        <v>6764</v>
      </c>
      <c r="B11" s="1" t="s">
        <v>6754</v>
      </c>
      <c r="C11" s="1" t="s">
        <v>4222</v>
      </c>
      <c r="D11" s="1" t="s">
        <v>2888</v>
      </c>
      <c r="E11" s="12">
        <f t="shared" si="0"/>
        <v>1</v>
      </c>
      <c r="F11" s="12">
        <f>POWER(SI!E3,2)/SI!E4</f>
        <v>1</v>
      </c>
      <c r="G11" s="1" t="s">
        <v>1117</v>
      </c>
      <c r="H11" s="1" t="s">
        <v>42</v>
      </c>
    </row>
    <row r="12" spans="1:8" ht="16.5">
      <c r="A12" s="1" t="s">
        <v>6765</v>
      </c>
      <c r="B12" s="1" t="s">
        <v>6755</v>
      </c>
      <c r="C12" s="1" t="s">
        <v>4222</v>
      </c>
      <c r="D12" s="1" t="s">
        <v>2888</v>
      </c>
      <c r="E12" s="12">
        <f t="shared" si="0"/>
        <v>2.7777777777777781E-8</v>
      </c>
      <c r="F12" s="12">
        <f>POWER(0.01*SI!E3,2)/('Physical Definitions'!E5*SI!E4)</f>
        <v>2.7777777777777781E-8</v>
      </c>
      <c r="G12" s="1" t="s">
        <v>1117</v>
      </c>
      <c r="H12" s="1" t="s">
        <v>1148</v>
      </c>
    </row>
    <row r="13" spans="1:8" ht="16.5">
      <c r="A13" s="1" t="s">
        <v>7083</v>
      </c>
      <c r="B13" s="1" t="s">
        <v>6756</v>
      </c>
      <c r="C13" s="1" t="s">
        <v>4222</v>
      </c>
      <c r="D13" s="1" t="s">
        <v>2888</v>
      </c>
      <c r="E13" s="12">
        <f t="shared" si="0"/>
        <v>1E-4</v>
      </c>
      <c r="F13" s="12">
        <f>POWER(0.01*SI!E3,2)/SI!E4</f>
        <v>1E-4</v>
      </c>
      <c r="G13" s="1" t="s">
        <v>1117</v>
      </c>
      <c r="H13" s="1" t="s">
        <v>42</v>
      </c>
    </row>
    <row r="14" spans="1:8" ht="16.5">
      <c r="A14" s="1" t="s">
        <v>6766</v>
      </c>
      <c r="B14" s="1" t="s">
        <v>6757</v>
      </c>
      <c r="C14" s="1" t="s">
        <v>4222</v>
      </c>
      <c r="D14" s="1" t="s">
        <v>2888</v>
      </c>
      <c r="E14" s="12">
        <f t="shared" si="0"/>
        <v>2.7777777777777777E-10</v>
      </c>
      <c r="F14" s="12">
        <f>POWER(0.001*SI!E3,2)/('Physical Definitions'!E5*SI!E4)</f>
        <v>2.7777777777777777E-10</v>
      </c>
      <c r="G14" s="1" t="s">
        <v>1117</v>
      </c>
      <c r="H14" s="1" t="s">
        <v>1148</v>
      </c>
    </row>
    <row r="15" spans="1:8" ht="16.5">
      <c r="A15" s="1" t="s">
        <v>6767</v>
      </c>
      <c r="B15" s="1" t="s">
        <v>6758</v>
      </c>
      <c r="C15" s="1" t="s">
        <v>4222</v>
      </c>
      <c r="D15" s="1" t="s">
        <v>2888</v>
      </c>
      <c r="E15" s="12">
        <f t="shared" si="0"/>
        <v>9.9999999999999995E-7</v>
      </c>
      <c r="F15" s="12">
        <f>POWER(0.001*SI!E3,2)/SI!E4</f>
        <v>9.9999999999999995E-7</v>
      </c>
      <c r="G15" s="1" t="s">
        <v>1117</v>
      </c>
      <c r="H15" s="1" t="s">
        <v>1148</v>
      </c>
    </row>
    <row r="16" spans="1:8">
      <c r="A16" s="48"/>
      <c r="B16" s="48"/>
      <c r="C16" s="48"/>
      <c r="D16" s="48"/>
      <c r="E16" s="48"/>
      <c r="F16" s="48"/>
      <c r="G16" s="48"/>
      <c r="H16" s="48"/>
    </row>
    <row r="17" spans="1:8" ht="28.8">
      <c r="A17" s="1" t="s">
        <v>6768</v>
      </c>
      <c r="B17" s="1" t="s">
        <v>6769</v>
      </c>
      <c r="C17" s="1" t="s">
        <v>4223</v>
      </c>
      <c r="D17" s="1" t="s">
        <v>2846</v>
      </c>
      <c r="E17" s="12">
        <f>F17</f>
        <v>0.1</v>
      </c>
      <c r="F17" s="12">
        <f>('Physical Definitions'!E24/POWER('Physical Definitions'!E22,2))*SI!E2/(SI!E3*SI!E4)</f>
        <v>0.1</v>
      </c>
      <c r="G17" s="1" t="s">
        <v>1116</v>
      </c>
      <c r="H17" s="1" t="s">
        <v>36</v>
      </c>
    </row>
    <row r="18" spans="1:8" ht="28.8">
      <c r="A18" s="1" t="s">
        <v>126</v>
      </c>
      <c r="B18" s="1" t="s">
        <v>128</v>
      </c>
      <c r="C18" s="1" t="s">
        <v>4223</v>
      </c>
      <c r="D18" s="1" t="s">
        <v>2846</v>
      </c>
      <c r="E18" s="12">
        <f>F18/1000</f>
        <v>1E-3</v>
      </c>
      <c r="F18" s="12">
        <f>SI!E2/(SI!E3*SI!E4)</f>
        <v>1</v>
      </c>
      <c r="G18" s="1" t="s">
        <v>1116</v>
      </c>
      <c r="H18" s="1" t="s">
        <v>36</v>
      </c>
    </row>
    <row r="19" spans="1:8" ht="28.8">
      <c r="A19" s="1" t="s">
        <v>6771</v>
      </c>
      <c r="B19" s="8" t="s">
        <v>6770</v>
      </c>
      <c r="C19" s="1" t="s">
        <v>4223</v>
      </c>
      <c r="D19" s="1" t="s">
        <v>2846</v>
      </c>
      <c r="E19" s="12">
        <f>F19</f>
        <v>0.1</v>
      </c>
      <c r="F19" s="12">
        <f>('Physical Definitions'!E24*SI!E4/POWER('Physical Definitions'!E22,2))*SI!E2/(SI!E3*POWER(SI!E4,2))</f>
        <v>0.1</v>
      </c>
      <c r="G19" s="1" t="s">
        <v>1116</v>
      </c>
      <c r="H19" s="1" t="s">
        <v>36</v>
      </c>
    </row>
    <row r="20" spans="1:8" ht="28.8">
      <c r="A20" s="1" t="s">
        <v>6772</v>
      </c>
      <c r="B20" s="1" t="s">
        <v>6773</v>
      </c>
      <c r="C20" s="1" t="s">
        <v>4223</v>
      </c>
      <c r="D20" s="1" t="s">
        <v>2846</v>
      </c>
      <c r="E20" s="12">
        <f>F20</f>
        <v>35303.939999999995</v>
      </c>
      <c r="F20" s="12">
        <f>('Physical Definitions'!E13*'Physical Definitions'!E5/POWER(SI!E3,2))*SI!E2/(SI!E3*POWER(SI!E4,2))</f>
        <v>35303.939999999995</v>
      </c>
      <c r="G20" s="1" t="s">
        <v>1116</v>
      </c>
      <c r="H20" s="1" t="s">
        <v>1148</v>
      </c>
    </row>
    <row r="21" spans="1:8" ht="28.8">
      <c r="A21" s="1" t="s">
        <v>6775</v>
      </c>
      <c r="B21" s="1" t="s">
        <v>6774</v>
      </c>
      <c r="C21" s="1" t="s">
        <v>4223</v>
      </c>
      <c r="D21" s="1" t="s">
        <v>2846</v>
      </c>
      <c r="E21" s="12">
        <f>F21</f>
        <v>9.8066499999999994</v>
      </c>
      <c r="F21" s="12">
        <f>('Physical Definitions'!E13*SI!E4/POWER(SI!E3,2))*SI!E2/(SI!E3*POWER(SI!E4,2))</f>
        <v>9.8066499999999994</v>
      </c>
      <c r="G21" s="1" t="s">
        <v>1116</v>
      </c>
      <c r="H21" s="1" t="s">
        <v>1148</v>
      </c>
    </row>
    <row r="22" spans="1:8" ht="28.8">
      <c r="A22" s="1" t="s">
        <v>3972</v>
      </c>
      <c r="B22" s="1" t="s">
        <v>3973</v>
      </c>
      <c r="C22" s="1" t="s">
        <v>4223</v>
      </c>
      <c r="D22" s="1" t="s">
        <v>2846</v>
      </c>
      <c r="E22" s="12">
        <f>F22/10000</f>
        <v>1E-4</v>
      </c>
      <c r="F22" s="12">
        <f>SI!E2/(SI!E3*SI!E4)</f>
        <v>1</v>
      </c>
      <c r="G22" s="1" t="s">
        <v>1116</v>
      </c>
      <c r="H22" s="1" t="s">
        <v>36</v>
      </c>
    </row>
    <row r="23" spans="1:8" ht="28.8">
      <c r="A23" s="1" t="s">
        <v>6776</v>
      </c>
      <c r="B23" s="1" t="s">
        <v>6777</v>
      </c>
      <c r="C23" s="1" t="s">
        <v>4223</v>
      </c>
      <c r="D23" s="1" t="s">
        <v>2846</v>
      </c>
      <c r="E23" s="12">
        <f>F23/1000</f>
        <v>1E-3</v>
      </c>
      <c r="F23" s="12">
        <f>SI!E2/(SI!E3*SI!E4)</f>
        <v>1</v>
      </c>
      <c r="G23" s="1" t="s">
        <v>1116</v>
      </c>
      <c r="H23" s="1" t="s">
        <v>42</v>
      </c>
    </row>
    <row r="24" spans="1:8" ht="28.8">
      <c r="A24" s="1" t="s">
        <v>6779</v>
      </c>
      <c r="B24" s="1" t="s">
        <v>6778</v>
      </c>
      <c r="C24" s="1" t="s">
        <v>4223</v>
      </c>
      <c r="D24" s="1" t="s">
        <v>2846</v>
      </c>
      <c r="E24" s="12">
        <f>1000*F24</f>
        <v>1000</v>
      </c>
      <c r="F24" s="12">
        <f>SI!E2/(SI!E3*POWER(SI!E4,3))</f>
        <v>1</v>
      </c>
      <c r="G24" s="1" t="s">
        <v>1116</v>
      </c>
      <c r="H24" s="1" t="s">
        <v>168</v>
      </c>
    </row>
    <row r="25" spans="1:8" ht="28.8">
      <c r="A25" s="1" t="s">
        <v>335</v>
      </c>
      <c r="B25" s="1" t="s">
        <v>336</v>
      </c>
      <c r="C25" s="1" t="s">
        <v>4223</v>
      </c>
      <c r="D25" s="1" t="s">
        <v>2846</v>
      </c>
      <c r="E25" s="12">
        <f>0.1*F25</f>
        <v>0.1</v>
      </c>
      <c r="F25" s="12">
        <f>SI!E2/(SI!E3*SI!E4)</f>
        <v>1</v>
      </c>
      <c r="G25" s="1" t="s">
        <v>1116</v>
      </c>
      <c r="H25" s="1" t="s">
        <v>36</v>
      </c>
    </row>
    <row r="26" spans="1:8" ht="28.8">
      <c r="A26" s="1" t="s">
        <v>6780</v>
      </c>
      <c r="B26" s="1" t="s">
        <v>6781</v>
      </c>
      <c r="C26" s="1" t="s">
        <v>4223</v>
      </c>
      <c r="D26" s="1" t="s">
        <v>2846</v>
      </c>
      <c r="E26" s="12">
        <f>F26</f>
        <v>172368.932329209</v>
      </c>
      <c r="F26" s="12">
        <f>(Systems!L6*'Physical Definitions'!E13*'Physical Definitions'!E5/POWER(Systems!D6,2))*SI!E2/(SI!E3*POWER(SI!E4,2))</f>
        <v>172368.932329209</v>
      </c>
      <c r="G26" s="1" t="s">
        <v>1116</v>
      </c>
      <c r="H26" s="1" t="s">
        <v>1148</v>
      </c>
    </row>
    <row r="27" spans="1:8" ht="28.8">
      <c r="A27" s="1" t="s">
        <v>6783</v>
      </c>
      <c r="B27" s="1" t="s">
        <v>6782</v>
      </c>
      <c r="C27" s="1" t="s">
        <v>4223</v>
      </c>
      <c r="D27" s="1" t="s">
        <v>2846</v>
      </c>
      <c r="E27" s="12">
        <f>F27</f>
        <v>47.880258980335839</v>
      </c>
      <c r="F27" s="12">
        <f>(Systems!L6*'Physical Definitions'!E13*SI!E4/POWER(Systems!D6,2))*SI!E2/(SI!E3*POWER(SI!E4,2))</f>
        <v>47.880258980335839</v>
      </c>
      <c r="G27" s="1" t="s">
        <v>1116</v>
      </c>
      <c r="H27" s="1" t="s">
        <v>1148</v>
      </c>
    </row>
    <row r="28" spans="1:8" ht="28.8">
      <c r="A28" s="1" t="s">
        <v>2379</v>
      </c>
      <c r="B28" s="1" t="s">
        <v>26</v>
      </c>
      <c r="C28" s="1" t="s">
        <v>4223</v>
      </c>
      <c r="D28" s="1" t="s">
        <v>2846</v>
      </c>
      <c r="E28" s="12">
        <f>F28</f>
        <v>1.4881639435695537</v>
      </c>
      <c r="F28" s="12">
        <f>Systems!L15*SI!E2/(Systems!D15*SI!E4*SI!E3)</f>
        <v>1.4881639435695537</v>
      </c>
      <c r="G28" s="1" t="s">
        <v>1116</v>
      </c>
      <c r="H28" s="1" t="s">
        <v>117</v>
      </c>
    </row>
    <row r="29" spans="1:8" ht="28.8">
      <c r="A29" s="1" t="s">
        <v>6917</v>
      </c>
      <c r="B29" s="1" t="s">
        <v>26</v>
      </c>
      <c r="C29" s="1" t="s">
        <v>4223</v>
      </c>
      <c r="D29" s="1" t="s">
        <v>2846</v>
      </c>
      <c r="E29" s="12">
        <f>F29</f>
        <v>1.4881639435695537</v>
      </c>
      <c r="F29" s="12">
        <f>Systems!L15*SI!E2/(Systems!D15*SI!E4*SI!E3)</f>
        <v>1.4881639435695537</v>
      </c>
      <c r="G29" s="1" t="s">
        <v>1116</v>
      </c>
      <c r="H29" s="1" t="s">
        <v>117</v>
      </c>
    </row>
    <row r="30" spans="1:8" ht="33">
      <c r="A30" s="1" t="s">
        <v>6784</v>
      </c>
      <c r="B30" s="1" t="s">
        <v>6785</v>
      </c>
      <c r="C30" s="1" t="s">
        <v>4223</v>
      </c>
      <c r="D30" s="1" t="s">
        <v>2846</v>
      </c>
      <c r="E30" s="12">
        <f>1000*F30</f>
        <v>1000</v>
      </c>
      <c r="F30" s="12">
        <f>SI!E2*SI!E4/(SI!E3*POWER(SI!E4,2))</f>
        <v>1</v>
      </c>
      <c r="G30" s="1" t="s">
        <v>1116</v>
      </c>
      <c r="H30" s="1" t="s">
        <v>168</v>
      </c>
    </row>
    <row r="31" spans="1:8" ht="28.8">
      <c r="A31" s="1" t="s">
        <v>6788</v>
      </c>
      <c r="B31" s="1" t="s">
        <v>6786</v>
      </c>
      <c r="C31" s="1" t="s">
        <v>4223</v>
      </c>
      <c r="D31" s="1" t="s">
        <v>2846</v>
      </c>
      <c r="E31" s="12">
        <f>F31</f>
        <v>9.8066499999999994</v>
      </c>
      <c r="F31" s="12">
        <f>'Physical Definitions'!E13*SI!E2/(SI!E3*SI!E4)</f>
        <v>9.8066499999999994</v>
      </c>
      <c r="G31" s="1" t="s">
        <v>1116</v>
      </c>
      <c r="H31" s="1" t="s">
        <v>66</v>
      </c>
    </row>
    <row r="32" spans="1:8" ht="28.8">
      <c r="A32" s="1" t="s">
        <v>6789</v>
      </c>
      <c r="B32" s="1" t="s">
        <v>6787</v>
      </c>
      <c r="C32" s="1" t="s">
        <v>4223</v>
      </c>
      <c r="D32" s="1" t="s">
        <v>2846</v>
      </c>
      <c r="E32" s="12">
        <f>F32</f>
        <v>1</v>
      </c>
      <c r="F32" s="12">
        <f>SI!E2/(SI!E4*SI!E3)</f>
        <v>1</v>
      </c>
      <c r="G32" s="1" t="s">
        <v>1116</v>
      </c>
      <c r="H32" s="1" t="s">
        <v>42</v>
      </c>
    </row>
    <row r="33" spans="1:8" ht="28.8">
      <c r="A33" s="1" t="s">
        <v>6790</v>
      </c>
      <c r="B33" s="1" t="s">
        <v>6791</v>
      </c>
      <c r="C33" s="1" t="s">
        <v>4223</v>
      </c>
      <c r="D33" s="1" t="s">
        <v>2846</v>
      </c>
      <c r="E33" s="12">
        <f>F33</f>
        <v>1</v>
      </c>
      <c r="F33" s="12">
        <f>SI!E2/(SI!E3*SI!E4)</f>
        <v>1</v>
      </c>
      <c r="G33" s="1" t="s">
        <v>1116</v>
      </c>
      <c r="H33" s="1" t="s">
        <v>42</v>
      </c>
    </row>
    <row r="34" spans="1:8" ht="28.8">
      <c r="A34" s="1" t="s">
        <v>337</v>
      </c>
      <c r="B34" s="1" t="s">
        <v>26</v>
      </c>
      <c r="C34" s="1" t="s">
        <v>4223</v>
      </c>
      <c r="D34" s="1" t="s">
        <v>2846</v>
      </c>
      <c r="E34" s="12">
        <f>F34</f>
        <v>1</v>
      </c>
      <c r="F34" s="12">
        <f>SI!E2/(SI!E3*SI!E4)</f>
        <v>1</v>
      </c>
      <c r="G34" s="1" t="s">
        <v>1116</v>
      </c>
      <c r="H34" s="1" t="s">
        <v>42</v>
      </c>
    </row>
    <row r="35" spans="1:8" ht="28.8">
      <c r="A35" s="1" t="s">
        <v>6793</v>
      </c>
      <c r="B35" s="1" t="s">
        <v>6792</v>
      </c>
      <c r="C35" s="1" t="s">
        <v>4223</v>
      </c>
      <c r="D35" s="1" t="s">
        <v>2846</v>
      </c>
      <c r="E35" s="12">
        <f>F35</f>
        <v>1.4881639435695537</v>
      </c>
      <c r="F35" s="12">
        <f>(Systems!L6/Systems!D6)*SI!E2*SI!E4/(SI!E3*POWER(SI!E4,2))</f>
        <v>1.4881639435695537</v>
      </c>
      <c r="G35" s="1" t="s">
        <v>1116</v>
      </c>
      <c r="H35" s="1" t="s">
        <v>1148</v>
      </c>
    </row>
    <row r="36" spans="1:8" ht="28.8">
      <c r="A36" t="s">
        <v>3840</v>
      </c>
      <c r="B36" t="s">
        <v>3865</v>
      </c>
      <c r="C36" s="1" t="s">
        <v>4223</v>
      </c>
      <c r="D36" s="1" t="s">
        <v>2846</v>
      </c>
      <c r="E36" s="26">
        <f>1E+24*F36</f>
        <v>9.9999999999999998E+23</v>
      </c>
      <c r="F36" s="12">
        <f>SI!E2/(SI!E3*SI!E4)</f>
        <v>1</v>
      </c>
      <c r="G36" s="1" t="s">
        <v>1116</v>
      </c>
      <c r="H36" s="1" t="s">
        <v>42</v>
      </c>
    </row>
    <row r="37" spans="1:8" ht="28.8">
      <c r="A37" t="s">
        <v>3841</v>
      </c>
      <c r="B37" t="s">
        <v>3866</v>
      </c>
      <c r="C37" s="1" t="s">
        <v>4223</v>
      </c>
      <c r="D37" s="1" t="s">
        <v>2846</v>
      </c>
      <c r="E37" s="26">
        <f>1E+21*F37</f>
        <v>1E+21</v>
      </c>
      <c r="F37" s="12">
        <f>SI!E2/(SI!E3*SI!E4)</f>
        <v>1</v>
      </c>
      <c r="G37" s="1" t="s">
        <v>1116</v>
      </c>
      <c r="H37" s="1" t="s">
        <v>42</v>
      </c>
    </row>
    <row r="38" spans="1:8" ht="28.8">
      <c r="A38" t="s">
        <v>3842</v>
      </c>
      <c r="B38" t="s">
        <v>3867</v>
      </c>
      <c r="C38" s="1" t="s">
        <v>4223</v>
      </c>
      <c r="D38" s="1" t="s">
        <v>2846</v>
      </c>
      <c r="E38" s="26">
        <f>1000000000000000000*F38</f>
        <v>1E+18</v>
      </c>
      <c r="F38" s="12">
        <f>SI!E2/(SI!E3*SI!E4)</f>
        <v>1</v>
      </c>
      <c r="G38" s="1" t="s">
        <v>1116</v>
      </c>
      <c r="H38" s="1" t="s">
        <v>42</v>
      </c>
    </row>
    <row r="39" spans="1:8" ht="28.8">
      <c r="A39" t="s">
        <v>3843</v>
      </c>
      <c r="B39" t="s">
        <v>3868</v>
      </c>
      <c r="C39" s="1" t="s">
        <v>4223</v>
      </c>
      <c r="D39" s="1" t="s">
        <v>2846</v>
      </c>
      <c r="E39" s="26">
        <f>1000000000000000*F39</f>
        <v>1000000000000000</v>
      </c>
      <c r="F39" s="12">
        <f>SI!E2/(SI!E3*SI!E4)</f>
        <v>1</v>
      </c>
      <c r="G39" s="1" t="s">
        <v>1116</v>
      </c>
      <c r="H39" s="1" t="s">
        <v>42</v>
      </c>
    </row>
    <row r="40" spans="1:8" ht="28.8">
      <c r="A40" t="s">
        <v>3844</v>
      </c>
      <c r="B40" t="s">
        <v>3869</v>
      </c>
      <c r="C40" s="1" t="s">
        <v>4223</v>
      </c>
      <c r="D40" s="1" t="s">
        <v>2846</v>
      </c>
      <c r="E40" s="26">
        <f>1000000000000*F40</f>
        <v>1000000000000</v>
      </c>
      <c r="F40" s="12">
        <f>SI!E2/(SI!E3*SI!E4)</f>
        <v>1</v>
      </c>
      <c r="G40" s="1" t="s">
        <v>1116</v>
      </c>
      <c r="H40" s="1" t="s">
        <v>42</v>
      </c>
    </row>
    <row r="41" spans="1:8" ht="28.8">
      <c r="A41" t="s">
        <v>3845</v>
      </c>
      <c r="B41" t="s">
        <v>3870</v>
      </c>
      <c r="C41" s="1" t="s">
        <v>4223</v>
      </c>
      <c r="D41" s="1" t="s">
        <v>2846</v>
      </c>
      <c r="E41" s="26">
        <f>1000000000*F41</f>
        <v>1000000000</v>
      </c>
      <c r="F41" s="12">
        <f>SI!E2/(SI!E3*SI!E4)</f>
        <v>1</v>
      </c>
      <c r="G41" s="1" t="s">
        <v>1116</v>
      </c>
      <c r="H41" s="1" t="s">
        <v>42</v>
      </c>
    </row>
    <row r="42" spans="1:8" ht="28.8">
      <c r="A42" t="s">
        <v>3846</v>
      </c>
      <c r="B42" t="s">
        <v>3871</v>
      </c>
      <c r="C42" s="1" t="s">
        <v>4223</v>
      </c>
      <c r="D42" s="1" t="s">
        <v>2846</v>
      </c>
      <c r="E42" s="26">
        <f>1000000*F42</f>
        <v>1000000</v>
      </c>
      <c r="F42" s="12">
        <f>SI!E2/(SI!E3*SI!E4)</f>
        <v>1</v>
      </c>
      <c r="G42" s="1" t="s">
        <v>1116</v>
      </c>
      <c r="H42" s="1" t="s">
        <v>42</v>
      </c>
    </row>
    <row r="43" spans="1:8" ht="28.8">
      <c r="A43" t="s">
        <v>3847</v>
      </c>
      <c r="B43" t="s">
        <v>3872</v>
      </c>
      <c r="C43" s="1" t="s">
        <v>4223</v>
      </c>
      <c r="D43" s="1" t="s">
        <v>2846</v>
      </c>
      <c r="E43" s="26">
        <f>1000*F43</f>
        <v>1000</v>
      </c>
      <c r="F43" s="12">
        <f>SI!E2/(SI!E3*SI!E4)</f>
        <v>1</v>
      </c>
      <c r="G43" s="1" t="s">
        <v>1116</v>
      </c>
      <c r="H43" s="1" t="s">
        <v>42</v>
      </c>
    </row>
    <row r="44" spans="1:8" ht="28.8">
      <c r="A44" t="s">
        <v>3848</v>
      </c>
      <c r="B44" t="s">
        <v>3873</v>
      </c>
      <c r="C44" s="1" t="s">
        <v>4223</v>
      </c>
      <c r="D44" s="1" t="s">
        <v>2846</v>
      </c>
      <c r="E44" s="26">
        <f>100*F44</f>
        <v>100</v>
      </c>
      <c r="F44" s="12">
        <f>SI!E2/(SI!E3*SI!E4)</f>
        <v>1</v>
      </c>
      <c r="G44" s="1" t="s">
        <v>1116</v>
      </c>
      <c r="H44" s="1" t="s">
        <v>42</v>
      </c>
    </row>
    <row r="45" spans="1:8" ht="28.8">
      <c r="A45" t="s">
        <v>3849</v>
      </c>
      <c r="B45" t="s">
        <v>3874</v>
      </c>
      <c r="C45" s="1" t="s">
        <v>4223</v>
      </c>
      <c r="D45" s="1" t="s">
        <v>2846</v>
      </c>
      <c r="E45" s="26">
        <f>10*F45</f>
        <v>10</v>
      </c>
      <c r="F45" s="12">
        <f>SI!E2/(SI!E3*SI!E4)</f>
        <v>1</v>
      </c>
      <c r="G45" s="1" t="s">
        <v>1116</v>
      </c>
      <c r="H45" s="1" t="s">
        <v>42</v>
      </c>
    </row>
    <row r="46" spans="1:8" ht="28.8">
      <c r="A46" t="s">
        <v>3850</v>
      </c>
      <c r="B46" t="s">
        <v>3875</v>
      </c>
      <c r="C46" s="1" t="s">
        <v>4223</v>
      </c>
      <c r="D46" s="1" t="s">
        <v>2846</v>
      </c>
      <c r="E46" s="26">
        <f>0.1*F46</f>
        <v>0.1</v>
      </c>
      <c r="F46" s="12">
        <f>SI!E2/(SI!E3*SI!E4)</f>
        <v>1</v>
      </c>
      <c r="G46" s="1" t="s">
        <v>1116</v>
      </c>
      <c r="H46" s="1" t="s">
        <v>42</v>
      </c>
    </row>
    <row r="47" spans="1:8" ht="28.8">
      <c r="A47" t="s">
        <v>3851</v>
      </c>
      <c r="B47" t="s">
        <v>3876</v>
      </c>
      <c r="C47" s="1" t="s">
        <v>4223</v>
      </c>
      <c r="D47" s="1" t="s">
        <v>2846</v>
      </c>
      <c r="E47" s="26">
        <f>0.01*F47</f>
        <v>0.01</v>
      </c>
      <c r="F47" s="12">
        <f>SI!E2/(SI!E3*SI!E4)</f>
        <v>1</v>
      </c>
      <c r="G47" s="1" t="s">
        <v>1116</v>
      </c>
      <c r="H47" s="1" t="s">
        <v>42</v>
      </c>
    </row>
    <row r="48" spans="1:8" ht="28.8">
      <c r="A48" t="s">
        <v>3852</v>
      </c>
      <c r="B48" t="s">
        <v>3877</v>
      </c>
      <c r="C48" s="1" t="s">
        <v>4223</v>
      </c>
      <c r="D48" s="1" t="s">
        <v>2846</v>
      </c>
      <c r="E48" s="26">
        <f>0.001*F48</f>
        <v>1E-3</v>
      </c>
      <c r="F48" s="12">
        <f>SI!E2/(SI!E3*SI!E4)</f>
        <v>1</v>
      </c>
      <c r="G48" s="1" t="s">
        <v>1116</v>
      </c>
      <c r="H48" s="1" t="s">
        <v>42</v>
      </c>
    </row>
    <row r="49" spans="1:8" ht="28.8">
      <c r="A49" t="s">
        <v>3853</v>
      </c>
      <c r="B49" t="s">
        <v>3878</v>
      </c>
      <c r="C49" s="1" t="s">
        <v>4223</v>
      </c>
      <c r="D49" s="1" t="s">
        <v>2846</v>
      </c>
      <c r="E49" s="26">
        <f>0.000001*F49</f>
        <v>9.9999999999999995E-7</v>
      </c>
      <c r="F49" s="12">
        <f>SI!E2/(SI!E3*SI!E4)</f>
        <v>1</v>
      </c>
      <c r="G49" s="1" t="s">
        <v>1116</v>
      </c>
      <c r="H49" s="1" t="s">
        <v>42</v>
      </c>
    </row>
    <row r="50" spans="1:8" ht="28.8">
      <c r="A50" t="s">
        <v>3854</v>
      </c>
      <c r="B50" t="s">
        <v>3879</v>
      </c>
      <c r="C50" s="1" t="s">
        <v>4223</v>
      </c>
      <c r="D50" s="1" t="s">
        <v>2846</v>
      </c>
      <c r="E50" s="26">
        <f>0.000000001*F50</f>
        <v>1.0000000000000001E-9</v>
      </c>
      <c r="F50" s="12">
        <f>SI!E2/(SI!E3*SI!E4)</f>
        <v>1</v>
      </c>
      <c r="G50" s="1" t="s">
        <v>1116</v>
      </c>
      <c r="H50" s="1" t="s">
        <v>42</v>
      </c>
    </row>
    <row r="51" spans="1:8" ht="28.8">
      <c r="A51" t="s">
        <v>3855</v>
      </c>
      <c r="B51" t="s">
        <v>3880</v>
      </c>
      <c r="C51" s="1" t="s">
        <v>4223</v>
      </c>
      <c r="D51" s="1" t="s">
        <v>2846</v>
      </c>
      <c r="E51" s="26">
        <f>0.000000000001*F51</f>
        <v>9.9999999999999998E-13</v>
      </c>
      <c r="F51" s="12">
        <f>SI!E2/(SI!E3*SI!E4)</f>
        <v>1</v>
      </c>
      <c r="G51" s="1" t="s">
        <v>1116</v>
      </c>
      <c r="H51" s="1" t="s">
        <v>42</v>
      </c>
    </row>
    <row r="52" spans="1:8" ht="28.8">
      <c r="A52" t="s">
        <v>3856</v>
      </c>
      <c r="B52" t="s">
        <v>3881</v>
      </c>
      <c r="C52" s="1" t="s">
        <v>4223</v>
      </c>
      <c r="D52" s="1" t="s">
        <v>2846</v>
      </c>
      <c r="E52" s="26">
        <f>0.000000000000001*F52</f>
        <v>1.0000000000000001E-15</v>
      </c>
      <c r="F52" s="12">
        <f>SI!E2/(SI!E3*SI!E4)</f>
        <v>1</v>
      </c>
      <c r="G52" s="1" t="s">
        <v>1116</v>
      </c>
      <c r="H52" s="1" t="s">
        <v>42</v>
      </c>
    </row>
    <row r="53" spans="1:8" ht="28.8">
      <c r="A53" t="s">
        <v>3857</v>
      </c>
      <c r="B53" t="s">
        <v>3882</v>
      </c>
      <c r="C53" s="1" t="s">
        <v>4223</v>
      </c>
      <c r="D53" s="1" t="s">
        <v>2846</v>
      </c>
      <c r="E53" s="26">
        <f>0.000000000000000001*F53</f>
        <v>1.0000000000000001E-18</v>
      </c>
      <c r="F53" s="12">
        <f>SI!E2/(SI!E3*SI!E4)</f>
        <v>1</v>
      </c>
      <c r="G53" s="1" t="s">
        <v>1116</v>
      </c>
      <c r="H53" s="1" t="s">
        <v>42</v>
      </c>
    </row>
    <row r="54" spans="1:8" ht="28.8">
      <c r="A54" t="s">
        <v>3858</v>
      </c>
      <c r="B54" t="s">
        <v>3883</v>
      </c>
      <c r="C54" s="1" t="s">
        <v>4223</v>
      </c>
      <c r="D54" s="1" t="s">
        <v>2846</v>
      </c>
      <c r="E54" s="26">
        <f>1E-21*F54</f>
        <v>9.9999999999999991E-22</v>
      </c>
      <c r="F54" s="12">
        <f>SI!E2/(SI!E3*SI!E4)</f>
        <v>1</v>
      </c>
      <c r="G54" s="1" t="s">
        <v>1116</v>
      </c>
      <c r="H54" s="1" t="s">
        <v>42</v>
      </c>
    </row>
    <row r="55" spans="1:8" ht="28.8">
      <c r="A55" t="s">
        <v>3859</v>
      </c>
      <c r="B55" t="s">
        <v>3884</v>
      </c>
      <c r="C55" s="1" t="s">
        <v>4223</v>
      </c>
      <c r="D55" s="1" t="s">
        <v>2846</v>
      </c>
      <c r="E55" s="26">
        <f>1E-24*F55</f>
        <v>9.9999999999999992E-25</v>
      </c>
      <c r="F55" s="12">
        <f>SI!E2/(SI!E3*SI!E4)</f>
        <v>1</v>
      </c>
      <c r="G55" s="1" t="s">
        <v>1116</v>
      </c>
      <c r="H55" s="1" t="s">
        <v>42</v>
      </c>
    </row>
    <row r="56" spans="1:8">
      <c r="A56" s="48"/>
      <c r="B56" s="48"/>
      <c r="C56" s="48"/>
      <c r="D56" s="48"/>
      <c r="E56" s="48"/>
      <c r="F56" s="48"/>
      <c r="G56" s="48"/>
      <c r="H56" s="4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FA0C-DA07-4227-AC63-5BDAA76EC805}">
  <sheetPr codeName="Sheet31"/>
  <dimension ref="A1:H15"/>
  <sheetViews>
    <sheetView workbookViewId="0">
      <selection activeCell="C3" sqref="C3"/>
    </sheetView>
  </sheetViews>
  <sheetFormatPr defaultRowHeight="14.4"/>
  <cols>
    <col min="1" max="1" width="15.41796875" customWidth="1"/>
    <col min="3" max="3" width="21.62890625" customWidth="1"/>
    <col min="4" max="4" width="20.15625" customWidth="1"/>
    <col min="5" max="5" width="21.47265625" customWidth="1"/>
    <col min="6" max="6" width="22.41796875" customWidth="1"/>
    <col min="7" max="7" width="19.26171875" customWidth="1"/>
    <col min="8" max="8" width="12.9453125" customWidth="1"/>
  </cols>
  <sheetData>
    <row r="1" spans="1:8">
      <c r="A1" s="2" t="s">
        <v>11</v>
      </c>
      <c r="B1" s="2" t="s">
        <v>1</v>
      </c>
      <c r="C1" s="2" t="s">
        <v>2</v>
      </c>
      <c r="D1" s="2" t="s">
        <v>3</v>
      </c>
      <c r="E1" s="2" t="s">
        <v>4</v>
      </c>
      <c r="F1" s="128" t="s">
        <v>937</v>
      </c>
      <c r="G1" s="2" t="s">
        <v>0</v>
      </c>
      <c r="H1" s="2" t="s">
        <v>5</v>
      </c>
    </row>
    <row r="2" spans="1:8" ht="28.8">
      <c r="A2" s="18" t="s">
        <v>73</v>
      </c>
      <c r="B2" s="1" t="s">
        <v>26</v>
      </c>
      <c r="C2" s="1" t="s">
        <v>4221</v>
      </c>
      <c r="D2" s="1" t="s">
        <v>2886</v>
      </c>
      <c r="E2" s="12">
        <f>F2</f>
        <v>100</v>
      </c>
      <c r="F2" s="12">
        <f>1/('Physical Definitions'!E22*SI!E3)</f>
        <v>100</v>
      </c>
      <c r="G2" s="1" t="s">
        <v>1099</v>
      </c>
      <c r="H2" s="1" t="s">
        <v>36</v>
      </c>
    </row>
    <row r="3" spans="1:8" ht="28.8">
      <c r="A3" s="1" t="s">
        <v>504</v>
      </c>
      <c r="B3" s="1" t="s">
        <v>115</v>
      </c>
      <c r="C3" s="1" t="s">
        <v>4221</v>
      </c>
      <c r="D3" s="1" t="s">
        <v>2886</v>
      </c>
      <c r="E3" s="12">
        <f>F3</f>
        <v>39.370078740157481</v>
      </c>
      <c r="F3" s="12">
        <f>12/(Systems!D6*SI!E3)</f>
        <v>39.370078740157481</v>
      </c>
      <c r="G3" s="1" t="s">
        <v>1099</v>
      </c>
      <c r="H3" s="1" t="s">
        <v>1148</v>
      </c>
    </row>
    <row r="4" spans="1:8" ht="28.8">
      <c r="A4" s="24" t="s">
        <v>1661</v>
      </c>
      <c r="B4" s="1" t="s">
        <v>532</v>
      </c>
      <c r="C4" s="1" t="s">
        <v>4221</v>
      </c>
      <c r="D4" s="1" t="s">
        <v>2886</v>
      </c>
      <c r="E4" s="12">
        <f>8*F4</f>
        <v>26.246719160104984</v>
      </c>
      <c r="F4" s="12">
        <f>1/(Systems!D6*SI!E3)</f>
        <v>3.280839895013123</v>
      </c>
      <c r="G4" s="1" t="s">
        <v>1099</v>
      </c>
      <c r="H4" s="1" t="s">
        <v>1148</v>
      </c>
    </row>
    <row r="5" spans="1:8" ht="28.8">
      <c r="A5" s="1" t="s">
        <v>284</v>
      </c>
      <c r="B5" s="1" t="s">
        <v>26</v>
      </c>
      <c r="C5" s="1" t="s">
        <v>4221</v>
      </c>
      <c r="D5" s="1" t="s">
        <v>2886</v>
      </c>
      <c r="E5" s="12">
        <f>F5</f>
        <v>39.370078740157481</v>
      </c>
      <c r="F5" s="12">
        <f>12/(Systems!D6*SI!E3)</f>
        <v>39.370078740157481</v>
      </c>
      <c r="G5" s="1" t="s">
        <v>1099</v>
      </c>
      <c r="H5" s="1" t="s">
        <v>1148</v>
      </c>
    </row>
    <row r="6" spans="1:8" ht="32.4" customHeight="1">
      <c r="A6" s="1" t="s">
        <v>6794</v>
      </c>
      <c r="B6" s="1" t="s">
        <v>3005</v>
      </c>
      <c r="C6" s="1" t="s">
        <v>4221</v>
      </c>
      <c r="D6" s="1" t="s">
        <v>2886</v>
      </c>
      <c r="E6" s="12">
        <f>F6</f>
        <v>39.370078740157474</v>
      </c>
      <c r="F6" s="12">
        <f>1/((Systems!D6/12)*SI!E3)</f>
        <v>39.370078740157474</v>
      </c>
      <c r="G6" s="1" t="s">
        <v>1099</v>
      </c>
      <c r="H6" s="1" t="s">
        <v>58</v>
      </c>
    </row>
    <row r="7" spans="1:8" ht="32.4" customHeight="1">
      <c r="A7" s="1" t="s">
        <v>6795</v>
      </c>
      <c r="B7" s="1" t="s">
        <v>3004</v>
      </c>
      <c r="C7" s="1" t="s">
        <v>4221</v>
      </c>
      <c r="D7" s="1" t="s">
        <v>2886</v>
      </c>
      <c r="E7" s="12">
        <f>F7</f>
        <v>39.370078740157474</v>
      </c>
      <c r="F7" s="12">
        <f>1/((Systems!D6/12)*SI!E3)</f>
        <v>39.370078740157474</v>
      </c>
      <c r="G7" s="1" t="s">
        <v>1099</v>
      </c>
      <c r="H7" s="1" t="s">
        <v>58</v>
      </c>
    </row>
    <row r="8" spans="1:8" ht="28.8">
      <c r="A8" s="1" t="s">
        <v>966</v>
      </c>
      <c r="B8" s="1" t="s">
        <v>95</v>
      </c>
      <c r="C8" s="1" t="s">
        <v>4221</v>
      </c>
      <c r="D8" s="1" t="s">
        <v>2886</v>
      </c>
      <c r="E8" s="12">
        <f>F8</f>
        <v>1.0000000000000002E-3</v>
      </c>
      <c r="F8" s="12">
        <f>POWER('Physical Definitions'!E25,3)/(POWER(SI!E3,2)*SI!E4*SI!E3)</f>
        <v>1.0000000000000002E-3</v>
      </c>
      <c r="G8" s="1" t="s">
        <v>1099</v>
      </c>
      <c r="H8" s="1" t="s">
        <v>58</v>
      </c>
    </row>
    <row r="9" spans="1:8" ht="28.8">
      <c r="A9" s="1" t="s">
        <v>6796</v>
      </c>
      <c r="B9" s="1" t="s">
        <v>410</v>
      </c>
      <c r="C9" s="1" t="s">
        <v>4221</v>
      </c>
      <c r="D9" s="1" t="s">
        <v>2886</v>
      </c>
      <c r="E9" s="12">
        <f>F9</f>
        <v>39.370078740157481</v>
      </c>
      <c r="F9" s="12">
        <f>12/(Systems!D6*SI!E3)</f>
        <v>39.370078740157481</v>
      </c>
      <c r="G9" s="1" t="s">
        <v>1099</v>
      </c>
      <c r="H9" s="1" t="s">
        <v>58</v>
      </c>
    </row>
    <row r="10" spans="1:8" ht="28.8">
      <c r="A10" s="1" t="s">
        <v>257</v>
      </c>
      <c r="B10" s="1" t="s">
        <v>259</v>
      </c>
      <c r="C10" s="1" t="s">
        <v>4221</v>
      </c>
      <c r="D10" s="1" t="s">
        <v>2886</v>
      </c>
      <c r="E10" s="12">
        <f>100*F10</f>
        <v>100</v>
      </c>
      <c r="F10" s="12">
        <f>1/SI!E3</f>
        <v>1</v>
      </c>
      <c r="G10" s="1" t="s">
        <v>1099</v>
      </c>
      <c r="H10" s="1" t="s">
        <v>982</v>
      </c>
    </row>
    <row r="11" spans="1:8" ht="28.8">
      <c r="A11" s="1" t="s">
        <v>326</v>
      </c>
      <c r="B11" s="1" t="s">
        <v>26</v>
      </c>
      <c r="C11" s="1" t="s">
        <v>4221</v>
      </c>
      <c r="D11" s="1" t="s">
        <v>2886</v>
      </c>
      <c r="E11" s="12">
        <f>1000000*F11</f>
        <v>1000000</v>
      </c>
      <c r="F11" s="12">
        <f>1/SI!E3</f>
        <v>1</v>
      </c>
      <c r="G11" s="1" t="s">
        <v>1099</v>
      </c>
      <c r="H11" s="1" t="s">
        <v>982</v>
      </c>
    </row>
    <row r="12" spans="1:8" ht="28.8">
      <c r="A12" s="1" t="s">
        <v>177</v>
      </c>
      <c r="B12" s="4" t="s">
        <v>160</v>
      </c>
      <c r="C12" s="1" t="s">
        <v>4221</v>
      </c>
      <c r="D12" s="1" t="s">
        <v>2886</v>
      </c>
      <c r="E12" s="12">
        <f>F12</f>
        <v>1</v>
      </c>
      <c r="F12" s="12">
        <f>1/SI!E3</f>
        <v>1</v>
      </c>
      <c r="G12" s="1" t="s">
        <v>1099</v>
      </c>
      <c r="H12" s="1" t="s">
        <v>42</v>
      </c>
    </row>
    <row r="13" spans="1:8" ht="28.8">
      <c r="A13" s="1" t="s">
        <v>6797</v>
      </c>
      <c r="B13" s="1" t="s">
        <v>1099</v>
      </c>
      <c r="C13" s="1" t="s">
        <v>4221</v>
      </c>
      <c r="D13" s="1" t="s">
        <v>2886</v>
      </c>
      <c r="E13" s="12">
        <f>F13</f>
        <v>1</v>
      </c>
      <c r="F13" s="12">
        <f>1/SI!E3</f>
        <v>1</v>
      </c>
      <c r="G13" s="1" t="s">
        <v>1099</v>
      </c>
      <c r="H13" s="1" t="s">
        <v>42</v>
      </c>
    </row>
    <row r="14" spans="1:8" ht="28.8">
      <c r="A14" s="1" t="s">
        <v>6798</v>
      </c>
      <c r="B14" s="1" t="s">
        <v>4220</v>
      </c>
      <c r="C14" s="1" t="s">
        <v>4221</v>
      </c>
      <c r="D14" s="1" t="s">
        <v>2886</v>
      </c>
      <c r="E14" s="12">
        <f>F14/Systems!D6</f>
        <v>3.280839895013123</v>
      </c>
      <c r="F14" s="12">
        <f>1/SI!E3</f>
        <v>1</v>
      </c>
      <c r="G14" s="1" t="s">
        <v>1099</v>
      </c>
      <c r="H14" s="1" t="s">
        <v>982</v>
      </c>
    </row>
    <row r="15" spans="1:8">
      <c r="A15" s="248"/>
      <c r="B15" s="248"/>
      <c r="C15" s="248"/>
      <c r="D15" s="248"/>
      <c r="E15" s="250"/>
      <c r="F15" s="250"/>
      <c r="G15" s="248"/>
      <c r="H15" s="248"/>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97A41-E684-4BCF-AC8C-4F9B7894AA9E}">
  <sheetPr codeName="Sheet6">
    <tabColor theme="9" tint="-0.249977111117893"/>
  </sheetPr>
  <dimension ref="A1:V208"/>
  <sheetViews>
    <sheetView topLeftCell="A187" workbookViewId="0">
      <selection activeCell="T9" sqref="T9"/>
    </sheetView>
  </sheetViews>
  <sheetFormatPr defaultRowHeight="14.4"/>
  <cols>
    <col min="1" max="1" width="36.7890625" customWidth="1"/>
    <col min="2" max="2" width="14.41796875" customWidth="1"/>
    <col min="3" max="3" width="24.62890625" customWidth="1"/>
    <col min="4" max="4" width="20.26171875" customWidth="1"/>
    <col min="5" max="5" width="18.26171875" customWidth="1"/>
    <col min="6" max="6" width="8.83984375" style="36"/>
    <col min="7" max="7" width="22.1015625" customWidth="1"/>
    <col min="8" max="9" width="20.47265625" customWidth="1"/>
    <col min="10" max="10" width="11.41796875" customWidth="1"/>
    <col min="11" max="11" width="18.7890625" customWidth="1"/>
    <col min="12" max="12" width="17.26171875" bestFit="1" customWidth="1"/>
    <col min="13" max="13" width="17.26171875" customWidth="1"/>
    <col min="14" max="14" width="8.83984375" style="36"/>
    <col min="15" max="15" width="22.15625" customWidth="1"/>
    <col min="16" max="17" width="20.68359375" customWidth="1"/>
    <col min="18" max="18" width="8.83984375" style="36"/>
    <col min="19" max="19" width="21.20703125" customWidth="1"/>
    <col min="20" max="21" width="20.734375" customWidth="1"/>
    <col min="22" max="22" width="8.83984375" style="36"/>
  </cols>
  <sheetData>
    <row r="1" spans="1:22">
      <c r="A1" s="326" t="s">
        <v>624</v>
      </c>
      <c r="B1" s="326" t="s">
        <v>784</v>
      </c>
      <c r="C1" s="323" t="s">
        <v>625</v>
      </c>
      <c r="D1" s="324"/>
      <c r="E1" s="324"/>
      <c r="F1" s="324"/>
      <c r="G1" s="323" t="s">
        <v>788</v>
      </c>
      <c r="H1" s="324"/>
      <c r="I1" s="324"/>
      <c r="J1" s="324"/>
      <c r="K1" s="323" t="s">
        <v>785</v>
      </c>
      <c r="L1" s="324"/>
      <c r="M1" s="324"/>
      <c r="N1" s="324"/>
      <c r="O1" s="323" t="s">
        <v>786</v>
      </c>
      <c r="P1" s="324"/>
      <c r="Q1" s="324"/>
      <c r="R1" s="324"/>
      <c r="S1" s="323" t="s">
        <v>787</v>
      </c>
      <c r="T1" s="324"/>
      <c r="U1" s="324"/>
      <c r="V1" s="325"/>
    </row>
    <row r="2" spans="1:22" ht="14.7" thickBot="1">
      <c r="A2" s="327"/>
      <c r="B2" s="327"/>
      <c r="C2" s="44" t="s">
        <v>624</v>
      </c>
      <c r="D2" s="45" t="s">
        <v>692</v>
      </c>
      <c r="E2" s="45" t="s">
        <v>937</v>
      </c>
      <c r="F2" s="47" t="s">
        <v>799</v>
      </c>
      <c r="G2" s="44" t="s">
        <v>624</v>
      </c>
      <c r="H2" s="45" t="s">
        <v>692</v>
      </c>
      <c r="I2" s="45" t="s">
        <v>937</v>
      </c>
      <c r="J2" s="45" t="s">
        <v>799</v>
      </c>
      <c r="K2" s="44" t="s">
        <v>624</v>
      </c>
      <c r="L2" s="45" t="s">
        <v>692</v>
      </c>
      <c r="M2" s="45" t="s">
        <v>937</v>
      </c>
      <c r="N2" s="52" t="s">
        <v>799</v>
      </c>
      <c r="O2" s="44" t="s">
        <v>624</v>
      </c>
      <c r="P2" s="45" t="s">
        <v>692</v>
      </c>
      <c r="Q2" s="45" t="s">
        <v>937</v>
      </c>
      <c r="R2" s="52" t="s">
        <v>799</v>
      </c>
      <c r="S2" s="44" t="s">
        <v>624</v>
      </c>
      <c r="T2" s="45" t="s">
        <v>692</v>
      </c>
      <c r="U2" s="45" t="s">
        <v>937</v>
      </c>
      <c r="V2" s="47" t="s">
        <v>799</v>
      </c>
    </row>
    <row r="3" spans="1:22" ht="16.5">
      <c r="A3" s="342" t="s">
        <v>702</v>
      </c>
      <c r="B3" s="342" t="s">
        <v>202</v>
      </c>
      <c r="C3" s="333" t="s">
        <v>2871</v>
      </c>
      <c r="D3" s="386">
        <f>149597870700*E3</f>
        <v>149597870700</v>
      </c>
      <c r="E3" s="342">
        <f>SI!E3</f>
        <v>1</v>
      </c>
      <c r="F3" s="350" t="s">
        <v>14</v>
      </c>
      <c r="G3" s="333" t="s">
        <v>4340</v>
      </c>
      <c r="H3" s="351">
        <f>POWER((648000/PI())*D3,2)*I3</f>
        <v>9.5214061369184131E+32</v>
      </c>
      <c r="I3" s="342">
        <f>POWER(SI!E3,2)</f>
        <v>1</v>
      </c>
      <c r="J3" s="350" t="s">
        <v>39</v>
      </c>
      <c r="K3" s="333" t="s">
        <v>4343</v>
      </c>
      <c r="L3" s="387">
        <f>1.98847E+30</f>
        <v>1.98847E+30</v>
      </c>
      <c r="M3" s="342">
        <f>SI!E2</f>
        <v>1</v>
      </c>
      <c r="N3" s="350" t="s">
        <v>23</v>
      </c>
      <c r="O3" s="333" t="s">
        <v>4341</v>
      </c>
      <c r="P3" s="351">
        <f>POWER((648000/PI())*D3,3*Q3)</f>
        <v>2.9379989460963469E+49</v>
      </c>
      <c r="Q3" s="342">
        <f>POWER(SI!E3,3)</f>
        <v>1</v>
      </c>
      <c r="R3" s="359" t="s">
        <v>33</v>
      </c>
      <c r="S3" s="333" t="s">
        <v>4341</v>
      </c>
      <c r="T3" s="351">
        <f>POWER((648000/PI())*D3,3*U3)</f>
        <v>2.9379989460963469E+49</v>
      </c>
      <c r="U3" s="342">
        <f>POWER(SI!E3,3)</f>
        <v>1</v>
      </c>
      <c r="V3" s="359" t="s">
        <v>33</v>
      </c>
    </row>
    <row r="4" spans="1:22" ht="16.5">
      <c r="A4" s="48" t="s">
        <v>2872</v>
      </c>
      <c r="B4" s="48" t="s">
        <v>6</v>
      </c>
      <c r="C4" s="49" t="s">
        <v>4335</v>
      </c>
      <c r="D4" s="237">
        <f>E4*4*PI()*'Physical Measurements'!E2*('Physical Constants'!E2/(2*PI())*('Physical Constants'!E2/(2*PI())))/('Physical Measurements'!E4*'Physical Constants'!E4*'Physical Constants'!E4)</f>
        <v>5.2917721090608536E-11</v>
      </c>
      <c r="E4" s="48">
        <f>SI!E3</f>
        <v>1</v>
      </c>
      <c r="F4" s="50" t="s">
        <v>14</v>
      </c>
      <c r="G4" s="49" t="s">
        <v>6865</v>
      </c>
      <c r="H4" s="237">
        <f>PI()*POWER(D4,2)</f>
        <v>8.7973554293144496E-21</v>
      </c>
      <c r="I4" s="48">
        <f>POWER(SI!E3,2)</f>
        <v>1</v>
      </c>
      <c r="J4" s="50" t="s">
        <v>39</v>
      </c>
      <c r="K4" s="49" t="s">
        <v>6811</v>
      </c>
      <c r="L4" s="238">
        <f>'Physical Measurements'!E4*M4</f>
        <v>9.1093837015000008E-31</v>
      </c>
      <c r="M4" s="48">
        <f>SI!E2</f>
        <v>1</v>
      </c>
      <c r="N4" s="50" t="s">
        <v>23</v>
      </c>
      <c r="O4" s="49" t="s">
        <v>4337</v>
      </c>
      <c r="P4" s="239">
        <f>4*PI()*POWER(D4,3)*Q4/3</f>
        <v>6.2071466792455039E-31</v>
      </c>
      <c r="Q4" s="48">
        <f>POWER(SI!E3,3)</f>
        <v>1</v>
      </c>
      <c r="R4" s="81" t="s">
        <v>33</v>
      </c>
      <c r="S4" s="49" t="s">
        <v>4337</v>
      </c>
      <c r="T4" s="239">
        <f>4*PI()*POWER(D4,3)*U4/3</f>
        <v>6.2071466792455039E-31</v>
      </c>
      <c r="U4" s="48">
        <f>POWER(SI!E3,3)</f>
        <v>1</v>
      </c>
      <c r="V4" s="81" t="s">
        <v>33</v>
      </c>
    </row>
    <row r="5" spans="1:22">
      <c r="A5" s="342" t="s">
        <v>703</v>
      </c>
      <c r="B5" s="342" t="s">
        <v>2839</v>
      </c>
      <c r="C5" s="333"/>
      <c r="D5" s="351"/>
      <c r="E5" s="342"/>
      <c r="F5" s="350"/>
      <c r="G5" s="333"/>
      <c r="H5" s="342"/>
      <c r="I5" s="342"/>
      <c r="J5" s="342"/>
      <c r="K5" s="333" t="s">
        <v>4875</v>
      </c>
      <c r="L5" s="389">
        <f>0.3732417216*M5</f>
        <v>0.37324172160000002</v>
      </c>
      <c r="M5" s="342">
        <f>SI!E2</f>
        <v>1</v>
      </c>
      <c r="N5" s="350" t="s">
        <v>23</v>
      </c>
      <c r="O5" s="333"/>
      <c r="P5" s="342"/>
      <c r="Q5" s="342"/>
      <c r="R5" s="350"/>
      <c r="S5" s="333"/>
      <c r="T5" s="342"/>
      <c r="U5" s="342"/>
      <c r="V5" s="359"/>
    </row>
    <row r="6" spans="1:22" ht="16.5">
      <c r="A6" s="383" t="s">
        <v>7182</v>
      </c>
      <c r="B6" s="328" t="s">
        <v>46</v>
      </c>
      <c r="C6" s="143" t="s">
        <v>200</v>
      </c>
      <c r="D6" s="77">
        <v>0.30480000000000002</v>
      </c>
      <c r="E6" s="141">
        <f>SI!E3</f>
        <v>1</v>
      </c>
      <c r="F6" s="114" t="s">
        <v>14</v>
      </c>
      <c r="G6" s="143" t="s">
        <v>4453</v>
      </c>
      <c r="H6" s="155">
        <f>POWER(D6,2)*I6</f>
        <v>9.2903040000000006E-2</v>
      </c>
      <c r="I6" s="227">
        <f>POWER(SI!E3,2)</f>
        <v>1</v>
      </c>
      <c r="J6" s="114" t="s">
        <v>39</v>
      </c>
      <c r="K6" s="143" t="s">
        <v>819</v>
      </c>
      <c r="L6" s="77">
        <f>0.45359237*M6</f>
        <v>0.45359237000000002</v>
      </c>
      <c r="M6" s="141">
        <f>SI!E2</f>
        <v>1</v>
      </c>
      <c r="N6" s="114" t="s">
        <v>23</v>
      </c>
      <c r="O6" s="79" t="s">
        <v>6872</v>
      </c>
      <c r="P6" s="80">
        <f>0.004546092*Q6</f>
        <v>4.5460919999999998E-3</v>
      </c>
      <c r="Q6" s="93">
        <f>POWER(SI!E3,3)</f>
        <v>1</v>
      </c>
      <c r="R6" s="81" t="s">
        <v>33</v>
      </c>
      <c r="S6" s="79" t="s">
        <v>6872</v>
      </c>
      <c r="T6" s="134">
        <f>0.004546092*U6</f>
        <v>4.5460919999999998E-3</v>
      </c>
      <c r="U6" s="222">
        <f>POWER(SI!E3,3)</f>
        <v>1</v>
      </c>
      <c r="V6" s="81" t="s">
        <v>33</v>
      </c>
    </row>
    <row r="7" spans="1:22" ht="16.8" thickBot="1">
      <c r="A7" s="384"/>
      <c r="B7" s="385"/>
      <c r="C7" s="143" t="s">
        <v>6832</v>
      </c>
      <c r="D7" s="154">
        <f>(12/39.370113)</f>
        <v>0.30479973476327077</v>
      </c>
      <c r="E7" s="227">
        <f>SI!E3</f>
        <v>1</v>
      </c>
      <c r="F7" s="114" t="s">
        <v>14</v>
      </c>
      <c r="G7" s="143"/>
      <c r="H7" s="168"/>
      <c r="I7" s="227"/>
      <c r="J7" s="114"/>
      <c r="K7" s="143" t="s">
        <v>6942</v>
      </c>
      <c r="L7" s="77">
        <f>0.453592338*M7</f>
        <v>0.45359233799999998</v>
      </c>
      <c r="M7" s="141">
        <f>SI!E2</f>
        <v>1</v>
      </c>
      <c r="N7" s="114" t="s">
        <v>23</v>
      </c>
      <c r="O7" s="79" t="s">
        <v>6943</v>
      </c>
      <c r="P7" s="92">
        <f>282*POWER(D6/12,3)*Q7</f>
        <v>4.6211520480000006E-3</v>
      </c>
      <c r="Q7" s="222">
        <f>POWER(SI!E3,3)</f>
        <v>1</v>
      </c>
      <c r="R7" s="81" t="s">
        <v>33</v>
      </c>
      <c r="S7" s="79"/>
      <c r="T7" s="135"/>
      <c r="U7" s="222"/>
      <c r="V7" s="81"/>
    </row>
    <row r="8" spans="1:22" ht="16.5">
      <c r="A8" s="353" t="s">
        <v>7181</v>
      </c>
      <c r="B8" s="354" t="s">
        <v>47</v>
      </c>
      <c r="C8" s="366" t="s">
        <v>200</v>
      </c>
      <c r="D8" s="380">
        <v>0.30480000000000002</v>
      </c>
      <c r="E8" s="367">
        <f>SI!E3</f>
        <v>1</v>
      </c>
      <c r="F8" s="368" t="s">
        <v>14</v>
      </c>
      <c r="G8" s="366" t="s">
        <v>4453</v>
      </c>
      <c r="H8" s="369">
        <f>POWER(D8,2)</f>
        <v>9.2903040000000006E-2</v>
      </c>
      <c r="I8" s="370">
        <f>POWER(SI!E3,2)</f>
        <v>1</v>
      </c>
      <c r="J8" s="368" t="s">
        <v>39</v>
      </c>
      <c r="K8" s="366" t="s">
        <v>819</v>
      </c>
      <c r="L8" s="371">
        <f>0.45359237*M8</f>
        <v>0.45359237000000002</v>
      </c>
      <c r="M8" s="371">
        <f>SI!E2</f>
        <v>1</v>
      </c>
      <c r="N8" s="372" t="s">
        <v>23</v>
      </c>
      <c r="O8" s="373" t="s">
        <v>6873</v>
      </c>
      <c r="P8" s="374">
        <f>231*POWER(D8/12,3)*Q8</f>
        <v>3.7854117840000006E-3</v>
      </c>
      <c r="Q8" s="375">
        <f>POWER(SI!E3,3)</f>
        <v>1</v>
      </c>
      <c r="R8" s="376" t="s">
        <v>33</v>
      </c>
      <c r="S8" s="379" t="s">
        <v>6873</v>
      </c>
      <c r="T8" s="377">
        <f>0.00440488377086*U8</f>
        <v>4.40488377086E-3</v>
      </c>
      <c r="U8" s="378">
        <f>POWER(SI!E3,3)</f>
        <v>1</v>
      </c>
      <c r="V8" s="376" t="s">
        <v>33</v>
      </c>
    </row>
    <row r="9" spans="1:22" ht="16.5">
      <c r="A9" s="381"/>
      <c r="B9" s="382"/>
      <c r="C9" s="355" t="s">
        <v>6834</v>
      </c>
      <c r="D9" s="360">
        <f>(0.3048*100/(3*12))*E9</f>
        <v>0.84666666666666668</v>
      </c>
      <c r="E9" s="357">
        <f>SI!E3</f>
        <v>1</v>
      </c>
      <c r="F9" s="361" t="s">
        <v>14</v>
      </c>
      <c r="G9" s="355" t="s">
        <v>6834</v>
      </c>
      <c r="H9" s="365">
        <f>716.860146664*I9</f>
        <v>716.86014666400001</v>
      </c>
      <c r="I9" s="356">
        <f>POWER(SI!E3,2)</f>
        <v>1</v>
      </c>
      <c r="J9" s="348" t="s">
        <v>39</v>
      </c>
      <c r="K9" s="355"/>
      <c r="L9" s="356"/>
      <c r="M9" s="356"/>
      <c r="N9" s="361"/>
      <c r="O9" s="333"/>
      <c r="P9" s="362"/>
      <c r="Q9" s="363"/>
      <c r="R9" s="352"/>
      <c r="S9" s="333"/>
      <c r="T9" s="358"/>
      <c r="U9" s="358"/>
      <c r="V9" s="359"/>
    </row>
    <row r="10" spans="1:22">
      <c r="A10" s="381"/>
      <c r="B10" s="382"/>
      <c r="C10" s="355" t="s">
        <v>6833</v>
      </c>
      <c r="D10" s="349">
        <f>(1200/3937)*E10</f>
        <v>0.30480060960121919</v>
      </c>
      <c r="E10">
        <f>SI!E3</f>
        <v>1</v>
      </c>
      <c r="F10" s="361" t="s">
        <v>14</v>
      </c>
      <c r="G10" s="43"/>
      <c r="K10" s="43"/>
      <c r="O10" s="43"/>
      <c r="P10" s="71"/>
      <c r="Q10" s="71"/>
      <c r="S10" s="43"/>
      <c r="V10" s="46"/>
    </row>
    <row r="11" spans="1:22">
      <c r="A11" s="381"/>
      <c r="B11" s="382"/>
      <c r="C11" s="333"/>
      <c r="D11" s="364"/>
      <c r="E11" s="342"/>
      <c r="F11" s="350"/>
      <c r="G11" s="333"/>
      <c r="H11" s="342"/>
      <c r="I11" s="342"/>
      <c r="J11" s="342"/>
      <c r="K11" s="333"/>
      <c r="L11" s="342"/>
      <c r="M11" s="342"/>
      <c r="N11" s="350"/>
      <c r="O11" s="333"/>
      <c r="P11" s="342"/>
      <c r="Q11" s="342"/>
      <c r="R11" s="350"/>
      <c r="S11" s="333"/>
      <c r="T11" s="342"/>
      <c r="U11" s="342"/>
      <c r="V11" s="359"/>
    </row>
    <row r="12" spans="1:22" ht="16.5">
      <c r="A12" s="48" t="s">
        <v>704</v>
      </c>
      <c r="B12" s="48" t="s">
        <v>214</v>
      </c>
      <c r="C12" s="49" t="s">
        <v>200</v>
      </c>
      <c r="D12" s="48">
        <f>0.3048*E12</f>
        <v>0.30480000000000002</v>
      </c>
      <c r="E12" s="48">
        <f>SI!E3</f>
        <v>1</v>
      </c>
      <c r="F12" s="50" t="s">
        <v>14</v>
      </c>
      <c r="G12" s="49" t="s">
        <v>4453</v>
      </c>
      <c r="H12" s="203">
        <f>POWER(D12,2)*I12</f>
        <v>9.2903040000000006E-2</v>
      </c>
      <c r="I12" s="48">
        <f>POWER(SI!E3,2)</f>
        <v>1</v>
      </c>
      <c r="J12" s="50" t="s">
        <v>39</v>
      </c>
      <c r="K12" s="49" t="s">
        <v>819</v>
      </c>
      <c r="L12" s="48">
        <f>0.453592338*M12</f>
        <v>0.45359233799999998</v>
      </c>
      <c r="M12" s="48">
        <f>SI!E2</f>
        <v>1</v>
      </c>
      <c r="N12" s="50" t="s">
        <v>23</v>
      </c>
      <c r="O12" s="49" t="s">
        <v>818</v>
      </c>
      <c r="P12" s="48">
        <f>0.004546092*Q12</f>
        <v>4.5460919999999998E-3</v>
      </c>
      <c r="Q12" s="48">
        <f>POWER(SI!E3,3)</f>
        <v>1</v>
      </c>
      <c r="R12" s="50" t="s">
        <v>33</v>
      </c>
      <c r="S12" s="49" t="s">
        <v>818</v>
      </c>
      <c r="T12" s="48">
        <f>0.004546092*U12</f>
        <v>4.5460919999999998E-3</v>
      </c>
      <c r="U12" s="48">
        <f>POWER(SI!E3,3)</f>
        <v>1</v>
      </c>
      <c r="V12" s="51" t="s">
        <v>33</v>
      </c>
    </row>
    <row r="13" spans="1:22">
      <c r="A13" s="48"/>
      <c r="B13" s="48"/>
      <c r="C13" s="49"/>
      <c r="D13" s="48"/>
      <c r="E13" s="48"/>
      <c r="F13" s="50"/>
      <c r="G13" s="49"/>
      <c r="H13" s="48"/>
      <c r="I13" s="48"/>
      <c r="J13" s="48"/>
      <c r="K13" s="49"/>
      <c r="L13" s="48"/>
      <c r="M13" s="48"/>
      <c r="N13" s="50"/>
      <c r="O13" s="49"/>
      <c r="P13" s="48"/>
      <c r="Q13" s="48"/>
      <c r="R13" s="50"/>
      <c r="S13" s="49"/>
      <c r="T13" s="48"/>
      <c r="U13" s="48"/>
      <c r="V13" s="51"/>
    </row>
    <row r="14" spans="1:22" ht="16.5">
      <c r="A14" t="s">
        <v>2873</v>
      </c>
      <c r="B14" t="s">
        <v>36</v>
      </c>
      <c r="C14" s="43" t="s">
        <v>967</v>
      </c>
      <c r="D14">
        <f>0.01*E14</f>
        <v>0.01</v>
      </c>
      <c r="E14">
        <f>SI!E3</f>
        <v>1</v>
      </c>
      <c r="F14" s="36" t="s">
        <v>14</v>
      </c>
      <c r="G14" s="43" t="s">
        <v>4489</v>
      </c>
      <c r="H14">
        <f>POWER(D14,2)*I14</f>
        <v>1E-4</v>
      </c>
      <c r="I14">
        <f>POWER(SI!E3,2)</f>
        <v>1</v>
      </c>
      <c r="J14" s="36" t="s">
        <v>39</v>
      </c>
      <c r="K14" s="43" t="s">
        <v>227</v>
      </c>
      <c r="L14">
        <f>0.001*M14</f>
        <v>1E-3</v>
      </c>
      <c r="M14">
        <f>SI!E2</f>
        <v>1</v>
      </c>
      <c r="N14" s="36" t="s">
        <v>23</v>
      </c>
      <c r="O14" s="43" t="s">
        <v>1976</v>
      </c>
      <c r="P14">
        <v>1E-3</v>
      </c>
      <c r="Q14">
        <f>POWER(SI!E3,3)</f>
        <v>1</v>
      </c>
      <c r="R14" s="36" t="s">
        <v>33</v>
      </c>
      <c r="S14" s="43" t="s">
        <v>4490</v>
      </c>
      <c r="T14">
        <f>0.000001*U14</f>
        <v>9.9999999999999995E-7</v>
      </c>
      <c r="U14">
        <f>POWER(SI!E3,3)</f>
        <v>1</v>
      </c>
      <c r="V14" s="46" t="s">
        <v>33</v>
      </c>
    </row>
    <row r="15" spans="1:22" ht="16.5">
      <c r="A15" s="48" t="s">
        <v>705</v>
      </c>
      <c r="B15" s="48" t="s">
        <v>117</v>
      </c>
      <c r="C15" s="49" t="s">
        <v>200</v>
      </c>
      <c r="D15" s="48">
        <f>0.3048*E15</f>
        <v>0.30480000000000002</v>
      </c>
      <c r="E15" s="48">
        <f>SI!E3</f>
        <v>1</v>
      </c>
      <c r="F15" s="50" t="s">
        <v>14</v>
      </c>
      <c r="G15" s="49" t="s">
        <v>4453</v>
      </c>
      <c r="H15" s="203">
        <f>POWER(D15,2)*I15</f>
        <v>9.2903040000000006E-2</v>
      </c>
      <c r="I15" s="231">
        <f>POWER(SI!E3,2)</f>
        <v>1</v>
      </c>
      <c r="J15" s="50" t="s">
        <v>39</v>
      </c>
      <c r="K15" s="49" t="s">
        <v>819</v>
      </c>
      <c r="L15" s="48">
        <f>0.45359237*M15</f>
        <v>0.45359237000000002</v>
      </c>
      <c r="M15" s="48">
        <f>SI!E2</f>
        <v>1</v>
      </c>
      <c r="N15" s="50" t="s">
        <v>23</v>
      </c>
      <c r="O15" s="49" t="s">
        <v>818</v>
      </c>
      <c r="P15" s="48">
        <f>231*POWER(D6/12,3)*Q15</f>
        <v>3.7854117840000006E-3</v>
      </c>
      <c r="Q15" s="48">
        <f>POWER(SI!E3,3)</f>
        <v>1</v>
      </c>
      <c r="R15" s="50" t="s">
        <v>33</v>
      </c>
      <c r="S15" s="49" t="s">
        <v>4589</v>
      </c>
      <c r="T15" s="240">
        <f>POWER(D15,3)*U15</f>
        <v>2.8316846592000004E-2</v>
      </c>
      <c r="U15" s="48">
        <f>POWER(SI!E3,3)</f>
        <v>1</v>
      </c>
      <c r="V15" s="51" t="s">
        <v>33</v>
      </c>
    </row>
    <row r="16" spans="1:22">
      <c r="A16" t="s">
        <v>706</v>
      </c>
      <c r="B16" t="s">
        <v>58</v>
      </c>
      <c r="C16" s="43"/>
      <c r="G16" s="43"/>
      <c r="K16" s="43"/>
      <c r="O16" s="43"/>
      <c r="S16" s="43"/>
      <c r="V16" s="46"/>
    </row>
    <row r="17" spans="1:22" ht="16.5">
      <c r="A17" s="48" t="s">
        <v>707</v>
      </c>
      <c r="B17" s="48" t="s">
        <v>66</v>
      </c>
      <c r="C17" s="49" t="s">
        <v>1977</v>
      </c>
      <c r="D17" s="48">
        <f>1*E17</f>
        <v>1</v>
      </c>
      <c r="E17" s="48">
        <f>SI!E3</f>
        <v>1</v>
      </c>
      <c r="F17" s="50" t="s">
        <v>14</v>
      </c>
      <c r="G17" s="49" t="s">
        <v>4604</v>
      </c>
      <c r="H17" s="48">
        <f>1*I17</f>
        <v>1</v>
      </c>
      <c r="I17" s="48">
        <f>POWER(SI!E3,2)</f>
        <v>1</v>
      </c>
      <c r="J17" s="50" t="s">
        <v>39</v>
      </c>
      <c r="K17" s="49" t="s">
        <v>1764</v>
      </c>
      <c r="L17" s="48">
        <f>9.80665*M17</f>
        <v>9.8066499999999994</v>
      </c>
      <c r="M17" s="48">
        <f>SI!E2</f>
        <v>1</v>
      </c>
      <c r="N17" s="50" t="s">
        <v>23</v>
      </c>
      <c r="O17" s="49" t="s">
        <v>4619</v>
      </c>
      <c r="P17" s="48">
        <f>1*Q17</f>
        <v>1</v>
      </c>
      <c r="Q17" s="48">
        <f>POWER(SI!E3,3)</f>
        <v>1</v>
      </c>
      <c r="R17" s="50" t="s">
        <v>33</v>
      </c>
      <c r="S17" s="49" t="s">
        <v>4619</v>
      </c>
      <c r="T17" s="48">
        <f>1*U17</f>
        <v>1</v>
      </c>
      <c r="U17" s="48">
        <f>POWER(SI!E3,3)</f>
        <v>1</v>
      </c>
      <c r="V17" s="51" t="s">
        <v>33</v>
      </c>
    </row>
    <row r="18" spans="1:22" ht="16.5">
      <c r="A18" t="s">
        <v>939</v>
      </c>
      <c r="B18" t="s">
        <v>168</v>
      </c>
      <c r="C18" s="43" t="s">
        <v>1977</v>
      </c>
      <c r="D18">
        <f>1*E18</f>
        <v>1</v>
      </c>
      <c r="E18">
        <f>SI!E3</f>
        <v>1</v>
      </c>
      <c r="F18" s="36" t="s">
        <v>14</v>
      </c>
      <c r="G18" s="43" t="s">
        <v>4604</v>
      </c>
      <c r="H18">
        <f>1*I18</f>
        <v>1</v>
      </c>
      <c r="I18">
        <f>POWER(SI!E3,2)</f>
        <v>1</v>
      </c>
      <c r="J18" s="36" t="s">
        <v>39</v>
      </c>
      <c r="K18" s="43" t="s">
        <v>940</v>
      </c>
      <c r="L18">
        <f>1000*M18</f>
        <v>1000</v>
      </c>
      <c r="M18">
        <f>SI!E2</f>
        <v>1</v>
      </c>
      <c r="N18" s="36" t="s">
        <v>23</v>
      </c>
      <c r="O18" s="43" t="s">
        <v>396</v>
      </c>
      <c r="P18">
        <f>1*Q18</f>
        <v>1</v>
      </c>
      <c r="Q18">
        <f>POWER(SI!E3,3)</f>
        <v>1</v>
      </c>
      <c r="R18" s="36" t="s">
        <v>33</v>
      </c>
      <c r="S18" s="43" t="s">
        <v>4619</v>
      </c>
      <c r="T18">
        <f>1*U18</f>
        <v>1</v>
      </c>
      <c r="U18">
        <f>POWER(SI!E3,3)</f>
        <v>1</v>
      </c>
      <c r="V18" s="46" t="s">
        <v>33</v>
      </c>
    </row>
    <row r="19" spans="1:22" ht="14.4" customHeight="1">
      <c r="A19" s="48" t="s">
        <v>708</v>
      </c>
      <c r="B19" s="48" t="s">
        <v>42</v>
      </c>
      <c r="C19" s="49" t="s">
        <v>1977</v>
      </c>
      <c r="D19" s="48">
        <f>1*E19</f>
        <v>1</v>
      </c>
      <c r="E19" s="48">
        <f>SI!E3</f>
        <v>1</v>
      </c>
      <c r="F19" s="50" t="s">
        <v>14</v>
      </c>
      <c r="G19" s="49" t="s">
        <v>4604</v>
      </c>
      <c r="H19" s="48">
        <f>1*I19</f>
        <v>1</v>
      </c>
      <c r="I19" s="48">
        <f>POWER(SI!E3,2)</f>
        <v>1</v>
      </c>
      <c r="J19" s="50" t="s">
        <v>39</v>
      </c>
      <c r="K19" s="49" t="s">
        <v>262</v>
      </c>
      <c r="L19" s="48">
        <f>1*M19</f>
        <v>1</v>
      </c>
      <c r="M19" s="48">
        <f>SI!E2</f>
        <v>1</v>
      </c>
      <c r="N19" s="50" t="s">
        <v>23</v>
      </c>
      <c r="O19" s="49" t="s">
        <v>4619</v>
      </c>
      <c r="P19" s="48">
        <f>1*Q19</f>
        <v>1</v>
      </c>
      <c r="Q19" s="48">
        <f>POWER(SI!E3,3)</f>
        <v>1</v>
      </c>
      <c r="R19" s="50" t="s">
        <v>33</v>
      </c>
      <c r="S19" s="49" t="s">
        <v>4619</v>
      </c>
      <c r="T19" s="48">
        <f>1*U19</f>
        <v>1</v>
      </c>
      <c r="U19" s="48">
        <f>POWER(SI!E3,3)</f>
        <v>1</v>
      </c>
      <c r="V19" s="51" t="s">
        <v>33</v>
      </c>
    </row>
    <row r="20" spans="1:22">
      <c r="A20" t="s">
        <v>709</v>
      </c>
      <c r="B20" t="s">
        <v>141</v>
      </c>
      <c r="C20" s="43"/>
      <c r="G20" s="43"/>
      <c r="K20" s="43"/>
      <c r="O20" s="43"/>
      <c r="S20" s="43"/>
      <c r="V20" s="46"/>
    </row>
    <row r="21" spans="1:22">
      <c r="A21" s="48" t="s">
        <v>710</v>
      </c>
      <c r="B21" s="48" t="s">
        <v>7533</v>
      </c>
      <c r="C21" s="49"/>
      <c r="D21" s="48"/>
      <c r="E21" s="48"/>
      <c r="F21" s="50"/>
      <c r="G21" s="49"/>
      <c r="H21" s="48"/>
      <c r="I21" s="48"/>
      <c r="J21" s="48"/>
      <c r="K21" s="49" t="s">
        <v>957</v>
      </c>
      <c r="L21" s="241">
        <f>0.0311034768*M21</f>
        <v>3.1103476800000002E-2</v>
      </c>
      <c r="M21" s="231">
        <f>SI!E2</f>
        <v>1</v>
      </c>
      <c r="N21" s="50" t="s">
        <v>23</v>
      </c>
      <c r="O21" s="49"/>
      <c r="P21" s="48"/>
      <c r="Q21" s="48"/>
      <c r="R21" s="50"/>
      <c r="S21" s="49"/>
      <c r="T21" s="48"/>
      <c r="U21" s="48"/>
      <c r="V21" s="51"/>
    </row>
    <row r="22" spans="1:22" ht="16.5">
      <c r="A22" t="s">
        <v>1148</v>
      </c>
      <c r="B22" t="s">
        <v>1148</v>
      </c>
      <c r="C22" s="43" t="s">
        <v>200</v>
      </c>
      <c r="D22">
        <v>0.30480000000000002</v>
      </c>
      <c r="E22">
        <f>SI!E3</f>
        <v>1</v>
      </c>
      <c r="F22" s="36" t="s">
        <v>14</v>
      </c>
      <c r="G22" s="43" t="s">
        <v>4453</v>
      </c>
      <c r="H22">
        <f>POWER(D22,2)</f>
        <v>9.2903040000000006E-2</v>
      </c>
      <c r="I22">
        <f>POWER(SI!E3,2)</f>
        <v>1</v>
      </c>
      <c r="J22" s="36" t="s">
        <v>39</v>
      </c>
      <c r="K22" s="43" t="s">
        <v>819</v>
      </c>
      <c r="L22">
        <f>0.453592338*M22</f>
        <v>0.45359233799999998</v>
      </c>
      <c r="M22">
        <f>SI!E2</f>
        <v>1</v>
      </c>
      <c r="N22" s="36" t="s">
        <v>23</v>
      </c>
      <c r="O22" s="43" t="s">
        <v>818</v>
      </c>
      <c r="P22">
        <f>0.004546092*Q22</f>
        <v>4.5460919999999998E-3</v>
      </c>
      <c r="Q22">
        <f>POWER(SI!E3,3)</f>
        <v>1</v>
      </c>
      <c r="R22" s="36" t="s">
        <v>33</v>
      </c>
      <c r="S22" s="43" t="s">
        <v>818</v>
      </c>
      <c r="T22">
        <f>0.004546092*U22</f>
        <v>4.5460919999999998E-3</v>
      </c>
      <c r="U22">
        <f>POWER(SI!E3,3)</f>
        <v>1</v>
      </c>
      <c r="V22" s="46" t="s">
        <v>33</v>
      </c>
    </row>
    <row r="23" spans="1:22" ht="14.7" thickBot="1">
      <c r="A23" s="129" t="s">
        <v>712</v>
      </c>
      <c r="B23" s="130" t="s">
        <v>711</v>
      </c>
      <c r="C23" s="131"/>
      <c r="D23" s="132"/>
      <c r="E23" s="208"/>
      <c r="F23" s="133"/>
      <c r="G23" s="131"/>
      <c r="H23" s="132"/>
      <c r="I23" s="208"/>
      <c r="J23" s="130"/>
      <c r="K23" s="131"/>
      <c r="L23" s="132"/>
      <c r="M23" s="208"/>
      <c r="N23" s="133"/>
      <c r="O23" s="131"/>
      <c r="P23" s="132"/>
      <c r="Q23" s="208"/>
      <c r="R23" s="133"/>
      <c r="S23" s="131"/>
      <c r="T23" s="132"/>
      <c r="U23" s="208"/>
      <c r="V23" s="133"/>
    </row>
    <row r="24" spans="1:22" ht="16.5">
      <c r="A24" s="112" t="s">
        <v>713</v>
      </c>
      <c r="B24" s="108" t="s">
        <v>451</v>
      </c>
      <c r="C24" s="109" t="s">
        <v>835</v>
      </c>
      <c r="D24" s="110">
        <f>0.686*E24</f>
        <v>0.68600000000000005</v>
      </c>
      <c r="E24" s="209">
        <f>SI!E3</f>
        <v>1</v>
      </c>
      <c r="F24" s="111" t="s">
        <v>14</v>
      </c>
      <c r="G24" s="109" t="s">
        <v>4345</v>
      </c>
      <c r="H24" s="242">
        <f>POWER(D24,2)*I24</f>
        <v>0.47059600000000007</v>
      </c>
      <c r="I24" s="209">
        <f>POWER(SI!E3,2)</f>
        <v>1</v>
      </c>
      <c r="J24" s="124" t="s">
        <v>39</v>
      </c>
      <c r="K24" s="109" t="s">
        <v>828</v>
      </c>
      <c r="L24" s="110">
        <f>0.311*M24</f>
        <v>0.311</v>
      </c>
      <c r="M24" s="209">
        <f>SI!E2</f>
        <v>1</v>
      </c>
      <c r="N24" s="111" t="s">
        <v>23</v>
      </c>
      <c r="O24" s="109" t="s">
        <v>894</v>
      </c>
      <c r="P24" s="110">
        <f>0.00044*Q24</f>
        <v>4.4000000000000002E-4</v>
      </c>
      <c r="Q24" s="209">
        <f>POWER(SI!E3,3)</f>
        <v>1</v>
      </c>
      <c r="R24" s="111" t="s">
        <v>33</v>
      </c>
      <c r="S24" s="109" t="s">
        <v>4346</v>
      </c>
      <c r="T24" s="243">
        <f>POWER(D24,3)*U24</f>
        <v>0.32282885600000005</v>
      </c>
      <c r="U24" s="209">
        <f>POWER(SI!E3,3)</f>
        <v>1</v>
      </c>
      <c r="V24" s="46" t="s">
        <v>33</v>
      </c>
    </row>
    <row r="25" spans="1:22" ht="16.5">
      <c r="A25" s="306" t="s">
        <v>714</v>
      </c>
      <c r="B25" s="307" t="s">
        <v>489</v>
      </c>
      <c r="C25" s="79" t="s">
        <v>4354</v>
      </c>
      <c r="D25" s="80">
        <f>0.623*E25</f>
        <v>0.623</v>
      </c>
      <c r="E25" s="93">
        <f>SI!E3</f>
        <v>1</v>
      </c>
      <c r="F25" s="81" t="s">
        <v>14</v>
      </c>
      <c r="G25" s="79" t="s">
        <v>6864</v>
      </c>
      <c r="H25" s="77">
        <f>POWER(D25,2)*I25</f>
        <v>0.388129</v>
      </c>
      <c r="I25" s="210">
        <f>POWER(SI!E3,2)</f>
        <v>1</v>
      </c>
      <c r="J25" s="81" t="s">
        <v>39</v>
      </c>
      <c r="K25" s="295" t="s">
        <v>887</v>
      </c>
      <c r="L25" s="286">
        <f>0.03413*M25</f>
        <v>3.4130000000000001E-2</v>
      </c>
      <c r="M25" s="210">
        <f>SI!E2</f>
        <v>1</v>
      </c>
      <c r="N25" s="288" t="s">
        <v>23</v>
      </c>
      <c r="O25" s="79" t="s">
        <v>885</v>
      </c>
      <c r="P25" s="83">
        <f>(50/3000)*Q25</f>
        <v>1.6666666666666666E-2</v>
      </c>
      <c r="Q25" s="222">
        <f>POWER(SI!E3,3)</f>
        <v>1</v>
      </c>
      <c r="R25" s="81" t="s">
        <v>33</v>
      </c>
      <c r="S25" s="295" t="s">
        <v>831</v>
      </c>
      <c r="T25" s="318">
        <f>0.31747*U25</f>
        <v>0.31746999999999997</v>
      </c>
      <c r="U25" s="228">
        <f>POWER(SI!E3,3)</f>
        <v>1</v>
      </c>
      <c r="V25" s="288" t="s">
        <v>33</v>
      </c>
    </row>
    <row r="26" spans="1:22" ht="16.5">
      <c r="A26" s="301"/>
      <c r="B26" s="302"/>
      <c r="C26" s="79" t="s">
        <v>4353</v>
      </c>
      <c r="D26" s="80">
        <f>0.467*E26</f>
        <v>0.46700000000000003</v>
      </c>
      <c r="E26" s="93">
        <f>SI!E3</f>
        <v>1</v>
      </c>
      <c r="F26" s="81" t="s">
        <v>14</v>
      </c>
      <c r="G26" s="79" t="s">
        <v>4359</v>
      </c>
      <c r="H26" s="77">
        <f>POWER(D26,2)*I26</f>
        <v>0.21808900000000003</v>
      </c>
      <c r="I26" s="210">
        <f>POWER(SI!E3,2)</f>
        <v>1</v>
      </c>
      <c r="J26" s="81" t="s">
        <v>39</v>
      </c>
      <c r="K26" s="291"/>
      <c r="L26" s="280"/>
      <c r="M26" s="210"/>
      <c r="N26" s="289"/>
      <c r="O26" s="79" t="s">
        <v>886</v>
      </c>
      <c r="P26" s="80">
        <f>0.0179*Q26</f>
        <v>1.7899999999999999E-2</v>
      </c>
      <c r="Q26" s="93">
        <f>POWER(SI!E3,3)</f>
        <v>1</v>
      </c>
      <c r="R26" s="81" t="s">
        <v>33</v>
      </c>
      <c r="S26" s="291"/>
      <c r="T26" s="319"/>
      <c r="U26" s="226"/>
      <c r="V26" s="289"/>
    </row>
    <row r="27" spans="1:22" ht="16.5">
      <c r="A27" s="301" t="s">
        <v>715</v>
      </c>
      <c r="B27" s="302" t="s">
        <v>473</v>
      </c>
      <c r="C27" s="95" t="s">
        <v>4374</v>
      </c>
      <c r="D27" s="96">
        <f>0.425*E27</f>
        <v>0.42499999999999999</v>
      </c>
      <c r="E27" s="146">
        <f>SI!E3</f>
        <v>1</v>
      </c>
      <c r="F27" s="97" t="s">
        <v>14</v>
      </c>
      <c r="G27" s="190" t="s">
        <v>4382</v>
      </c>
      <c r="H27" s="191">
        <f>POWER(5*D28,2)*I27</f>
        <v>5.5224999999999982</v>
      </c>
      <c r="I27" s="211">
        <f>POWER(SI!E3,2)</f>
        <v>1</v>
      </c>
      <c r="J27" s="124" t="s">
        <v>39</v>
      </c>
      <c r="K27" s="291" t="s">
        <v>915</v>
      </c>
      <c r="L27" s="280">
        <f>0.003775*M27</f>
        <v>3.7750000000000001E-3</v>
      </c>
      <c r="M27" s="280">
        <f>SI!E2</f>
        <v>1</v>
      </c>
      <c r="N27" s="289" t="s">
        <v>23</v>
      </c>
      <c r="O27" s="190" t="s">
        <v>914</v>
      </c>
      <c r="P27" s="191">
        <f>0.02826*Q27</f>
        <v>2.826E-2</v>
      </c>
      <c r="Q27" s="211">
        <f>POWER(SI!E3,3)</f>
        <v>1</v>
      </c>
      <c r="R27" s="124" t="s">
        <v>33</v>
      </c>
      <c r="S27" s="291" t="s">
        <v>991</v>
      </c>
      <c r="T27" s="280">
        <f>1.6*U27</f>
        <v>1.6</v>
      </c>
      <c r="U27" s="280">
        <f>POWER(SI!E3,3)</f>
        <v>1</v>
      </c>
      <c r="V27" s="289" t="s">
        <v>33</v>
      </c>
    </row>
    <row r="28" spans="1:22" ht="16.5">
      <c r="A28" s="301"/>
      <c r="B28" s="302"/>
      <c r="C28" s="95" t="s">
        <v>4373</v>
      </c>
      <c r="D28" s="96">
        <f>0.47*E28</f>
        <v>0.47</v>
      </c>
      <c r="E28" s="146">
        <f>SI!E3</f>
        <v>1</v>
      </c>
      <c r="F28" s="97" t="s">
        <v>14</v>
      </c>
      <c r="G28" s="190" t="s">
        <v>993</v>
      </c>
      <c r="H28" s="191">
        <f>2.4*I28</f>
        <v>2.4</v>
      </c>
      <c r="I28" s="211">
        <f>POWER(SI!E3,2)</f>
        <v>1</v>
      </c>
      <c r="J28" s="124" t="s">
        <v>39</v>
      </c>
      <c r="K28" s="291"/>
      <c r="L28" s="280"/>
      <c r="M28" s="280"/>
      <c r="N28" s="289"/>
      <c r="O28" s="190" t="s">
        <v>992</v>
      </c>
      <c r="P28" s="191">
        <f>0.001*Q28</f>
        <v>1E-3</v>
      </c>
      <c r="Q28" s="211">
        <f>POWER(SI!E3,3)</f>
        <v>1</v>
      </c>
      <c r="R28" s="124" t="s">
        <v>33</v>
      </c>
      <c r="S28" s="291"/>
      <c r="T28" s="280"/>
      <c r="U28" s="280"/>
      <c r="V28" s="289"/>
    </row>
    <row r="29" spans="1:22" ht="16.5">
      <c r="A29" s="301"/>
      <c r="B29" s="302"/>
      <c r="C29" s="95" t="s">
        <v>4376</v>
      </c>
      <c r="D29" s="96">
        <f>0.644*E29</f>
        <v>0.64400000000000002</v>
      </c>
      <c r="E29" s="146">
        <f>SI!E3</f>
        <v>1</v>
      </c>
      <c r="F29" s="97" t="s">
        <v>14</v>
      </c>
      <c r="G29" s="190"/>
      <c r="H29" s="191"/>
      <c r="I29" s="211"/>
      <c r="J29" s="192"/>
      <c r="K29" s="291"/>
      <c r="L29" s="280"/>
      <c r="M29" s="280"/>
      <c r="N29" s="289"/>
      <c r="O29" s="190" t="s">
        <v>4386</v>
      </c>
      <c r="P29" s="191">
        <f>0.002766*Q29</f>
        <v>2.7659999999999998E-3</v>
      </c>
      <c r="Q29" s="211">
        <f>POWER(SI!E3,3)</f>
        <v>1</v>
      </c>
      <c r="R29" s="124" t="s">
        <v>33</v>
      </c>
      <c r="S29" s="291"/>
      <c r="T29" s="280"/>
      <c r="U29" s="280"/>
      <c r="V29" s="289"/>
    </row>
    <row r="30" spans="1:22">
      <c r="A30" s="301"/>
      <c r="B30" s="302"/>
      <c r="C30" s="95" t="s">
        <v>994</v>
      </c>
      <c r="D30" s="96">
        <f>2*E30</f>
        <v>2</v>
      </c>
      <c r="E30" s="146">
        <f>SI!E3</f>
        <v>1</v>
      </c>
      <c r="F30" s="97" t="s">
        <v>14</v>
      </c>
      <c r="G30" s="190"/>
      <c r="H30" s="191"/>
      <c r="I30" s="211"/>
      <c r="J30" s="192"/>
      <c r="K30" s="291"/>
      <c r="L30" s="280"/>
      <c r="M30" s="280"/>
      <c r="N30" s="289"/>
      <c r="O30" s="190"/>
      <c r="P30" s="191"/>
      <c r="Q30" s="211"/>
      <c r="R30" s="124"/>
      <c r="S30" s="291"/>
      <c r="T30" s="280"/>
      <c r="U30" s="280"/>
      <c r="V30" s="289"/>
    </row>
    <row r="31" spans="1:22" ht="16.5">
      <c r="A31" s="78" t="s">
        <v>716</v>
      </c>
      <c r="B31" s="82" t="s">
        <v>43</v>
      </c>
      <c r="C31" s="79" t="s">
        <v>200</v>
      </c>
      <c r="D31" s="80">
        <f>0.32*E31</f>
        <v>0.32</v>
      </c>
      <c r="E31" s="93">
        <f>SI!E3</f>
        <v>1</v>
      </c>
      <c r="F31" s="81" t="s">
        <v>14</v>
      </c>
      <c r="G31" s="79" t="s">
        <v>809</v>
      </c>
      <c r="H31" s="80">
        <f>POWER(240*D31,2)*I31</f>
        <v>5898.24</v>
      </c>
      <c r="I31" s="93">
        <f>POWER(SI!E3,2)</f>
        <v>1</v>
      </c>
      <c r="J31" s="81" t="s">
        <v>39</v>
      </c>
      <c r="K31" s="79" t="s">
        <v>810</v>
      </c>
      <c r="L31" s="80">
        <f>0.34*M31</f>
        <v>0.34</v>
      </c>
      <c r="M31" s="93">
        <f>SI!E2</f>
        <v>1</v>
      </c>
      <c r="N31" s="81" t="s">
        <v>23</v>
      </c>
      <c r="O31" s="79" t="s">
        <v>2408</v>
      </c>
      <c r="P31" s="80">
        <f>0.0042125*Q31</f>
        <v>4.2125000000000001E-3</v>
      </c>
      <c r="Q31" s="93">
        <f>POWER(SI!E3,3)</f>
        <v>1</v>
      </c>
      <c r="R31" s="81" t="s">
        <v>33</v>
      </c>
      <c r="S31" s="79" t="s">
        <v>811</v>
      </c>
      <c r="T31" s="80">
        <f>0.03264*U31</f>
        <v>3.2640000000000002E-2</v>
      </c>
      <c r="U31" s="93">
        <f>POWER(SI!E3,3)</f>
        <v>1</v>
      </c>
      <c r="V31" s="61" t="s">
        <v>33</v>
      </c>
    </row>
    <row r="32" spans="1:22" ht="16.5">
      <c r="A32" t="s">
        <v>717</v>
      </c>
      <c r="B32" t="s">
        <v>436</v>
      </c>
      <c r="C32" s="95" t="s">
        <v>821</v>
      </c>
      <c r="D32" s="96">
        <f>0.8666*E32</f>
        <v>0.86660000000000004</v>
      </c>
      <c r="E32" s="146">
        <f>SI!E3</f>
        <v>1</v>
      </c>
      <c r="F32" s="97" t="s">
        <v>14</v>
      </c>
      <c r="G32" s="95" t="s">
        <v>4513</v>
      </c>
      <c r="H32" s="244">
        <f>POWER(D32,2)*I32</f>
        <v>0.75099556000000012</v>
      </c>
      <c r="I32" s="146">
        <f>POWER(SI!E3,2)</f>
        <v>1</v>
      </c>
      <c r="J32" s="124" t="s">
        <v>39</v>
      </c>
      <c r="K32" s="95" t="s">
        <v>822</v>
      </c>
      <c r="L32" s="96">
        <f>0.4594*M32</f>
        <v>0.45939999999999998</v>
      </c>
      <c r="M32" s="146">
        <f>SI!E2</f>
        <v>1</v>
      </c>
      <c r="N32" s="97" t="s">
        <v>23</v>
      </c>
      <c r="O32" s="95" t="s">
        <v>943</v>
      </c>
      <c r="P32" s="96">
        <f>0.002375*Q32</f>
        <v>2.3749999999999999E-3</v>
      </c>
      <c r="Q32" s="146">
        <f>POWER(SI!E3,3)</f>
        <v>1</v>
      </c>
      <c r="R32" s="97" t="s">
        <v>33</v>
      </c>
      <c r="S32" s="95" t="s">
        <v>823</v>
      </c>
      <c r="T32" s="96">
        <f>0.1371977*U32</f>
        <v>0.13719770000000001</v>
      </c>
      <c r="U32" s="146">
        <f>POWER(SI!E3,3)</f>
        <v>1</v>
      </c>
      <c r="V32" s="97" t="s">
        <v>33</v>
      </c>
    </row>
    <row r="33" spans="1:22" ht="16.5">
      <c r="A33" s="306" t="s">
        <v>718</v>
      </c>
      <c r="B33" s="307" t="s">
        <v>50</v>
      </c>
      <c r="C33" s="295" t="s">
        <v>805</v>
      </c>
      <c r="D33" s="286">
        <f>0.30856*E33</f>
        <v>0.30856</v>
      </c>
      <c r="E33" s="210">
        <f>SI!E3</f>
        <v>1</v>
      </c>
      <c r="F33" s="288" t="s">
        <v>14</v>
      </c>
      <c r="G33" s="295" t="s">
        <v>4407</v>
      </c>
      <c r="H33" s="286">
        <f>POWER(D33,2)*I33</f>
        <v>9.5209273600000005E-2</v>
      </c>
      <c r="I33" s="210">
        <f>POWER(SI!E4,2)</f>
        <v>1</v>
      </c>
      <c r="J33" s="288" t="s">
        <v>39</v>
      </c>
      <c r="K33" s="295" t="s">
        <v>802</v>
      </c>
      <c r="L33" s="286">
        <f>25.92*M33</f>
        <v>25.92</v>
      </c>
      <c r="M33" s="210">
        <f>SI!E2</f>
        <v>1</v>
      </c>
      <c r="N33" s="288" t="s">
        <v>23</v>
      </c>
      <c r="O33" s="79" t="s">
        <v>806</v>
      </c>
      <c r="P33" s="113">
        <f>0.00027*Q33</f>
        <v>2.7E-4</v>
      </c>
      <c r="Q33" s="222">
        <f>POWER(SI!E3,3)</f>
        <v>1</v>
      </c>
      <c r="R33" s="81" t="s">
        <v>33</v>
      </c>
      <c r="S33" s="79" t="s">
        <v>806</v>
      </c>
      <c r="T33" s="113">
        <f>0.25*0.00108*U33</f>
        <v>2.7E-4</v>
      </c>
      <c r="U33" s="222">
        <f>POWER(SI!E3,3)</f>
        <v>1</v>
      </c>
      <c r="V33" s="81" t="s">
        <v>33</v>
      </c>
    </row>
    <row r="34" spans="1:22" ht="16.5">
      <c r="A34" s="301"/>
      <c r="B34" s="302"/>
      <c r="C34" s="291"/>
      <c r="D34" s="280"/>
      <c r="E34" s="210"/>
      <c r="F34" s="289"/>
      <c r="G34" s="291"/>
      <c r="H34" s="280"/>
      <c r="I34" s="210"/>
      <c r="J34" s="289"/>
      <c r="K34" s="291"/>
      <c r="L34" s="280"/>
      <c r="M34" s="210"/>
      <c r="N34" s="289"/>
      <c r="O34" s="79"/>
      <c r="P34" s="113"/>
      <c r="Q34" s="224"/>
      <c r="R34" s="81"/>
      <c r="S34" s="79" t="s">
        <v>954</v>
      </c>
      <c r="T34" s="113">
        <f>0.00108*U34</f>
        <v>1.08E-3</v>
      </c>
      <c r="U34" s="222">
        <f>POWER(SI!E3,3)</f>
        <v>1</v>
      </c>
      <c r="V34" s="81" t="s">
        <v>33</v>
      </c>
    </row>
    <row r="35" spans="1:22" ht="14.4" customHeight="1">
      <c r="A35" s="283" t="s">
        <v>719</v>
      </c>
      <c r="B35" s="302" t="s">
        <v>44</v>
      </c>
      <c r="C35" s="85" t="s">
        <v>817</v>
      </c>
      <c r="D35" s="104">
        <f>0.31608*E35</f>
        <v>0.31608000000000003</v>
      </c>
      <c r="E35" s="212">
        <f>SI!E3</f>
        <v>1</v>
      </c>
      <c r="F35" s="105" t="s">
        <v>14</v>
      </c>
      <c r="G35" s="291" t="s">
        <v>839</v>
      </c>
      <c r="H35" s="300">
        <f>POWER(240*D35,2)*I35</f>
        <v>5754.6182246400003</v>
      </c>
      <c r="I35" s="281">
        <f>POWER(SI!E3,2)</f>
        <v>1</v>
      </c>
      <c r="J35" s="289" t="s">
        <v>39</v>
      </c>
      <c r="K35" s="85" t="s">
        <v>840</v>
      </c>
      <c r="L35" s="104">
        <f>0.56001*M35</f>
        <v>0.56001000000000001</v>
      </c>
      <c r="M35" s="212">
        <f>SI!E2</f>
        <v>1</v>
      </c>
      <c r="N35" s="105" t="s">
        <v>23</v>
      </c>
      <c r="O35" s="291" t="s">
        <v>17</v>
      </c>
      <c r="P35" s="280">
        <f>0.0014151*Q35</f>
        <v>1.4151000000000001E-3</v>
      </c>
      <c r="Q35" s="280">
        <f>POWER(SI!E3,3)</f>
        <v>1</v>
      </c>
      <c r="R35" s="289" t="s">
        <v>33</v>
      </c>
      <c r="S35" s="291" t="s">
        <v>841</v>
      </c>
      <c r="T35" s="280">
        <f>0.061489*U35</f>
        <v>6.1489000000000002E-2</v>
      </c>
      <c r="U35" s="280">
        <f>POWER(SI!E3,3)</f>
        <v>1</v>
      </c>
      <c r="V35" s="289" t="s">
        <v>33</v>
      </c>
    </row>
    <row r="36" spans="1:22">
      <c r="A36" s="283"/>
      <c r="B36" s="302"/>
      <c r="C36" s="87" t="s">
        <v>838</v>
      </c>
      <c r="D36" s="106">
        <f>0.7792*E36</f>
        <v>0.7792</v>
      </c>
      <c r="E36" s="213">
        <f>SI!E3</f>
        <v>1</v>
      </c>
      <c r="F36" s="107" t="s">
        <v>14</v>
      </c>
      <c r="G36" s="291"/>
      <c r="H36" s="300"/>
      <c r="I36" s="280"/>
      <c r="J36" s="302"/>
      <c r="K36" s="87" t="s">
        <v>4414</v>
      </c>
      <c r="L36" s="106">
        <f>(3*0.56001/4)*M36</f>
        <v>0.42000749999999998</v>
      </c>
      <c r="M36" s="213">
        <f>SI!E2</f>
        <v>1</v>
      </c>
      <c r="N36" s="107" t="s">
        <v>23</v>
      </c>
      <c r="O36" s="291"/>
      <c r="P36" s="280"/>
      <c r="Q36" s="280"/>
      <c r="R36" s="289"/>
      <c r="S36" s="291"/>
      <c r="T36" s="280"/>
      <c r="U36" s="280"/>
      <c r="V36" s="289"/>
    </row>
    <row r="37" spans="1:22" ht="16.5">
      <c r="A37" s="78" t="s">
        <v>722</v>
      </c>
      <c r="B37" s="82" t="s">
        <v>720</v>
      </c>
      <c r="C37" s="79" t="s">
        <v>827</v>
      </c>
      <c r="D37" s="80">
        <f>1.564*E37</f>
        <v>1.5640000000000001</v>
      </c>
      <c r="E37" s="93">
        <f>SI!E3</f>
        <v>1</v>
      </c>
      <c r="F37" s="81" t="s">
        <v>14</v>
      </c>
      <c r="G37" s="79" t="s">
        <v>4418</v>
      </c>
      <c r="H37" s="80">
        <f>POWER(D37,2)*I37</f>
        <v>2.4460960000000003</v>
      </c>
      <c r="I37" s="93">
        <f>POWER(SI!E3,2)</f>
        <v>1</v>
      </c>
      <c r="J37" s="81" t="s">
        <v>39</v>
      </c>
      <c r="K37" s="79" t="s">
        <v>828</v>
      </c>
      <c r="L37" s="80">
        <f>0.408*M37</f>
        <v>0.40799999999999997</v>
      </c>
      <c r="M37" s="93">
        <f>SI!E2</f>
        <v>1</v>
      </c>
      <c r="N37" s="81" t="s">
        <v>23</v>
      </c>
      <c r="O37" s="79" t="s">
        <v>833</v>
      </c>
      <c r="P37" s="80">
        <f>0.07197*Q37</f>
        <v>7.1970000000000006E-2</v>
      </c>
      <c r="Q37" s="93">
        <f>POWER(SI!E3,3)</f>
        <v>1</v>
      </c>
      <c r="R37" s="81" t="s">
        <v>33</v>
      </c>
      <c r="S37" s="79" t="s">
        <v>832</v>
      </c>
      <c r="T37" s="80">
        <f>0.02714*U37</f>
        <v>2.7140000000000001E-2</v>
      </c>
      <c r="U37" s="93">
        <f>POWER(SI!E3,3)</f>
        <v>1</v>
      </c>
      <c r="V37" s="81" t="s">
        <v>33</v>
      </c>
    </row>
    <row r="38" spans="1:22" ht="16.5">
      <c r="A38" t="s">
        <v>721</v>
      </c>
      <c r="B38" s="98" t="s">
        <v>452</v>
      </c>
      <c r="C38" s="95" t="s">
        <v>816</v>
      </c>
      <c r="D38" s="96">
        <f>6.497*E38</f>
        <v>6.4969999999999999</v>
      </c>
      <c r="E38" s="146">
        <f>SI!E3</f>
        <v>1</v>
      </c>
      <c r="F38" s="97" t="s">
        <v>14</v>
      </c>
      <c r="G38" s="95" t="s">
        <v>1017</v>
      </c>
      <c r="H38" s="96">
        <f>POWER(D38,2)*I38</f>
        <v>42.211008999999997</v>
      </c>
      <c r="I38" s="146">
        <f>POWER(SI!E3,2)</f>
        <v>1</v>
      </c>
      <c r="J38" s="124" t="s">
        <v>39</v>
      </c>
      <c r="K38" s="95" t="s">
        <v>815</v>
      </c>
      <c r="L38" s="96">
        <f>0.4895*M38</f>
        <v>0.48949999999999999</v>
      </c>
      <c r="M38" s="146">
        <f>SI!E2</f>
        <v>1</v>
      </c>
      <c r="N38" s="97" t="s">
        <v>23</v>
      </c>
      <c r="O38" s="95" t="s">
        <v>579</v>
      </c>
      <c r="P38" s="96">
        <f>0.0005*Q38</f>
        <v>5.0000000000000001E-4</v>
      </c>
      <c r="Q38" s="146">
        <f>POWER(SI!E3,3)</f>
        <v>1</v>
      </c>
      <c r="R38" s="124" t="s">
        <v>33</v>
      </c>
      <c r="S38" s="95" t="s">
        <v>579</v>
      </c>
      <c r="T38" s="96">
        <f>0.0015*U38</f>
        <v>1.5E-3</v>
      </c>
      <c r="U38" s="146">
        <f>POWER(SI!E3,3)</f>
        <v>1</v>
      </c>
      <c r="V38" s="124" t="s">
        <v>33</v>
      </c>
    </row>
    <row r="39" spans="1:22" ht="16.5">
      <c r="A39" s="303" t="s">
        <v>723</v>
      </c>
      <c r="B39" s="304" t="s">
        <v>446</v>
      </c>
      <c r="C39" s="295" t="s">
        <v>824</v>
      </c>
      <c r="D39" s="299">
        <f>(1/3)*E39</f>
        <v>0.33333333333333331</v>
      </c>
      <c r="E39" s="228">
        <f>SI!E3</f>
        <v>1</v>
      </c>
      <c r="F39" s="288" t="s">
        <v>14</v>
      </c>
      <c r="G39" s="197" t="s">
        <v>6863</v>
      </c>
      <c r="H39" s="196">
        <f>0.5*(H40+H41)*I39</f>
        <v>4537.5</v>
      </c>
      <c r="I39" s="228">
        <f>POWER(SI!E3,2)</f>
        <v>1</v>
      </c>
      <c r="J39" s="81" t="s">
        <v>39</v>
      </c>
      <c r="K39" s="295" t="s">
        <v>822</v>
      </c>
      <c r="L39" s="286">
        <f>0.45905*M39</f>
        <v>0.45905000000000001</v>
      </c>
      <c r="M39" s="210">
        <f>SI!E2</f>
        <v>1</v>
      </c>
      <c r="N39" s="288" t="s">
        <v>23</v>
      </c>
      <c r="O39" s="79" t="s">
        <v>1189</v>
      </c>
      <c r="P39" s="80">
        <f>0.005324*Q39</f>
        <v>5.3239999999999997E-3</v>
      </c>
      <c r="Q39" s="93">
        <f>POWER(SI!E3,3)</f>
        <v>1</v>
      </c>
      <c r="R39" s="81" t="s">
        <v>33</v>
      </c>
      <c r="S39" s="143" t="s">
        <v>4426</v>
      </c>
      <c r="T39" s="157">
        <f>POWER(D39,3)*U39</f>
        <v>3.7037037037037035E-2</v>
      </c>
      <c r="U39" s="141">
        <f>POWER(SI!E3,3)</f>
        <v>1</v>
      </c>
      <c r="V39" s="114" t="s">
        <v>33</v>
      </c>
    </row>
    <row r="40" spans="1:22" ht="16.5">
      <c r="A40" s="283"/>
      <c r="B40" s="305"/>
      <c r="C40" s="291"/>
      <c r="D40" s="280"/>
      <c r="E40" s="210"/>
      <c r="F40" s="289"/>
      <c r="G40" s="197" t="s">
        <v>6862</v>
      </c>
      <c r="H40" s="77">
        <f>3025*I40</f>
        <v>3025</v>
      </c>
      <c r="I40" s="210">
        <f>POWER(SI!E3,2)</f>
        <v>1</v>
      </c>
      <c r="J40" s="81" t="s">
        <v>39</v>
      </c>
      <c r="K40" s="291"/>
      <c r="L40" s="280"/>
      <c r="M40" s="210"/>
      <c r="N40" s="289"/>
      <c r="O40" s="79" t="s">
        <v>4431</v>
      </c>
      <c r="P40" s="80">
        <f>0.003524*Q40</f>
        <v>3.5239999999999998E-3</v>
      </c>
      <c r="Q40" s="93">
        <f>POWER(SI!E3,3)</f>
        <v>1</v>
      </c>
      <c r="R40" s="81" t="s">
        <v>33</v>
      </c>
      <c r="S40" s="143" t="s">
        <v>4423</v>
      </c>
      <c r="T40" s="255">
        <f>0.004076*U40</f>
        <v>4.0759999999999998E-3</v>
      </c>
      <c r="U40" s="141">
        <f>POWER(SI!E3,3)</f>
        <v>1</v>
      </c>
      <c r="V40" s="114" t="s">
        <v>33</v>
      </c>
    </row>
    <row r="41" spans="1:22" ht="16.5">
      <c r="A41" s="283"/>
      <c r="B41" s="305"/>
      <c r="C41" s="291"/>
      <c r="D41" s="280"/>
      <c r="E41" s="210"/>
      <c r="F41" s="289"/>
      <c r="G41" s="197" t="s">
        <v>6861</v>
      </c>
      <c r="H41" s="77">
        <f>6050*I41</f>
        <v>6050</v>
      </c>
      <c r="I41" s="210">
        <f>POWER(SI!E3,2)</f>
        <v>1</v>
      </c>
      <c r="J41" s="81" t="s">
        <v>39</v>
      </c>
      <c r="K41" s="291"/>
      <c r="L41" s="280"/>
      <c r="M41" s="210"/>
      <c r="N41" s="289"/>
      <c r="O41" s="79" t="s">
        <v>6944</v>
      </c>
      <c r="P41" s="80">
        <f>0.003626*Q41</f>
        <v>3.6259999999999999E-3</v>
      </c>
      <c r="Q41" s="93">
        <f>POWER(SI!E3,3)</f>
        <v>1</v>
      </c>
      <c r="R41" s="81" t="s">
        <v>33</v>
      </c>
      <c r="S41" s="143"/>
      <c r="T41" s="157"/>
      <c r="U41" s="141"/>
      <c r="V41" s="114"/>
    </row>
    <row r="42" spans="1:22" ht="16.5">
      <c r="A42" s="283"/>
      <c r="B42" s="305"/>
      <c r="C42" s="291"/>
      <c r="D42" s="280"/>
      <c r="E42" s="210"/>
      <c r="F42" s="289"/>
      <c r="G42" s="197" t="s">
        <v>6860</v>
      </c>
      <c r="H42" s="77">
        <f>0.5*(H43+H44)*I42</f>
        <v>3500</v>
      </c>
      <c r="I42" s="210">
        <f>POWER(SI!E3,2)</f>
        <v>1</v>
      </c>
      <c r="J42" s="81" t="s">
        <v>39</v>
      </c>
      <c r="K42" s="291"/>
      <c r="L42" s="280"/>
      <c r="M42" s="210"/>
      <c r="N42" s="289"/>
      <c r="O42" s="79"/>
      <c r="P42" s="80"/>
      <c r="Q42" s="93"/>
      <c r="R42" s="81"/>
      <c r="S42" s="143"/>
      <c r="T42" s="157"/>
      <c r="U42" s="141"/>
      <c r="V42" s="114"/>
    </row>
    <row r="43" spans="1:22" ht="16.5">
      <c r="A43" s="283"/>
      <c r="B43" s="305"/>
      <c r="C43" s="291"/>
      <c r="D43" s="280"/>
      <c r="E43" s="210"/>
      <c r="F43" s="289"/>
      <c r="G43" s="197" t="s">
        <v>6859</v>
      </c>
      <c r="H43" s="141">
        <f>3000*I43</f>
        <v>3000</v>
      </c>
      <c r="I43" s="141">
        <f>POWER(SI!E3,2)</f>
        <v>1</v>
      </c>
      <c r="J43" s="81" t="s">
        <v>39</v>
      </c>
      <c r="K43" s="291"/>
      <c r="L43" s="280"/>
      <c r="M43" s="210"/>
      <c r="N43" s="289"/>
      <c r="O43" s="49"/>
      <c r="P43" s="48"/>
      <c r="Q43" s="48"/>
      <c r="R43" s="50"/>
      <c r="S43" s="143"/>
      <c r="T43" s="157"/>
      <c r="U43" s="141"/>
      <c r="V43" s="114"/>
    </row>
    <row r="44" spans="1:22" ht="16.5">
      <c r="A44" s="283"/>
      <c r="B44" s="305"/>
      <c r="C44" s="291"/>
      <c r="D44" s="280"/>
      <c r="E44" s="210"/>
      <c r="F44" s="289"/>
      <c r="G44" s="197" t="s">
        <v>6858</v>
      </c>
      <c r="H44" s="141">
        <f>4000*I44</f>
        <v>4000</v>
      </c>
      <c r="I44" s="141">
        <f>POWER(SI!E3,2)</f>
        <v>1</v>
      </c>
      <c r="J44" s="81" t="s">
        <v>39</v>
      </c>
      <c r="K44" s="291"/>
      <c r="L44" s="280"/>
      <c r="M44" s="210"/>
      <c r="N44" s="289"/>
      <c r="O44" s="49"/>
      <c r="P44" s="48"/>
      <c r="Q44" s="48"/>
      <c r="R44" s="50"/>
      <c r="S44" s="143"/>
      <c r="T44" s="157"/>
      <c r="U44" s="141"/>
      <c r="V44" s="114"/>
    </row>
    <row r="45" spans="1:22" ht="16.5">
      <c r="A45" t="s">
        <v>724</v>
      </c>
      <c r="B45" t="s">
        <v>460</v>
      </c>
      <c r="C45" s="43" t="s">
        <v>911</v>
      </c>
      <c r="D45" s="96">
        <f>0.5588*E45</f>
        <v>0.55879999999999996</v>
      </c>
      <c r="E45">
        <f>SI!E3</f>
        <v>1</v>
      </c>
      <c r="F45" s="36" t="s">
        <v>14</v>
      </c>
      <c r="G45" s="43" t="s">
        <v>4444</v>
      </c>
      <c r="H45">
        <f>POWER(D45,2)*I45</f>
        <v>0.31225743999999994</v>
      </c>
      <c r="I45">
        <f>POWER(SI!E3,2)</f>
        <v>1</v>
      </c>
      <c r="J45" s="124" t="s">
        <v>39</v>
      </c>
      <c r="K45" s="43" t="s">
        <v>912</v>
      </c>
      <c r="L45" s="96">
        <f>0.544*M45</f>
        <v>0.54400000000000004</v>
      </c>
      <c r="M45">
        <f>SI!E2</f>
        <v>1</v>
      </c>
      <c r="N45" s="36" t="s">
        <v>23</v>
      </c>
      <c r="O45" s="43" t="s">
        <v>913</v>
      </c>
      <c r="P45">
        <f>0.000505*Q45</f>
        <v>5.0500000000000002E-4</v>
      </c>
      <c r="Q45">
        <f>POWER(SI!E3,3)</f>
        <v>1</v>
      </c>
      <c r="R45" s="36" t="s">
        <v>33</v>
      </c>
      <c r="S45" s="43" t="s">
        <v>4445</v>
      </c>
      <c r="T45" s="71">
        <f>POWER(D45,3)*U45</f>
        <v>0.17448945747199995</v>
      </c>
      <c r="U45">
        <f>POWER(SI!E3,3)</f>
        <v>1</v>
      </c>
      <c r="V45" s="97" t="s">
        <v>33</v>
      </c>
    </row>
    <row r="46" spans="1:22" ht="16.5">
      <c r="A46" s="78" t="s">
        <v>725</v>
      </c>
      <c r="B46" s="82" t="s">
        <v>501</v>
      </c>
      <c r="C46" s="79" t="s">
        <v>916</v>
      </c>
      <c r="D46" s="80">
        <f>1*E46</f>
        <v>1</v>
      </c>
      <c r="E46" s="93">
        <f>SI!E3</f>
        <v>1</v>
      </c>
      <c r="F46" s="81" t="s">
        <v>14</v>
      </c>
      <c r="G46" s="79" t="s">
        <v>4448</v>
      </c>
      <c r="H46" s="80">
        <f>POWER(D46,2)*I46</f>
        <v>1</v>
      </c>
      <c r="I46" s="93">
        <f>POWER(SI!E3,2)</f>
        <v>1</v>
      </c>
      <c r="J46" s="81" t="s">
        <v>39</v>
      </c>
      <c r="K46" s="79" t="s">
        <v>917</v>
      </c>
      <c r="L46" s="80">
        <f>0.6*M46</f>
        <v>0.6</v>
      </c>
      <c r="M46" s="93">
        <f>SI!E2</f>
        <v>1</v>
      </c>
      <c r="N46" s="81" t="s">
        <v>23</v>
      </c>
      <c r="O46" s="79" t="s">
        <v>918</v>
      </c>
      <c r="P46" s="80">
        <f>0.04*Q46</f>
        <v>0.04</v>
      </c>
      <c r="Q46" s="93">
        <f>POWER(SI!E3,3)</f>
        <v>1</v>
      </c>
      <c r="R46" s="81" t="s">
        <v>33</v>
      </c>
      <c r="S46" s="79" t="s">
        <v>4449</v>
      </c>
      <c r="T46" s="80">
        <f>POWER(D46,3)*U46</f>
        <v>1</v>
      </c>
      <c r="U46" s="93">
        <f>POWER(SI!E3,3)</f>
        <v>1</v>
      </c>
      <c r="V46" s="81" t="s">
        <v>33</v>
      </c>
    </row>
    <row r="47" spans="1:22" ht="16.5">
      <c r="A47" s="283" t="s">
        <v>726</v>
      </c>
      <c r="B47" s="298" t="s">
        <v>522</v>
      </c>
      <c r="C47" s="43" t="s">
        <v>4465</v>
      </c>
      <c r="D47" s="96">
        <f>0.464*E47</f>
        <v>0.46400000000000002</v>
      </c>
      <c r="E47">
        <f>SI!E3</f>
        <v>1</v>
      </c>
      <c r="F47" s="36" t="s">
        <v>14</v>
      </c>
      <c r="G47" s="43" t="s">
        <v>4467</v>
      </c>
      <c r="H47" s="27">
        <f>POWER(D47,2)</f>
        <v>0.21529600000000002</v>
      </c>
      <c r="I47" s="27">
        <f>POWER(SI!E3,2)</f>
        <v>1</v>
      </c>
      <c r="J47" s="124" t="s">
        <v>39</v>
      </c>
      <c r="K47" s="290" t="s">
        <v>910</v>
      </c>
      <c r="L47" s="283">
        <f>0.283495*M47</f>
        <v>0.283495</v>
      </c>
      <c r="M47" s="283">
        <f>SI!E2</f>
        <v>1</v>
      </c>
      <c r="N47" s="279" t="s">
        <v>23</v>
      </c>
      <c r="O47" s="43" t="s">
        <v>4487</v>
      </c>
      <c r="P47" s="27">
        <f>POWER(D47,3)*Q47</f>
        <v>9.9897344000000013E-2</v>
      </c>
      <c r="Q47" s="27">
        <f>POWER(SI!E3,3)</f>
        <v>1</v>
      </c>
      <c r="R47" s="36" t="s">
        <v>33</v>
      </c>
      <c r="S47" s="290" t="s">
        <v>2874</v>
      </c>
      <c r="T47" s="283">
        <v>2.6489999999999999E-4</v>
      </c>
      <c r="U47" s="283">
        <f>POWER(SI!E3,3)</f>
        <v>1</v>
      </c>
      <c r="V47" s="279" t="s">
        <v>33</v>
      </c>
    </row>
    <row r="48" spans="1:22" ht="16.5">
      <c r="A48" s="283"/>
      <c r="B48" s="298"/>
      <c r="C48" s="43" t="s">
        <v>4466</v>
      </c>
      <c r="D48" s="96">
        <f>0.472*E48</f>
        <v>0.47199999999999998</v>
      </c>
      <c r="E48">
        <f>SI!E3</f>
        <v>1</v>
      </c>
      <c r="F48" s="36" t="s">
        <v>14</v>
      </c>
      <c r="G48" s="43" t="s">
        <v>4468</v>
      </c>
      <c r="H48" s="27">
        <f>POWER(D48,2)</f>
        <v>0.22278399999999998</v>
      </c>
      <c r="I48" s="27">
        <f>POWER(SI!E3,2)</f>
        <v>1</v>
      </c>
      <c r="J48" s="124" t="s">
        <v>39</v>
      </c>
      <c r="K48" s="290"/>
      <c r="L48" s="283"/>
      <c r="M48" s="283"/>
      <c r="N48" s="279"/>
      <c r="O48" s="43" t="s">
        <v>4488</v>
      </c>
      <c r="P48" s="27">
        <f>POWER(D48,3)*Q48</f>
        <v>0.10515404799999999</v>
      </c>
      <c r="Q48" s="27">
        <f>POWER(SI!E3,3)</f>
        <v>1</v>
      </c>
      <c r="R48" s="36" t="s">
        <v>33</v>
      </c>
      <c r="S48" s="290"/>
      <c r="T48" s="283"/>
      <c r="U48" s="283"/>
      <c r="V48" s="279"/>
    </row>
    <row r="49" spans="1:22" ht="16.5">
      <c r="A49" s="78" t="s">
        <v>728</v>
      </c>
      <c r="B49" s="93" t="s">
        <v>437</v>
      </c>
      <c r="C49" s="79" t="s">
        <v>932</v>
      </c>
      <c r="D49" s="80">
        <f>0.836*E49</f>
        <v>0.83599999999999997</v>
      </c>
      <c r="E49" s="93">
        <f>SI!E3</f>
        <v>1</v>
      </c>
      <c r="F49" s="81" t="s">
        <v>14</v>
      </c>
      <c r="G49" s="79" t="s">
        <v>4493</v>
      </c>
      <c r="H49" s="80">
        <f>POWER(D49,2)*I49</f>
        <v>0.69889599999999996</v>
      </c>
      <c r="I49" s="93">
        <f>POWER(SI!E3,2)</f>
        <v>1</v>
      </c>
      <c r="J49" s="81" t="s">
        <v>39</v>
      </c>
      <c r="K49" s="79" t="s">
        <v>820</v>
      </c>
      <c r="L49" s="80">
        <f>0.460093*M49</f>
        <v>0.46009299999999997</v>
      </c>
      <c r="M49" s="93">
        <f>SI!E2</f>
        <v>1</v>
      </c>
      <c r="N49" s="81" t="s">
        <v>23</v>
      </c>
      <c r="O49" s="79" t="s">
        <v>825</v>
      </c>
      <c r="P49" s="80">
        <f>0.008083*Q49</f>
        <v>8.0829999999999999E-3</v>
      </c>
      <c r="Q49" s="93">
        <f>POWER(SI!E3,3)</f>
        <v>1</v>
      </c>
      <c r="R49" s="81" t="s">
        <v>33</v>
      </c>
      <c r="S49" s="79" t="s">
        <v>4494</v>
      </c>
      <c r="T49" s="80">
        <f>POWER(D49,3)*U49</f>
        <v>0.58427705599999991</v>
      </c>
      <c r="U49" s="93">
        <f>POWER(SI!E3,3)</f>
        <v>1</v>
      </c>
      <c r="V49" s="81" t="s">
        <v>33</v>
      </c>
    </row>
    <row r="50" spans="1:22" ht="16.5">
      <c r="A50" s="283" t="s">
        <v>727</v>
      </c>
      <c r="B50" s="298" t="s">
        <v>134</v>
      </c>
      <c r="C50" s="43" t="s">
        <v>789</v>
      </c>
      <c r="D50">
        <f>0.32*E50</f>
        <v>0.32</v>
      </c>
      <c r="E50">
        <f>SI!E3</f>
        <v>1</v>
      </c>
      <c r="F50" s="36" t="s">
        <v>14</v>
      </c>
      <c r="G50" s="43" t="s">
        <v>790</v>
      </c>
      <c r="H50">
        <f>6000*POWER(D50,2)*I50</f>
        <v>614.4</v>
      </c>
      <c r="I50">
        <f>POWER(SI!E3,2)</f>
        <v>1</v>
      </c>
      <c r="J50" s="36" t="s">
        <v>39</v>
      </c>
      <c r="K50" s="43" t="s">
        <v>791</v>
      </c>
      <c r="L50">
        <f>0.596816*M50</f>
        <v>0.59681600000000001</v>
      </c>
      <c r="M50">
        <f>SI!E2</f>
        <v>1</v>
      </c>
      <c r="N50" s="36" t="s">
        <v>23</v>
      </c>
      <c r="O50" s="43" t="s">
        <v>792</v>
      </c>
      <c r="P50" s="160">
        <f>0.0010354688*Q50</f>
        <v>1.0354687999999999E-3</v>
      </c>
      <c r="Q50" s="42">
        <f>POWER(SI!E3,3)</f>
        <v>1</v>
      </c>
      <c r="R50" s="36" t="s">
        <v>33</v>
      </c>
      <c r="S50" s="43" t="s">
        <v>4506</v>
      </c>
      <c r="T50" s="174">
        <f>POWER(D50,3)*U50</f>
        <v>3.2768000000000005E-2</v>
      </c>
      <c r="U50">
        <f>POWER(SI!E3,3)</f>
        <v>1</v>
      </c>
      <c r="V50" s="97" t="s">
        <v>33</v>
      </c>
    </row>
    <row r="51" spans="1:22" ht="16.5">
      <c r="A51" s="283"/>
      <c r="B51" s="298"/>
      <c r="C51" s="43" t="s">
        <v>1025</v>
      </c>
      <c r="D51">
        <f>0.371475*E51</f>
        <v>0.371475</v>
      </c>
      <c r="E51">
        <f>SI!E3</f>
        <v>1</v>
      </c>
      <c r="F51" s="36" t="s">
        <v>14</v>
      </c>
      <c r="G51" s="43" t="s">
        <v>4503</v>
      </c>
      <c r="H51">
        <f>0.1024*I51</f>
        <v>0.1024</v>
      </c>
      <c r="I51">
        <f>POWER(SI!E3,2)</f>
        <v>1</v>
      </c>
      <c r="J51" s="36" t="s">
        <v>39</v>
      </c>
      <c r="K51" s="43"/>
      <c r="O51" s="43" t="s">
        <v>1027</v>
      </c>
      <c r="P51">
        <f>0.001031*Q51</f>
        <v>1.031E-3</v>
      </c>
      <c r="Q51">
        <f>POWER(SI!E3,3)</f>
        <v>1</v>
      </c>
      <c r="R51" s="36" t="s">
        <v>33</v>
      </c>
      <c r="S51" s="43"/>
      <c r="V51" s="46"/>
    </row>
    <row r="52" spans="1:22" ht="16.5">
      <c r="A52" s="283"/>
      <c r="B52" s="298"/>
      <c r="C52" s="43"/>
      <c r="G52" s="43" t="s">
        <v>1026</v>
      </c>
      <c r="H52">
        <f>761.4*I52</f>
        <v>761.4</v>
      </c>
      <c r="I52">
        <f>POWER(SI!E3,2)</f>
        <v>1</v>
      </c>
      <c r="J52" s="36" t="s">
        <v>39</v>
      </c>
      <c r="K52" s="43"/>
      <c r="O52" s="43"/>
      <c r="S52" s="43"/>
      <c r="V52" s="46"/>
    </row>
    <row r="53" spans="1:22" ht="16.5">
      <c r="A53" s="78" t="s">
        <v>931</v>
      </c>
      <c r="B53" s="93" t="s">
        <v>454</v>
      </c>
      <c r="C53" s="79" t="s">
        <v>821</v>
      </c>
      <c r="D53" s="80">
        <f>0.8*E53</f>
        <v>0.8</v>
      </c>
      <c r="E53" s="93">
        <f>SI!E3</f>
        <v>1</v>
      </c>
      <c r="F53" s="81" t="s">
        <v>14</v>
      </c>
      <c r="G53" s="79" t="s">
        <v>4513</v>
      </c>
      <c r="H53" s="80">
        <f>POWER(D53,2)</f>
        <v>0.64000000000000012</v>
      </c>
      <c r="I53" s="93">
        <f>POWER(SI!E3,2)</f>
        <v>1</v>
      </c>
      <c r="J53" s="81" t="s">
        <v>39</v>
      </c>
      <c r="K53" s="79" t="s">
        <v>820</v>
      </c>
      <c r="L53" s="80">
        <f>0.5*M53</f>
        <v>0.5</v>
      </c>
      <c r="M53" s="93">
        <f>SI!E2</f>
        <v>1</v>
      </c>
      <c r="N53" s="81" t="s">
        <v>23</v>
      </c>
      <c r="O53" s="79" t="s">
        <v>4514</v>
      </c>
      <c r="P53" s="80">
        <f>POWER(D53,3)*Q53</f>
        <v>0.51200000000000012</v>
      </c>
      <c r="Q53" s="93">
        <f>POWER(SI!E3,3)</f>
        <v>1</v>
      </c>
      <c r="R53" s="81" t="s">
        <v>33</v>
      </c>
      <c r="S53" s="79" t="s">
        <v>4514</v>
      </c>
      <c r="T53" s="80">
        <f>POWER(D53,3)*U53</f>
        <v>0.51200000000000012</v>
      </c>
      <c r="U53" s="93">
        <f>POWER(SI!E3,3)</f>
        <v>1</v>
      </c>
      <c r="V53" s="81" t="s">
        <v>33</v>
      </c>
    </row>
    <row r="54" spans="1:22" ht="16.5">
      <c r="A54" s="283" t="s">
        <v>729</v>
      </c>
      <c r="B54" s="298" t="s">
        <v>486</v>
      </c>
      <c r="C54" s="290" t="s">
        <v>821</v>
      </c>
      <c r="D54" s="283">
        <f>0.8393*E54</f>
        <v>0.83930000000000005</v>
      </c>
      <c r="E54" s="283">
        <f>SI!E3</f>
        <v>1</v>
      </c>
      <c r="F54" s="279" t="s">
        <v>14</v>
      </c>
      <c r="G54" s="290" t="s">
        <v>930</v>
      </c>
      <c r="H54" s="283">
        <f>7044.2449*I54</f>
        <v>7044.2448999999997</v>
      </c>
      <c r="I54" s="283">
        <f>POWER(SI!E3,2)</f>
        <v>1</v>
      </c>
      <c r="J54" s="279" t="s">
        <v>39</v>
      </c>
      <c r="K54" s="290" t="s">
        <v>823</v>
      </c>
      <c r="L54" s="283">
        <f>92*M54</f>
        <v>92</v>
      </c>
      <c r="M54" s="283">
        <f>SI!E2</f>
        <v>1</v>
      </c>
      <c r="N54" s="279" t="s">
        <v>23</v>
      </c>
      <c r="O54" s="43" t="s">
        <v>6875</v>
      </c>
      <c r="P54" s="120">
        <f>0.00065*Q54</f>
        <v>6.4999999999999997E-4</v>
      </c>
      <c r="Q54" s="189">
        <f>POWER(SI!E3,3)</f>
        <v>1</v>
      </c>
      <c r="R54" s="36" t="s">
        <v>33</v>
      </c>
      <c r="S54" s="290" t="s">
        <v>4514</v>
      </c>
      <c r="T54" s="283">
        <f>POWER(D54,3)*U54</f>
        <v>0.59122347445700008</v>
      </c>
      <c r="U54" s="283">
        <f>POWER(SI!E3,3)</f>
        <v>1</v>
      </c>
      <c r="V54" s="279" t="s">
        <v>33</v>
      </c>
    </row>
    <row r="55" spans="1:22" ht="16.5">
      <c r="A55" s="283"/>
      <c r="B55" s="298"/>
      <c r="C55" s="290"/>
      <c r="D55" s="283"/>
      <c r="E55" s="283"/>
      <c r="F55" s="279"/>
      <c r="G55" s="290"/>
      <c r="H55" s="283"/>
      <c r="I55" s="283"/>
      <c r="J55" s="279"/>
      <c r="K55" s="290"/>
      <c r="L55" s="283"/>
      <c r="M55" s="283"/>
      <c r="N55" s="279"/>
      <c r="O55" s="43" t="s">
        <v>6876</v>
      </c>
      <c r="P55" s="120">
        <f>0.00063*Q55</f>
        <v>6.3000000000000003E-4</v>
      </c>
      <c r="Q55" s="189">
        <f>POWER(SI!E3,3)</f>
        <v>1</v>
      </c>
      <c r="R55" s="36" t="s">
        <v>33</v>
      </c>
      <c r="S55" s="290"/>
      <c r="T55" s="283"/>
      <c r="U55" s="283"/>
      <c r="V55" s="279"/>
    </row>
    <row r="56" spans="1:22" ht="16.5">
      <c r="A56" s="283"/>
      <c r="B56" s="298"/>
      <c r="C56" s="290"/>
      <c r="D56" s="283"/>
      <c r="E56" s="283"/>
      <c r="F56" s="279"/>
      <c r="G56" s="290"/>
      <c r="H56" s="283"/>
      <c r="I56" s="283"/>
      <c r="J56" s="279"/>
      <c r="K56" s="290"/>
      <c r="L56" s="283"/>
      <c r="M56" s="283"/>
      <c r="N56" s="279"/>
      <c r="O56" s="43" t="s">
        <v>6877</v>
      </c>
      <c r="P56" s="120">
        <f>0.00067*Q56</f>
        <v>6.7000000000000002E-4</v>
      </c>
      <c r="Q56" s="189">
        <f>POWER(SI!E3,3)</f>
        <v>1</v>
      </c>
      <c r="R56" s="36" t="s">
        <v>33</v>
      </c>
      <c r="S56" s="290"/>
      <c r="T56" s="283"/>
      <c r="U56" s="283"/>
      <c r="V56" s="279"/>
    </row>
    <row r="57" spans="1:22" ht="16.5">
      <c r="A57" s="48" t="s">
        <v>730</v>
      </c>
      <c r="B57" s="48" t="s">
        <v>474</v>
      </c>
      <c r="C57" s="79" t="s">
        <v>821</v>
      </c>
      <c r="D57" s="80">
        <f>0.8479536*E57</f>
        <v>0.84795359999999997</v>
      </c>
      <c r="E57" s="93">
        <f>SI!E3</f>
        <v>1</v>
      </c>
      <c r="F57" s="81" t="s">
        <v>14</v>
      </c>
      <c r="G57" s="79" t="s">
        <v>928</v>
      </c>
      <c r="H57" s="80">
        <f>134202*I57</f>
        <v>134202</v>
      </c>
      <c r="I57" s="93">
        <f>POWER(SI!E3,2)</f>
        <v>1</v>
      </c>
      <c r="J57" s="81" t="s">
        <v>39</v>
      </c>
      <c r="K57" s="79" t="s">
        <v>822</v>
      </c>
      <c r="L57" s="245">
        <f>0.453592338*1.0161*M57</f>
        <v>0.46089517464179997</v>
      </c>
      <c r="M57" s="93">
        <f>SI!E2</f>
        <v>1</v>
      </c>
      <c r="N57" s="81" t="s">
        <v>23</v>
      </c>
      <c r="O57" s="79" t="s">
        <v>929</v>
      </c>
      <c r="P57" s="80">
        <f>0.13627*Q57</f>
        <v>0.13627</v>
      </c>
      <c r="Q57" s="93">
        <f>POWER(SI!E3,3)</f>
        <v>1</v>
      </c>
      <c r="R57" s="81" t="s">
        <v>33</v>
      </c>
      <c r="S57" s="79" t="s">
        <v>823</v>
      </c>
      <c r="T57" s="165">
        <f>1.599*8*0.00440488377086*U57</f>
        <v>5.6347273196841116E-2</v>
      </c>
      <c r="U57" s="222">
        <f>POWER(SI!E3,3)</f>
        <v>1</v>
      </c>
      <c r="V57" s="81" t="s">
        <v>33</v>
      </c>
    </row>
    <row r="58" spans="1:22" ht="16.5">
      <c r="A58" t="s">
        <v>731</v>
      </c>
      <c r="B58" s="98" t="s">
        <v>443</v>
      </c>
      <c r="C58" s="95" t="s">
        <v>835</v>
      </c>
      <c r="D58" s="96">
        <f>0.6096*E58</f>
        <v>0.60960000000000003</v>
      </c>
      <c r="E58" s="146">
        <f>SI!E3</f>
        <v>1</v>
      </c>
      <c r="F58" s="97" t="s">
        <v>14</v>
      </c>
      <c r="G58" s="95" t="s">
        <v>836</v>
      </c>
      <c r="H58" s="101">
        <f>POWER(60*D58,2)*I58</f>
        <v>1337.803776</v>
      </c>
      <c r="I58" s="229">
        <f>POWER(SI!E3,2)</f>
        <v>1</v>
      </c>
      <c r="J58" s="97" t="s">
        <v>39</v>
      </c>
      <c r="K58" s="95" t="s">
        <v>837</v>
      </c>
      <c r="L58" s="96">
        <f>1.270058636*M58</f>
        <v>1.2700586359999999</v>
      </c>
      <c r="M58" s="146">
        <f>SI!E2</f>
        <v>1</v>
      </c>
      <c r="N58" s="97" t="s">
        <v>23</v>
      </c>
      <c r="O58" s="95" t="s">
        <v>837</v>
      </c>
      <c r="P58" s="96">
        <f>0.00127855*Q58</f>
        <v>1.27855E-3</v>
      </c>
      <c r="Q58" s="146">
        <f>POWER(SI!E3,3)</f>
        <v>1</v>
      </c>
      <c r="R58" s="97" t="s">
        <v>33</v>
      </c>
      <c r="S58" s="95" t="s">
        <v>4346</v>
      </c>
      <c r="T58" s="96">
        <f>POWER(D58,3)*U58</f>
        <v>0.22653477273600003</v>
      </c>
      <c r="U58" s="146">
        <f>POWER(SI!E3,3)</f>
        <v>1</v>
      </c>
      <c r="V58" s="97" t="s">
        <v>33</v>
      </c>
    </row>
    <row r="59" spans="1:22" ht="14.4" customHeight="1">
      <c r="A59" s="306" t="s">
        <v>732</v>
      </c>
      <c r="B59" s="307" t="s">
        <v>544</v>
      </c>
      <c r="C59" s="59" t="s">
        <v>4531</v>
      </c>
      <c r="D59" s="60">
        <f>0.296*E59</f>
        <v>0.29599999999999999</v>
      </c>
      <c r="E59" s="214">
        <f>SI!E3</f>
        <v>1</v>
      </c>
      <c r="F59" s="61" t="s">
        <v>14</v>
      </c>
      <c r="G59" s="295" t="s">
        <v>845</v>
      </c>
      <c r="H59" s="286">
        <f>2000*I59</f>
        <v>2000</v>
      </c>
      <c r="I59" s="210">
        <f>POWER(SI!E3,2)</f>
        <v>1</v>
      </c>
      <c r="J59" s="288" t="s">
        <v>39</v>
      </c>
      <c r="K59" s="295" t="s">
        <v>2357</v>
      </c>
      <c r="L59" s="286">
        <v>50</v>
      </c>
      <c r="M59" s="210">
        <f>SI!E2</f>
        <v>1</v>
      </c>
      <c r="N59" s="288" t="s">
        <v>23</v>
      </c>
      <c r="O59" s="295" t="s">
        <v>845</v>
      </c>
      <c r="P59" s="286">
        <f>0.0706*Q59</f>
        <v>7.0599999999999996E-2</v>
      </c>
      <c r="Q59" s="210">
        <f>POWER(SI!E3,3)</f>
        <v>1</v>
      </c>
      <c r="R59" s="288" t="s">
        <v>33</v>
      </c>
      <c r="S59" s="59" t="s">
        <v>4535</v>
      </c>
      <c r="T59" s="77">
        <f>POWER(D59,3)*U59</f>
        <v>2.5934335999999995E-2</v>
      </c>
      <c r="U59" s="210">
        <f>POWER(SI!E3,3)</f>
        <v>1</v>
      </c>
      <c r="V59" s="81" t="s">
        <v>33</v>
      </c>
    </row>
    <row r="60" spans="1:22" ht="16.5">
      <c r="A60" s="306"/>
      <c r="B60" s="307"/>
      <c r="C60" s="53" t="s">
        <v>4533</v>
      </c>
      <c r="D60" s="54">
        <f>0.2965*E60</f>
        <v>0.29649999999999999</v>
      </c>
      <c r="E60" s="215">
        <f>SI!E3</f>
        <v>1</v>
      </c>
      <c r="F60" s="55" t="s">
        <v>14</v>
      </c>
      <c r="G60" s="295"/>
      <c r="H60" s="286"/>
      <c r="I60" s="210"/>
      <c r="J60" s="307"/>
      <c r="K60" s="295"/>
      <c r="L60" s="286"/>
      <c r="M60" s="210"/>
      <c r="N60" s="288"/>
      <c r="O60" s="295"/>
      <c r="P60" s="286"/>
      <c r="Q60" s="210"/>
      <c r="R60" s="288"/>
      <c r="S60" s="53" t="s">
        <v>4536</v>
      </c>
      <c r="T60" s="77">
        <f>POWER(D60,3)*U60</f>
        <v>2.6065982124999998E-2</v>
      </c>
      <c r="U60" s="210">
        <f>POWER(SI!E3,3)</f>
        <v>1</v>
      </c>
      <c r="V60" s="81" t="s">
        <v>33</v>
      </c>
    </row>
    <row r="61" spans="1:22" ht="16.5">
      <c r="A61" s="306"/>
      <c r="B61" s="307"/>
      <c r="C61" s="53" t="s">
        <v>4532</v>
      </c>
      <c r="D61" s="54">
        <f>0.284*E61</f>
        <v>0.28399999999999997</v>
      </c>
      <c r="E61" s="215">
        <f>SI!E3</f>
        <v>1</v>
      </c>
      <c r="F61" s="55" t="s">
        <v>14</v>
      </c>
      <c r="G61" s="295"/>
      <c r="H61" s="286"/>
      <c r="I61" s="210"/>
      <c r="J61" s="307"/>
      <c r="K61" s="295"/>
      <c r="L61" s="286"/>
      <c r="M61" s="210"/>
      <c r="N61" s="288"/>
      <c r="O61" s="295"/>
      <c r="P61" s="286"/>
      <c r="Q61" s="210"/>
      <c r="R61" s="288"/>
      <c r="S61" s="53" t="s">
        <v>6878</v>
      </c>
      <c r="T61" s="77">
        <f>POWER(D61,3)*U61</f>
        <v>2.2906303999999995E-2</v>
      </c>
      <c r="U61" s="210">
        <f>POWER(SI!E3,3)</f>
        <v>1</v>
      </c>
      <c r="V61" s="81" t="s">
        <v>33</v>
      </c>
    </row>
    <row r="62" spans="1:22" ht="16.5">
      <c r="A62" s="306"/>
      <c r="B62" s="307"/>
      <c r="C62" s="56" t="s">
        <v>4534</v>
      </c>
      <c r="D62" s="57">
        <f>0.2895*E62</f>
        <v>0.28949999999999998</v>
      </c>
      <c r="E62" s="216">
        <f>SI!E3</f>
        <v>1</v>
      </c>
      <c r="F62" s="58" t="s">
        <v>14</v>
      </c>
      <c r="G62" s="295"/>
      <c r="H62" s="286"/>
      <c r="I62" s="210"/>
      <c r="J62" s="307"/>
      <c r="K62" s="295"/>
      <c r="L62" s="286"/>
      <c r="M62" s="210"/>
      <c r="N62" s="288"/>
      <c r="O62" s="295"/>
      <c r="P62" s="286"/>
      <c r="Q62" s="210"/>
      <c r="R62" s="288"/>
      <c r="S62" s="56" t="s">
        <v>4537</v>
      </c>
      <c r="T62" s="77">
        <f>POWER(D62,3)*U62</f>
        <v>2.4263067374999996E-2</v>
      </c>
      <c r="U62" s="210">
        <f>POWER(SI!E3,3)</f>
        <v>1</v>
      </c>
      <c r="V62" s="81" t="s">
        <v>33</v>
      </c>
    </row>
    <row r="63" spans="1:22" ht="16.5">
      <c r="A63" s="283" t="s">
        <v>733</v>
      </c>
      <c r="B63" s="302" t="s">
        <v>435</v>
      </c>
      <c r="C63" s="28" t="s">
        <v>855</v>
      </c>
      <c r="D63" s="27">
        <f>0.313857*E63</f>
        <v>0.313857</v>
      </c>
      <c r="E63" s="27">
        <f>SI!E3</f>
        <v>1</v>
      </c>
      <c r="F63" s="75" t="s">
        <v>14</v>
      </c>
      <c r="G63" s="95" t="s">
        <v>4538</v>
      </c>
      <c r="H63" s="102">
        <f>POWER(12*D63,2)*I63</f>
        <v>14.184895168655999</v>
      </c>
      <c r="I63" s="42">
        <f>POWER(SI!E3,2)</f>
        <v>1</v>
      </c>
      <c r="J63" s="36" t="s">
        <v>39</v>
      </c>
      <c r="K63" s="290" t="s">
        <v>858</v>
      </c>
      <c r="L63" s="283">
        <f>0.5*M63</f>
        <v>0.5</v>
      </c>
      <c r="M63" s="283">
        <f>SI!E2</f>
        <v>1</v>
      </c>
      <c r="N63" s="279" t="s">
        <v>23</v>
      </c>
      <c r="O63" s="290" t="s">
        <v>976</v>
      </c>
      <c r="P63" s="297">
        <f>(POWER(D63,3)/32)*Q63</f>
        <v>9.6615204925105599E-4</v>
      </c>
      <c r="Q63" s="282">
        <f>POWER(SI!E3,3)</f>
        <v>1</v>
      </c>
      <c r="R63" s="279" t="s">
        <v>33</v>
      </c>
      <c r="S63" s="290" t="s">
        <v>856</v>
      </c>
      <c r="T63" s="320">
        <f>4.5*POWER(D63,3)*U63</f>
        <v>0.13912589509215206</v>
      </c>
      <c r="U63" s="282">
        <f>POWER(SI!E3,3)</f>
        <v>1</v>
      </c>
      <c r="V63" s="279" t="s">
        <v>33</v>
      </c>
    </row>
    <row r="64" spans="1:22" ht="16.5">
      <c r="A64" s="283"/>
      <c r="B64" s="302"/>
      <c r="C64" s="28" t="s">
        <v>956</v>
      </c>
      <c r="D64" s="27">
        <f>7532.5*E64</f>
        <v>7532.5</v>
      </c>
      <c r="E64" s="27">
        <f>SI!E3</f>
        <v>1</v>
      </c>
      <c r="F64" s="75" t="s">
        <v>14</v>
      </c>
      <c r="G64" s="43" t="s">
        <v>857</v>
      </c>
      <c r="H64" s="187">
        <f>5516.23*I64</f>
        <v>5516.23</v>
      </c>
      <c r="I64" s="42">
        <f>POWER(SI!E3,2)</f>
        <v>1</v>
      </c>
      <c r="J64" s="36" t="s">
        <v>39</v>
      </c>
      <c r="K64" s="290"/>
      <c r="L64" s="283"/>
      <c r="M64" s="283"/>
      <c r="N64" s="279"/>
      <c r="O64" s="290"/>
      <c r="P64" s="297"/>
      <c r="Q64" s="283"/>
      <c r="R64" s="279"/>
      <c r="S64" s="290"/>
      <c r="T64" s="283"/>
      <c r="U64" s="283"/>
      <c r="V64" s="279"/>
    </row>
    <row r="65" spans="1:22" ht="14.4" customHeight="1">
      <c r="A65" s="306" t="s">
        <v>734</v>
      </c>
      <c r="B65" s="307" t="s">
        <v>35</v>
      </c>
      <c r="C65" s="295" t="s">
        <v>852</v>
      </c>
      <c r="D65" s="286">
        <f>0.2830594*E65</f>
        <v>0.28305940000000002</v>
      </c>
      <c r="E65" s="210">
        <f>SI!E3</f>
        <v>1</v>
      </c>
      <c r="F65" s="288" t="s">
        <v>14</v>
      </c>
      <c r="G65" s="295" t="s">
        <v>973</v>
      </c>
      <c r="H65" s="286">
        <f>8244.346*I65</f>
        <v>8244.3459999999995</v>
      </c>
      <c r="I65" s="210">
        <f>POWER(SI!E3,2)</f>
        <v>1</v>
      </c>
      <c r="J65" s="288" t="s">
        <v>39</v>
      </c>
      <c r="K65" s="59" t="s">
        <v>4561</v>
      </c>
      <c r="L65" s="60">
        <f>0.49409032*M65</f>
        <v>0.49409032000000003</v>
      </c>
      <c r="M65" s="214">
        <f>SI!E2</f>
        <v>1</v>
      </c>
      <c r="N65" s="61" t="s">
        <v>23</v>
      </c>
      <c r="O65" s="295" t="s">
        <v>854</v>
      </c>
      <c r="P65" s="286">
        <f>0.0012*Q65</f>
        <v>1.1999999999999999E-3</v>
      </c>
      <c r="Q65" s="210">
        <f>POWER(SI!E3,3)</f>
        <v>1</v>
      </c>
      <c r="R65" s="288" t="s">
        <v>33</v>
      </c>
      <c r="S65" s="295" t="s">
        <v>853</v>
      </c>
      <c r="T65" s="286">
        <f>0.02726*U65</f>
        <v>2.726E-2</v>
      </c>
      <c r="U65" s="210">
        <f>POWER(SI!E3,3)</f>
        <v>1</v>
      </c>
      <c r="V65" s="288" t="s">
        <v>33</v>
      </c>
    </row>
    <row r="66" spans="1:22">
      <c r="A66" s="306"/>
      <c r="B66" s="307"/>
      <c r="C66" s="295"/>
      <c r="D66" s="286"/>
      <c r="E66" s="210"/>
      <c r="F66" s="288"/>
      <c r="G66" s="295"/>
      <c r="H66" s="286"/>
      <c r="I66" s="210"/>
      <c r="J66" s="288"/>
      <c r="K66" s="53" t="s">
        <v>6866</v>
      </c>
      <c r="L66" s="54">
        <f>0.49216772*M66</f>
        <v>0.49216771999999998</v>
      </c>
      <c r="M66" s="215">
        <f>SI!E2</f>
        <v>1</v>
      </c>
      <c r="N66" s="55" t="s">
        <v>23</v>
      </c>
      <c r="O66" s="295"/>
      <c r="P66" s="286"/>
      <c r="Q66" s="210"/>
      <c r="R66" s="288"/>
      <c r="S66" s="295"/>
      <c r="T66" s="286"/>
      <c r="U66" s="210"/>
      <c r="V66" s="288"/>
    </row>
    <row r="67" spans="1:22">
      <c r="A67" s="306"/>
      <c r="B67" s="307"/>
      <c r="C67" s="295"/>
      <c r="D67" s="286"/>
      <c r="E67" s="210"/>
      <c r="F67" s="288"/>
      <c r="G67" s="295"/>
      <c r="H67" s="286"/>
      <c r="I67" s="210"/>
      <c r="J67" s="288"/>
      <c r="K67" s="56" t="s">
        <v>4562</v>
      </c>
      <c r="L67" s="103">
        <f>(3*0.49216772/4)*M67</f>
        <v>0.36912579000000001</v>
      </c>
      <c r="M67" s="221">
        <f>SI!E2</f>
        <v>1</v>
      </c>
      <c r="N67" s="58" t="s">
        <v>23</v>
      </c>
      <c r="O67" s="295"/>
      <c r="P67" s="286"/>
      <c r="Q67" s="210"/>
      <c r="R67" s="288"/>
      <c r="S67" s="295"/>
      <c r="T67" s="286"/>
      <c r="U67" s="210"/>
      <c r="V67" s="288"/>
    </row>
    <row r="68" spans="1:22" ht="16.5">
      <c r="A68" s="301" t="s">
        <v>735</v>
      </c>
      <c r="B68" s="302" t="s">
        <v>64</v>
      </c>
      <c r="C68" s="95" t="s">
        <v>6835</v>
      </c>
      <c r="D68" s="96">
        <f>0.5235*E68</f>
        <v>0.52349999999999997</v>
      </c>
      <c r="E68" s="146">
        <f>SI!E3</f>
        <v>1</v>
      </c>
      <c r="F68" s="97" t="s">
        <v>14</v>
      </c>
      <c r="G68" s="95" t="s">
        <v>796</v>
      </c>
      <c r="H68" s="101">
        <f>POWER(10*D68,2)*I68</f>
        <v>27.405224999999994</v>
      </c>
      <c r="I68" s="229">
        <f>POWER(SI!E3,2)</f>
        <v>1</v>
      </c>
      <c r="J68" s="97" t="s">
        <v>39</v>
      </c>
      <c r="K68" s="95" t="s">
        <v>797</v>
      </c>
      <c r="L68" s="101">
        <f>0.01365*M68</f>
        <v>1.3650000000000001E-2</v>
      </c>
      <c r="M68" s="229">
        <f>SI!E2</f>
        <v>1</v>
      </c>
      <c r="N68" s="97" t="s">
        <v>23</v>
      </c>
      <c r="O68" s="95"/>
      <c r="P68" s="96"/>
      <c r="Q68" s="146"/>
      <c r="R68" s="97"/>
      <c r="S68" s="95" t="s">
        <v>798</v>
      </c>
      <c r="T68" s="96">
        <f>0.034*U68</f>
        <v>3.4000000000000002E-2</v>
      </c>
      <c r="U68" s="146">
        <f>POWER(SI!E3,3)</f>
        <v>1</v>
      </c>
      <c r="V68" s="97" t="s">
        <v>33</v>
      </c>
    </row>
    <row r="69" spans="1:22" ht="16.5">
      <c r="A69" s="301"/>
      <c r="B69" s="302"/>
      <c r="C69" s="95" t="s">
        <v>892</v>
      </c>
      <c r="D69" s="96">
        <f>0.58*E69</f>
        <v>0.57999999999999996</v>
      </c>
      <c r="E69" s="146">
        <f>SI!E3</f>
        <v>1</v>
      </c>
      <c r="F69" s="97" t="s">
        <v>14</v>
      </c>
      <c r="G69" s="95" t="s">
        <v>4570</v>
      </c>
      <c r="H69" s="119">
        <f>4200.08*I69</f>
        <v>4200.08</v>
      </c>
      <c r="I69" s="229">
        <f>POWER(SI!E3,2)</f>
        <v>1</v>
      </c>
      <c r="J69" s="97" t="s">
        <v>39</v>
      </c>
      <c r="K69" s="95" t="s">
        <v>837</v>
      </c>
      <c r="L69" s="101">
        <f>1.248*M69</f>
        <v>1.248</v>
      </c>
      <c r="M69" s="229">
        <f>SI!E2</f>
        <v>1</v>
      </c>
      <c r="N69" s="97" t="s">
        <v>23</v>
      </c>
      <c r="O69" s="95" t="s">
        <v>893</v>
      </c>
      <c r="P69" s="96">
        <f>0.0020625*Q69</f>
        <v>2.0625000000000001E-3</v>
      </c>
      <c r="Q69" s="146">
        <f>POWER(SI!E3,3)</f>
        <v>1</v>
      </c>
      <c r="R69" s="97" t="s">
        <v>33</v>
      </c>
      <c r="S69" s="95"/>
      <c r="T69" s="96"/>
      <c r="U69" s="146"/>
      <c r="V69" s="97"/>
    </row>
    <row r="70" spans="1:22">
      <c r="A70" s="301"/>
      <c r="B70" s="302"/>
      <c r="C70" s="95" t="s">
        <v>6836</v>
      </c>
      <c r="D70" s="96">
        <f>0.44958*E70</f>
        <v>0.44957999999999998</v>
      </c>
      <c r="E70" s="146">
        <f>SI!E3</f>
        <v>1</v>
      </c>
      <c r="F70" s="97" t="s">
        <v>14</v>
      </c>
      <c r="G70" s="95"/>
      <c r="H70" s="119"/>
      <c r="I70" s="218"/>
      <c r="J70" s="97"/>
      <c r="K70" s="95"/>
      <c r="L70" s="101"/>
      <c r="M70" s="217"/>
      <c r="N70" s="97"/>
      <c r="O70" s="95"/>
      <c r="P70" s="96"/>
      <c r="Q70" s="146"/>
      <c r="R70" s="97"/>
      <c r="S70" s="95"/>
      <c r="T70" s="96"/>
      <c r="U70" s="146"/>
      <c r="V70" s="97"/>
    </row>
    <row r="71" spans="1:22">
      <c r="A71" s="301"/>
      <c r="B71" s="302"/>
      <c r="C71" s="95" t="s">
        <v>4569</v>
      </c>
      <c r="D71" s="151">
        <f>0.07485714286*E71</f>
        <v>7.4857142860000003E-2</v>
      </c>
      <c r="E71" s="229">
        <f>SI!E3</f>
        <v>1</v>
      </c>
      <c r="F71" s="97" t="s">
        <v>14</v>
      </c>
      <c r="G71" s="95"/>
      <c r="H71" s="119"/>
      <c r="I71" s="218"/>
      <c r="J71" s="97"/>
      <c r="K71" s="95"/>
      <c r="L71" s="101"/>
      <c r="M71" s="217"/>
      <c r="N71" s="97"/>
      <c r="O71" s="95"/>
      <c r="P71" s="96"/>
      <c r="Q71" s="146"/>
      <c r="R71" s="97"/>
      <c r="S71" s="95"/>
      <c r="T71" s="96"/>
      <c r="U71" s="146"/>
      <c r="V71" s="97"/>
    </row>
    <row r="72" spans="1:22" ht="16.5">
      <c r="A72" s="78" t="s">
        <v>736</v>
      </c>
      <c r="B72" s="82" t="s">
        <v>487</v>
      </c>
      <c r="C72" s="79" t="s">
        <v>896</v>
      </c>
      <c r="D72" s="80">
        <f>0.32*E72</f>
        <v>0.32</v>
      </c>
      <c r="E72" s="93">
        <f>SI!E3</f>
        <v>1</v>
      </c>
      <c r="F72" s="81" t="s">
        <v>14</v>
      </c>
      <c r="G72" s="79" t="s">
        <v>4573</v>
      </c>
      <c r="H72" s="80">
        <f>POWER(D72,2)*I72</f>
        <v>0.1024</v>
      </c>
      <c r="I72" s="93">
        <f>POWER(SI!E3,2)</f>
        <v>1</v>
      </c>
      <c r="J72" s="81" t="s">
        <v>39</v>
      </c>
      <c r="K72" s="79" t="s">
        <v>828</v>
      </c>
      <c r="L72" s="80">
        <f>0.448*M72</f>
        <v>0.44800000000000001</v>
      </c>
      <c r="M72" s="93">
        <f>SI!E2</f>
        <v>1</v>
      </c>
      <c r="N72" s="81" t="s">
        <v>23</v>
      </c>
      <c r="O72" s="79" t="s">
        <v>897</v>
      </c>
      <c r="P72" s="80">
        <f>0.0015*Q72</f>
        <v>1.5E-3</v>
      </c>
      <c r="Q72" s="93">
        <f>POWER(SI!E3,3)</f>
        <v>1</v>
      </c>
      <c r="R72" s="81" t="s">
        <v>33</v>
      </c>
      <c r="S72" s="79" t="s">
        <v>4574</v>
      </c>
      <c r="T72" s="80">
        <f>POWER(D72,3)*U72</f>
        <v>3.2768000000000005E-2</v>
      </c>
      <c r="U72" s="93">
        <f>POWER(SI!E3,3)</f>
        <v>1</v>
      </c>
      <c r="V72" s="81" t="s">
        <v>33</v>
      </c>
    </row>
    <row r="73" spans="1:22" ht="16.5">
      <c r="A73" s="283" t="s">
        <v>895</v>
      </c>
      <c r="B73" s="298" t="s">
        <v>455</v>
      </c>
      <c r="C73" s="290" t="s">
        <v>871</v>
      </c>
      <c r="D73" s="283">
        <f>30.7112*E73</f>
        <v>30.711200000000002</v>
      </c>
      <c r="E73" s="283">
        <f>SI!E3</f>
        <v>1</v>
      </c>
      <c r="F73" s="279" t="s">
        <v>14</v>
      </c>
      <c r="G73" s="43" t="s">
        <v>873</v>
      </c>
      <c r="H73">
        <f>1855*I73</f>
        <v>1855</v>
      </c>
      <c r="I73">
        <f>POWER(SI!E3,2)</f>
        <v>1</v>
      </c>
      <c r="J73" s="97" t="s">
        <v>39</v>
      </c>
      <c r="K73" s="291" t="s">
        <v>840</v>
      </c>
      <c r="L73" s="280">
        <f>0.46*M73</f>
        <v>0.46</v>
      </c>
      <c r="M73" s="280">
        <f>SI!E2</f>
        <v>1</v>
      </c>
      <c r="N73" s="289" t="s">
        <v>23</v>
      </c>
      <c r="O73" s="28" t="s">
        <v>872</v>
      </c>
      <c r="P73" s="158">
        <f>0.01148*Q73</f>
        <v>1.1480000000000001E-2</v>
      </c>
      <c r="Q73" s="27">
        <f>POWER(SI!E3,3)</f>
        <v>1</v>
      </c>
      <c r="R73" s="124" t="s">
        <v>33</v>
      </c>
      <c r="S73" s="290" t="s">
        <v>4579</v>
      </c>
      <c r="T73" s="283">
        <f>POWER(9*D73/28,3)*U73</f>
        <v>961.93071689297949</v>
      </c>
      <c r="U73" s="283">
        <f>POWER(SI!E3,3)</f>
        <v>1</v>
      </c>
      <c r="V73" s="279" t="s">
        <v>33</v>
      </c>
    </row>
    <row r="74" spans="1:22" ht="16.5">
      <c r="A74" s="283"/>
      <c r="B74" s="298"/>
      <c r="C74" s="290"/>
      <c r="D74" s="283"/>
      <c r="E74" s="283"/>
      <c r="F74" s="279"/>
      <c r="G74" s="43" t="s">
        <v>874</v>
      </c>
      <c r="H74">
        <f>5462.7*I74</f>
        <v>5462.7</v>
      </c>
      <c r="I74">
        <f>POWER(SI!E3,2)</f>
        <v>1</v>
      </c>
      <c r="J74" s="97" t="s">
        <v>39</v>
      </c>
      <c r="K74" s="291"/>
      <c r="L74" s="280"/>
      <c r="M74" s="280"/>
      <c r="N74" s="289"/>
      <c r="O74" s="28" t="s">
        <v>963</v>
      </c>
      <c r="P74" s="158">
        <f>0.0115016128*Q74</f>
        <v>1.15016128E-2</v>
      </c>
      <c r="Q74" s="27">
        <f>POWER(SI!E3,3)</f>
        <v>1</v>
      </c>
      <c r="R74" s="124" t="s">
        <v>33</v>
      </c>
      <c r="S74" s="290"/>
      <c r="T74" s="283"/>
      <c r="U74" s="283"/>
      <c r="V74" s="279"/>
    </row>
    <row r="75" spans="1:22">
      <c r="A75" s="306" t="s">
        <v>737</v>
      </c>
      <c r="B75" s="307" t="s">
        <v>441</v>
      </c>
      <c r="C75" s="295" t="s">
        <v>898</v>
      </c>
      <c r="D75" s="286">
        <f>0.49*E75</f>
        <v>0.49</v>
      </c>
      <c r="E75" s="210">
        <f>SI!E3</f>
        <v>1</v>
      </c>
      <c r="F75" s="288" t="s">
        <v>14</v>
      </c>
      <c r="G75" s="295" t="s">
        <v>4582</v>
      </c>
      <c r="H75" s="286">
        <f>POWER(D75,2)*I75</f>
        <v>0.24009999999999998</v>
      </c>
      <c r="I75" s="210">
        <f>POWER(SI!E3,2)</f>
        <v>1</v>
      </c>
      <c r="J75" s="288" t="s">
        <v>39</v>
      </c>
      <c r="K75" s="79" t="s">
        <v>4584</v>
      </c>
      <c r="L75" s="80">
        <f>(3*17.9712/4)*M75</f>
        <v>13.478400000000001</v>
      </c>
      <c r="M75" s="93">
        <f>SI!E2</f>
        <v>1</v>
      </c>
      <c r="N75" s="81" t="s">
        <v>23</v>
      </c>
      <c r="O75" s="295" t="s">
        <v>1889</v>
      </c>
      <c r="P75" s="286">
        <f>0.001016*Q75</f>
        <v>1.016E-3</v>
      </c>
      <c r="Q75" s="210">
        <f>POWER(SI!E3,3)</f>
        <v>1</v>
      </c>
      <c r="R75" s="288" t="s">
        <v>33</v>
      </c>
      <c r="S75" s="295" t="s">
        <v>894</v>
      </c>
      <c r="T75" s="286">
        <f>0.00044*U75</f>
        <v>4.4000000000000002E-4</v>
      </c>
      <c r="U75" s="210">
        <f>POWER(SI!E3,3)</f>
        <v>1</v>
      </c>
      <c r="V75" s="288" t="s">
        <v>33</v>
      </c>
    </row>
    <row r="76" spans="1:22">
      <c r="A76" s="301"/>
      <c r="B76" s="302"/>
      <c r="C76" s="291"/>
      <c r="D76" s="280"/>
      <c r="E76" s="210"/>
      <c r="F76" s="289"/>
      <c r="G76" s="291"/>
      <c r="H76" s="280"/>
      <c r="I76" s="210"/>
      <c r="J76" s="289"/>
      <c r="K76" s="79" t="s">
        <v>4583</v>
      </c>
      <c r="L76" s="80">
        <f>(15*17.9712/16)*M76</f>
        <v>16.847999999999999</v>
      </c>
      <c r="M76" s="93">
        <f>SI!E2</f>
        <v>1</v>
      </c>
      <c r="N76" s="81" t="s">
        <v>23</v>
      </c>
      <c r="O76" s="291"/>
      <c r="P76" s="280"/>
      <c r="Q76" s="210"/>
      <c r="R76" s="289"/>
      <c r="S76" s="291"/>
      <c r="T76" s="280"/>
      <c r="U76" s="210"/>
      <c r="V76" s="289"/>
    </row>
    <row r="77" spans="1:22">
      <c r="A77" s="301"/>
      <c r="B77" s="302"/>
      <c r="C77" s="291"/>
      <c r="D77" s="280"/>
      <c r="E77" s="210"/>
      <c r="F77" s="289"/>
      <c r="G77" s="291"/>
      <c r="H77" s="280"/>
      <c r="I77" s="210"/>
      <c r="J77" s="289"/>
      <c r="K77" s="79" t="s">
        <v>4585</v>
      </c>
      <c r="L77" s="80">
        <f>17.9712*M77</f>
        <v>17.9712</v>
      </c>
      <c r="M77" s="93">
        <f>SI!E2</f>
        <v>1</v>
      </c>
      <c r="N77" s="81" t="s">
        <v>23</v>
      </c>
      <c r="O77" s="291"/>
      <c r="P77" s="280"/>
      <c r="Q77" s="210"/>
      <c r="R77" s="289"/>
      <c r="S77" s="291"/>
      <c r="T77" s="280"/>
      <c r="U77" s="210"/>
      <c r="V77" s="289"/>
    </row>
    <row r="78" spans="1:22" ht="16.5">
      <c r="A78" s="331" t="s">
        <v>738</v>
      </c>
      <c r="B78" s="332" t="s">
        <v>546</v>
      </c>
      <c r="C78" s="95" t="s">
        <v>999</v>
      </c>
      <c r="D78" s="96">
        <f>0.2969*E78</f>
        <v>0.2969</v>
      </c>
      <c r="E78" s="146">
        <f>SI!E3</f>
        <v>1</v>
      </c>
      <c r="F78" s="97" t="s">
        <v>14</v>
      </c>
      <c r="G78" s="95" t="s">
        <v>1000</v>
      </c>
      <c r="H78" s="96">
        <f>1000*POWER(D78,2)*I78</f>
        <v>88.14961000000001</v>
      </c>
      <c r="I78" s="146">
        <f>POWER(SI!E3,2)</f>
        <v>1</v>
      </c>
      <c r="J78" s="97" t="s">
        <v>39</v>
      </c>
      <c r="K78" s="95" t="s">
        <v>1001</v>
      </c>
      <c r="L78" s="96">
        <f>0.4250797024*M78</f>
        <v>0.42507970239999998</v>
      </c>
      <c r="M78" s="146">
        <f>SI!E2</f>
        <v>1</v>
      </c>
      <c r="N78" s="97" t="s">
        <v>23</v>
      </c>
      <c r="O78" s="95" t="s">
        <v>867</v>
      </c>
      <c r="P78" s="96">
        <f>0.16349*Q78</f>
        <v>0.16349</v>
      </c>
      <c r="Q78" s="146">
        <f>POWER(SI!E3,3)</f>
        <v>1</v>
      </c>
      <c r="R78" s="97" t="s">
        <v>33</v>
      </c>
      <c r="S78" s="95" t="s">
        <v>1002</v>
      </c>
      <c r="T78" s="96">
        <f>0.0013274*U78</f>
        <v>1.3274000000000001E-3</v>
      </c>
      <c r="U78" s="146">
        <f>POWER(SI!E3,3)</f>
        <v>1</v>
      </c>
      <c r="V78" s="97" t="s">
        <v>33</v>
      </c>
    </row>
    <row r="79" spans="1:22" ht="16.5">
      <c r="A79" s="301"/>
      <c r="B79" s="302"/>
      <c r="C79" s="95"/>
      <c r="D79" s="96"/>
      <c r="E79" s="146"/>
      <c r="F79" s="118"/>
      <c r="G79" s="95"/>
      <c r="H79" s="96"/>
      <c r="I79" s="146"/>
      <c r="J79" s="97"/>
      <c r="K79" s="95"/>
      <c r="L79" s="96"/>
      <c r="M79" s="146"/>
      <c r="N79" s="118"/>
      <c r="O79" s="95" t="s">
        <v>1002</v>
      </c>
      <c r="P79" s="198">
        <f>0.05*POWER(D78,3)*Q79</f>
        <v>1.3085809604500001E-3</v>
      </c>
      <c r="Q79" s="229">
        <f>POWER(SI!E3,3)</f>
        <v>1</v>
      </c>
      <c r="R79" s="97" t="s">
        <v>33</v>
      </c>
      <c r="S79" s="95"/>
      <c r="T79" s="96"/>
      <c r="U79" s="146">
        <f>POWER(SI!E3,3)</f>
        <v>1</v>
      </c>
      <c r="V79" s="97"/>
    </row>
    <row r="80" spans="1:22" ht="16.5">
      <c r="A80" s="306" t="s">
        <v>739</v>
      </c>
      <c r="B80" s="307" t="s">
        <v>65</v>
      </c>
      <c r="C80" s="59" t="s">
        <v>812</v>
      </c>
      <c r="D80" s="67">
        <f>6*0.3248394167*E80</f>
        <v>1.9490365002000001</v>
      </c>
      <c r="E80" s="230">
        <f>SI!E3</f>
        <v>1</v>
      </c>
      <c r="F80" s="62" t="s">
        <v>14</v>
      </c>
      <c r="G80" s="76" t="s">
        <v>4710</v>
      </c>
      <c r="H80" s="154">
        <f>POWER(D82,2)*I80</f>
        <v>0.10552064664199623</v>
      </c>
      <c r="I80" s="228">
        <f>POWER(SI!E3,2)</f>
        <v>1</v>
      </c>
      <c r="J80" s="115" t="s">
        <v>39</v>
      </c>
      <c r="K80" s="59" t="s">
        <v>4759</v>
      </c>
      <c r="L80" s="65">
        <f>0.48950585*M80</f>
        <v>0.48950585000000002</v>
      </c>
      <c r="M80" s="230">
        <f>SI!E2</f>
        <v>1</v>
      </c>
      <c r="N80" s="62" t="s">
        <v>23</v>
      </c>
      <c r="O80" s="76" t="s">
        <v>814</v>
      </c>
      <c r="P80" s="154">
        <f>0.000952146258475*Q80</f>
        <v>9.5214625847500004E-4</v>
      </c>
      <c r="Q80" s="228">
        <f>POWER(SI!E3,3)</f>
        <v>1</v>
      </c>
      <c r="R80" s="115" t="s">
        <v>33</v>
      </c>
      <c r="S80" s="76" t="s">
        <v>813</v>
      </c>
      <c r="T80" s="159">
        <f>0.15168*U80</f>
        <v>0.15168000000000001</v>
      </c>
      <c r="U80" s="228">
        <f>POWER(SI!E3,3)</f>
        <v>1</v>
      </c>
      <c r="V80" s="115" t="s">
        <v>33</v>
      </c>
    </row>
    <row r="81" spans="1:22" ht="16.5">
      <c r="A81" s="306"/>
      <c r="B81" s="307"/>
      <c r="C81" s="56" t="s">
        <v>4668</v>
      </c>
      <c r="D81" s="69">
        <f>(1/3)*E81</f>
        <v>0.33333333333333331</v>
      </c>
      <c r="E81" s="221">
        <f>SI!E3</f>
        <v>1</v>
      </c>
      <c r="F81" s="64" t="s">
        <v>14</v>
      </c>
      <c r="G81" s="76" t="s">
        <v>4702</v>
      </c>
      <c r="H81" s="77">
        <f>2671*I81</f>
        <v>2671</v>
      </c>
      <c r="I81" s="210">
        <f>POWER(SI!E3,2)</f>
        <v>1</v>
      </c>
      <c r="J81" s="115" t="s">
        <v>39</v>
      </c>
      <c r="K81" s="53" t="s">
        <v>6867</v>
      </c>
      <c r="L81" s="68">
        <f>0.367128*M81</f>
        <v>0.36712800000000001</v>
      </c>
      <c r="M81" s="234">
        <f>SI!E2</f>
        <v>1</v>
      </c>
      <c r="N81" s="63" t="s">
        <v>23</v>
      </c>
      <c r="O81" s="76" t="s">
        <v>4733</v>
      </c>
      <c r="P81" s="77">
        <f>0.000229925*Q81</f>
        <v>2.2992499999999999E-4</v>
      </c>
      <c r="Q81" s="210">
        <f>POWER(SI!E3,3)</f>
        <v>1</v>
      </c>
      <c r="R81" s="115" t="s">
        <v>33</v>
      </c>
      <c r="S81" s="76" t="s">
        <v>971</v>
      </c>
      <c r="T81" s="77">
        <f>0.003125*U81</f>
        <v>3.1250000000000002E-3</v>
      </c>
      <c r="U81" s="210">
        <f>POWER(SI!E3,3)</f>
        <v>1</v>
      </c>
      <c r="V81" s="115" t="s">
        <v>33</v>
      </c>
    </row>
    <row r="82" spans="1:22" ht="16.5">
      <c r="A82" s="306"/>
      <c r="B82" s="307"/>
      <c r="C82" s="49" t="s">
        <v>6837</v>
      </c>
      <c r="D82" s="80">
        <f>0.3248394167*E82</f>
        <v>0.32483941669999999</v>
      </c>
      <c r="E82" s="48">
        <f>SI!E3</f>
        <v>1</v>
      </c>
      <c r="F82" s="50" t="s">
        <v>14</v>
      </c>
      <c r="G82" s="76" t="s">
        <v>945</v>
      </c>
      <c r="H82" s="77">
        <f>100*I82</f>
        <v>100</v>
      </c>
      <c r="I82" s="210">
        <f>POWER(SI!E3,2)</f>
        <v>1</v>
      </c>
      <c r="J82" s="115" t="s">
        <v>39</v>
      </c>
      <c r="K82" s="56" t="s">
        <v>4760</v>
      </c>
      <c r="L82" s="70">
        <f>1*M82</f>
        <v>1</v>
      </c>
      <c r="M82" s="221">
        <f>SI!E2</f>
        <v>1</v>
      </c>
      <c r="N82" s="64" t="s">
        <v>23</v>
      </c>
      <c r="O82" s="76" t="s">
        <v>6874</v>
      </c>
      <c r="P82" s="276">
        <f>0.0010000028001*Q82</f>
        <v>1.0000028001E-3</v>
      </c>
      <c r="Q82" s="210">
        <f>POWER(SI!E3,3)</f>
        <v>1</v>
      </c>
      <c r="R82" s="115" t="s">
        <v>33</v>
      </c>
      <c r="S82" s="76"/>
      <c r="T82" s="77"/>
      <c r="U82" s="210"/>
      <c r="V82" s="115"/>
    </row>
    <row r="83" spans="1:22" ht="16.5">
      <c r="A83" s="301"/>
      <c r="B83" s="302"/>
      <c r="C83" s="49" t="s">
        <v>479</v>
      </c>
      <c r="D83" s="80">
        <f>0.003175*E83</f>
        <v>3.1749999999999999E-3</v>
      </c>
      <c r="E83" s="48">
        <f>SI!E3</f>
        <v>1</v>
      </c>
      <c r="F83" s="50" t="s">
        <v>14</v>
      </c>
      <c r="G83" s="76" t="s">
        <v>4698</v>
      </c>
      <c r="H83" s="77">
        <f>16.875*I83</f>
        <v>16.875</v>
      </c>
      <c r="I83" s="210">
        <f>POWER(SI!E3,2)</f>
        <v>1</v>
      </c>
      <c r="J83" s="115" t="s">
        <v>39</v>
      </c>
      <c r="K83" s="79"/>
      <c r="L83" s="139"/>
      <c r="M83" s="222"/>
      <c r="N83" s="117"/>
      <c r="O83" s="76"/>
      <c r="P83" s="77"/>
      <c r="Q83" s="210"/>
      <c r="R83" s="115"/>
      <c r="S83" s="76"/>
      <c r="T83" s="77"/>
      <c r="U83" s="210"/>
      <c r="V83" s="115"/>
    </row>
    <row r="84" spans="1:22" ht="16.5">
      <c r="A84" s="301"/>
      <c r="B84" s="302"/>
      <c r="C84" s="49" t="s">
        <v>6838</v>
      </c>
      <c r="D84" s="80">
        <f>1.9685*E84</f>
        <v>1.9684999999999999</v>
      </c>
      <c r="E84" s="48">
        <f>SI!E3</f>
        <v>1</v>
      </c>
      <c r="F84" s="50" t="s">
        <v>14</v>
      </c>
      <c r="G84" s="76" t="s">
        <v>4696</v>
      </c>
      <c r="H84" s="77">
        <f>19.2*I84</f>
        <v>19.2</v>
      </c>
      <c r="I84" s="210">
        <f>POWER(SI!E3,2)</f>
        <v>1</v>
      </c>
      <c r="J84" s="115" t="s">
        <v>39</v>
      </c>
      <c r="K84" s="79"/>
      <c r="L84" s="139"/>
      <c r="M84" s="222"/>
      <c r="N84" s="117"/>
      <c r="O84" s="76"/>
      <c r="P84" s="77"/>
      <c r="Q84" s="210"/>
      <c r="R84" s="115"/>
      <c r="S84" s="76"/>
      <c r="T84" s="77"/>
      <c r="U84" s="210"/>
      <c r="V84" s="115"/>
    </row>
    <row r="85" spans="1:22" ht="16.5">
      <c r="A85" s="301"/>
      <c r="B85" s="302"/>
      <c r="C85" s="49" t="s">
        <v>6839</v>
      </c>
      <c r="D85" s="165">
        <f>0.0003759715471075*E85</f>
        <v>3.7597154710749999E-4</v>
      </c>
      <c r="E85" s="231">
        <f>SI!E3</f>
        <v>1</v>
      </c>
      <c r="F85" s="50" t="s">
        <v>14</v>
      </c>
      <c r="G85" s="76" t="s">
        <v>4694</v>
      </c>
      <c r="H85" s="77">
        <f>2877*I85</f>
        <v>2877</v>
      </c>
      <c r="I85" s="210">
        <f>POWER(SI!E3,2)</f>
        <v>1</v>
      </c>
      <c r="J85" s="115" t="s">
        <v>39</v>
      </c>
      <c r="K85" s="79"/>
      <c r="L85" s="139"/>
      <c r="M85" s="222"/>
      <c r="N85" s="117"/>
      <c r="O85" s="76"/>
      <c r="P85" s="77"/>
      <c r="Q85" s="210"/>
      <c r="R85" s="115"/>
      <c r="S85" s="76"/>
      <c r="T85" s="77"/>
      <c r="U85" s="210"/>
      <c r="V85" s="115"/>
    </row>
    <row r="86" spans="1:22" ht="16.5">
      <c r="A86" s="301"/>
      <c r="B86" s="302"/>
      <c r="C86" s="49" t="s">
        <v>4665</v>
      </c>
      <c r="D86" s="173">
        <f>0.22360679775*E86</f>
        <v>0.22360679775</v>
      </c>
      <c r="E86" s="231">
        <f>SI!E3</f>
        <v>1</v>
      </c>
      <c r="F86" s="50" t="s">
        <v>14</v>
      </c>
      <c r="G86" s="76" t="s">
        <v>4700</v>
      </c>
      <c r="H86" s="77">
        <f>4863*I86</f>
        <v>4863</v>
      </c>
      <c r="I86" s="210">
        <f>POWER(SI!E3,2)</f>
        <v>1</v>
      </c>
      <c r="J86" s="115" t="s">
        <v>39</v>
      </c>
      <c r="K86" s="79"/>
      <c r="L86" s="139"/>
      <c r="M86" s="222"/>
      <c r="N86" s="117"/>
      <c r="O86" s="76"/>
      <c r="P86" s="77"/>
      <c r="Q86" s="210"/>
      <c r="R86" s="115"/>
      <c r="S86" s="76"/>
      <c r="T86" s="77"/>
      <c r="U86" s="210"/>
      <c r="V86" s="115"/>
    </row>
    <row r="87" spans="1:22" ht="16.5">
      <c r="A87" s="301"/>
      <c r="B87" s="302"/>
      <c r="C87" s="49" t="s">
        <v>6840</v>
      </c>
      <c r="D87" s="113">
        <f>0.32484*E87</f>
        <v>0.32484000000000002</v>
      </c>
      <c r="E87" s="231">
        <f>SI!E3</f>
        <v>1</v>
      </c>
      <c r="F87" s="50" t="s">
        <v>14</v>
      </c>
      <c r="G87" s="76" t="s">
        <v>6857</v>
      </c>
      <c r="H87" s="77">
        <f>1367*I87</f>
        <v>1367</v>
      </c>
      <c r="I87" s="210">
        <f>POWER(SI!E3,2)</f>
        <v>1</v>
      </c>
      <c r="J87" s="115" t="s">
        <v>39</v>
      </c>
      <c r="K87" s="79"/>
      <c r="L87" s="139"/>
      <c r="M87" s="222"/>
      <c r="N87" s="117"/>
      <c r="O87" s="76"/>
      <c r="P87" s="77"/>
      <c r="Q87" s="210"/>
      <c r="R87" s="115"/>
      <c r="S87" s="76"/>
      <c r="T87" s="77"/>
      <c r="U87" s="210"/>
      <c r="V87" s="115"/>
    </row>
    <row r="88" spans="1:22" ht="16.5">
      <c r="A88" s="301"/>
      <c r="B88" s="302"/>
      <c r="C88" s="48" t="s">
        <v>4680</v>
      </c>
      <c r="D88" s="48">
        <f>1.94909*E88</f>
        <v>1.94909</v>
      </c>
      <c r="E88" s="48">
        <f>SI!E3</f>
        <v>1</v>
      </c>
      <c r="F88" s="50" t="s">
        <v>14</v>
      </c>
      <c r="G88" s="76" t="s">
        <v>4701</v>
      </c>
      <c r="H88" s="77">
        <f>4000*I88</f>
        <v>4000</v>
      </c>
      <c r="I88" s="210">
        <f>POWER(SI!E3,2)</f>
        <v>1</v>
      </c>
      <c r="J88" s="115" t="s">
        <v>39</v>
      </c>
      <c r="K88" s="79"/>
      <c r="L88" s="139"/>
      <c r="M88" s="222"/>
      <c r="N88" s="117"/>
      <c r="O88" s="76"/>
      <c r="P88" s="77"/>
      <c r="Q88" s="210"/>
      <c r="R88" s="115"/>
      <c r="S88" s="76"/>
      <c r="T88" s="77"/>
      <c r="U88" s="210"/>
      <c r="V88" s="115"/>
    </row>
    <row r="89" spans="1:22" ht="16.5">
      <c r="A89" s="283" t="s">
        <v>740</v>
      </c>
      <c r="B89" s="298" t="s">
        <v>59</v>
      </c>
      <c r="C89" s="95" t="s">
        <v>817</v>
      </c>
      <c r="D89" s="96">
        <f>0.313857*E89</f>
        <v>0.313857</v>
      </c>
      <c r="E89" s="146">
        <f>SI!E3</f>
        <v>1</v>
      </c>
      <c r="F89" s="97" t="s">
        <v>14</v>
      </c>
      <c r="G89" s="95" t="s">
        <v>961</v>
      </c>
      <c r="H89" s="152">
        <f>144.0020334575*I89</f>
        <v>144.0020334575</v>
      </c>
      <c r="I89" s="219">
        <f>POWER(SI!E3,2)</f>
        <v>1</v>
      </c>
      <c r="J89" s="98" t="s">
        <v>39</v>
      </c>
      <c r="K89" s="95" t="s">
        <v>840</v>
      </c>
      <c r="L89" s="96">
        <f>0.467711*M89</f>
        <v>0.46771099999999999</v>
      </c>
      <c r="M89" s="146">
        <f>SI!E2</f>
        <v>1</v>
      </c>
      <c r="N89" s="97" t="s">
        <v>23</v>
      </c>
      <c r="O89" s="95" t="s">
        <v>842</v>
      </c>
      <c r="P89" s="180">
        <f>POWER(4*D89/12,3)*Q89</f>
        <v>1.1450690954086591E-3</v>
      </c>
      <c r="Q89" s="229">
        <f>POWER(SI!E3,3)</f>
        <v>1</v>
      </c>
      <c r="R89" s="97" t="s">
        <v>33</v>
      </c>
      <c r="S89" s="95" t="s">
        <v>843</v>
      </c>
      <c r="T89" s="100">
        <f>0.0370596*U89</f>
        <v>3.7059599999999998E-2</v>
      </c>
      <c r="U89" s="229">
        <f>POWER(SI!E3,3)</f>
        <v>1</v>
      </c>
      <c r="V89" s="97" t="s">
        <v>33</v>
      </c>
    </row>
    <row r="90" spans="1:22" ht="16.5">
      <c r="A90" s="283"/>
      <c r="B90" s="298"/>
      <c r="C90" s="95"/>
      <c r="D90" s="96"/>
      <c r="E90" s="146"/>
      <c r="F90" s="97"/>
      <c r="G90" s="43"/>
      <c r="H90" s="181"/>
      <c r="I90" s="160"/>
      <c r="J90" s="98"/>
      <c r="K90" s="43" t="s">
        <v>979</v>
      </c>
      <c r="L90">
        <f>0.5144821*M90</f>
        <v>0.51448210000000005</v>
      </c>
      <c r="M90">
        <f>SI!E2</f>
        <v>1</v>
      </c>
      <c r="N90" s="46" t="s">
        <v>23</v>
      </c>
      <c r="O90" s="95"/>
      <c r="P90" s="180"/>
      <c r="Q90" s="225"/>
      <c r="R90" s="97"/>
      <c r="S90" s="43" t="s">
        <v>975</v>
      </c>
      <c r="T90" s="121">
        <f>0.00343589*U90</f>
        <v>3.43589E-3</v>
      </c>
      <c r="U90" s="42">
        <f>POWER(SI!E3,3)</f>
        <v>1</v>
      </c>
      <c r="V90" s="97" t="s">
        <v>33</v>
      </c>
    </row>
    <row r="91" spans="1:22" ht="16.5">
      <c r="A91" s="303" t="s">
        <v>718</v>
      </c>
      <c r="B91" s="328" t="s">
        <v>373</v>
      </c>
      <c r="C91" s="79" t="s">
        <v>4780</v>
      </c>
      <c r="D91" s="80">
        <f>0.648*E91</f>
        <v>0.64800000000000002</v>
      </c>
      <c r="E91" s="93">
        <f>SI!E3</f>
        <v>1</v>
      </c>
      <c r="F91" s="81" t="s">
        <v>14</v>
      </c>
      <c r="G91" s="285" t="s">
        <v>977</v>
      </c>
      <c r="H91" s="306">
        <f>1000*I91</f>
        <v>1000</v>
      </c>
      <c r="I91" s="141">
        <f>POWER(SI!E3,2)</f>
        <v>1</v>
      </c>
      <c r="J91" s="288" t="s">
        <v>39</v>
      </c>
      <c r="K91" s="285" t="s">
        <v>834</v>
      </c>
      <c r="L91" s="303">
        <f>1.28*M91</f>
        <v>1.28</v>
      </c>
      <c r="M91" s="141">
        <f>SI!E2</f>
        <v>1</v>
      </c>
      <c r="N91" s="287" t="s">
        <v>23</v>
      </c>
      <c r="O91" s="79" t="s">
        <v>6879</v>
      </c>
      <c r="P91" s="80">
        <f>0.0013365*Q91</f>
        <v>1.3365E-3</v>
      </c>
      <c r="Q91" s="93">
        <f>POWER(SI!E3,3)</f>
        <v>1</v>
      </c>
      <c r="R91" s="81" t="s">
        <v>33</v>
      </c>
      <c r="S91" s="285" t="s">
        <v>2490</v>
      </c>
      <c r="T91" s="303">
        <f>0.5*0.00108*U91</f>
        <v>5.4000000000000001E-4</v>
      </c>
      <c r="U91" s="141">
        <f>POWER(SI!E3,3)</f>
        <v>1</v>
      </c>
      <c r="V91" s="287" t="s">
        <v>33</v>
      </c>
    </row>
    <row r="92" spans="1:22" ht="16.5">
      <c r="A92" s="303"/>
      <c r="B92" s="328"/>
      <c r="C92" s="79" t="s">
        <v>4778</v>
      </c>
      <c r="D92" s="80">
        <f>0.669*E92</f>
        <v>0.66900000000000004</v>
      </c>
      <c r="E92" s="93">
        <f>SI!E3</f>
        <v>1</v>
      </c>
      <c r="F92" s="81" t="s">
        <v>14</v>
      </c>
      <c r="G92" s="285"/>
      <c r="H92" s="306"/>
      <c r="I92" s="141"/>
      <c r="J92" s="288"/>
      <c r="K92" s="285"/>
      <c r="L92" s="303"/>
      <c r="M92" s="141"/>
      <c r="N92" s="287"/>
      <c r="O92" s="79" t="s">
        <v>830</v>
      </c>
      <c r="P92" s="80">
        <f>0.074236*Q92</f>
        <v>7.4235999999999996E-2</v>
      </c>
      <c r="Q92" s="93">
        <f>POWER(SI!E3,3)</f>
        <v>1</v>
      </c>
      <c r="R92" s="81" t="s">
        <v>33</v>
      </c>
      <c r="S92" s="285"/>
      <c r="T92" s="303"/>
      <c r="U92" s="141"/>
      <c r="V92" s="287"/>
    </row>
    <row r="93" spans="1:22">
      <c r="A93" s="303"/>
      <c r="B93" s="328"/>
      <c r="C93" s="79" t="s">
        <v>6841</v>
      </c>
      <c r="D93" s="80">
        <f>0.75*E93</f>
        <v>0.75</v>
      </c>
      <c r="E93" s="93">
        <f>SI!E3</f>
        <v>1</v>
      </c>
      <c r="F93" s="81" t="s">
        <v>14</v>
      </c>
      <c r="G93" s="285"/>
      <c r="H93" s="306"/>
      <c r="I93" s="141"/>
      <c r="J93" s="288"/>
      <c r="K93" s="285"/>
      <c r="L93" s="303"/>
      <c r="M93" s="141"/>
      <c r="N93" s="287"/>
      <c r="O93" s="79"/>
      <c r="P93" s="80"/>
      <c r="Q93" s="93"/>
      <c r="R93" s="81"/>
      <c r="S93" s="285"/>
      <c r="T93" s="303"/>
      <c r="U93" s="141"/>
      <c r="V93" s="287"/>
    </row>
    <row r="94" spans="1:22">
      <c r="A94" s="283"/>
      <c r="B94" s="298"/>
      <c r="C94" s="49" t="s">
        <v>969</v>
      </c>
      <c r="D94" s="48">
        <f>21*E94</f>
        <v>21</v>
      </c>
      <c r="E94" s="48">
        <f>SI!E3</f>
        <v>1</v>
      </c>
      <c r="F94" s="51" t="s">
        <v>14</v>
      </c>
      <c r="G94" s="290"/>
      <c r="H94" s="301"/>
      <c r="I94" s="141"/>
      <c r="J94" s="289"/>
      <c r="K94" s="290"/>
      <c r="L94" s="283"/>
      <c r="M94" s="141"/>
      <c r="N94" s="279"/>
      <c r="O94" s="49"/>
      <c r="P94" s="48"/>
      <c r="Q94" s="48"/>
      <c r="R94" s="81"/>
      <c r="S94" s="290"/>
      <c r="T94" s="283"/>
      <c r="U94" s="141"/>
      <c r="V94" s="279"/>
    </row>
    <row r="95" spans="1:22" ht="16.5">
      <c r="A95" s="283" t="s">
        <v>741</v>
      </c>
      <c r="B95" s="298" t="s">
        <v>475</v>
      </c>
      <c r="C95" s="290" t="s">
        <v>821</v>
      </c>
      <c r="D95" s="283">
        <f>0.8359*E95</f>
        <v>0.83589999999999998</v>
      </c>
      <c r="E95" s="283">
        <f>SI!E3</f>
        <v>1</v>
      </c>
      <c r="F95" s="279" t="s">
        <v>14</v>
      </c>
      <c r="G95" s="290" t="s">
        <v>930</v>
      </c>
      <c r="H95" s="301">
        <f>6987.2881*I95</f>
        <v>6987.2880999999998</v>
      </c>
      <c r="I95" s="280">
        <f>POWER(SI!E3,2)</f>
        <v>1</v>
      </c>
      <c r="J95" s="289" t="s">
        <v>39</v>
      </c>
      <c r="K95" s="290" t="s">
        <v>823</v>
      </c>
      <c r="L95" s="283">
        <f>92*M95</f>
        <v>92</v>
      </c>
      <c r="M95" s="283">
        <f>SI!E2</f>
        <v>1</v>
      </c>
      <c r="N95" s="279" t="s">
        <v>23</v>
      </c>
      <c r="O95" s="43" t="s">
        <v>6875</v>
      </c>
      <c r="P95" s="120">
        <f>0.00065*Q95</f>
        <v>6.4999999999999997E-4</v>
      </c>
      <c r="Q95" s="189">
        <f>POWER(SI!E3,3)</f>
        <v>1</v>
      </c>
      <c r="R95" s="97" t="s">
        <v>33</v>
      </c>
      <c r="S95" s="290" t="s">
        <v>6880</v>
      </c>
      <c r="T95" s="283">
        <f>POWER(D95,3)*U95</f>
        <v>0.58406741227899994</v>
      </c>
      <c r="U95" s="283">
        <f>POWER(SI!E3,3)</f>
        <v>1</v>
      </c>
      <c r="V95" s="279" t="s">
        <v>33</v>
      </c>
    </row>
    <row r="96" spans="1:22" ht="16.5">
      <c r="A96" s="283"/>
      <c r="B96" s="298"/>
      <c r="C96" s="290"/>
      <c r="D96" s="283"/>
      <c r="E96" s="283"/>
      <c r="F96" s="279"/>
      <c r="G96" s="290"/>
      <c r="H96" s="301"/>
      <c r="I96" s="280"/>
      <c r="J96" s="289"/>
      <c r="K96" s="290"/>
      <c r="L96" s="283"/>
      <c r="M96" s="283"/>
      <c r="N96" s="279"/>
      <c r="O96" s="43" t="s">
        <v>6876</v>
      </c>
      <c r="P96" s="120">
        <f>0.00063*Q96</f>
        <v>6.3000000000000003E-4</v>
      </c>
      <c r="Q96" s="189">
        <f>POWER(SI!E3,3)</f>
        <v>1</v>
      </c>
      <c r="R96" s="97" t="s">
        <v>33</v>
      </c>
      <c r="S96" s="290"/>
      <c r="T96" s="283"/>
      <c r="U96" s="283"/>
      <c r="V96" s="279"/>
    </row>
    <row r="97" spans="1:22" ht="16.5">
      <c r="A97" s="283"/>
      <c r="B97" s="298"/>
      <c r="C97" s="290"/>
      <c r="D97" s="283"/>
      <c r="E97" s="283"/>
      <c r="F97" s="279"/>
      <c r="G97" s="290"/>
      <c r="H97" s="301"/>
      <c r="I97" s="280"/>
      <c r="J97" s="289"/>
      <c r="K97" s="290"/>
      <c r="L97" s="283"/>
      <c r="M97" s="283"/>
      <c r="N97" s="279"/>
      <c r="O97" s="43" t="s">
        <v>6877</v>
      </c>
      <c r="P97" s="120">
        <f>0.00067*Q97</f>
        <v>6.7000000000000002E-4</v>
      </c>
      <c r="Q97" s="189">
        <f>POWER(SI!E3,3)</f>
        <v>1</v>
      </c>
      <c r="R97" s="97" t="s">
        <v>33</v>
      </c>
      <c r="S97" s="290"/>
      <c r="T97" s="283"/>
      <c r="U97" s="283"/>
      <c r="V97" s="279"/>
    </row>
    <row r="98" spans="1:22" ht="16.5">
      <c r="A98" s="48" t="s">
        <v>742</v>
      </c>
      <c r="B98" s="82" t="s">
        <v>439</v>
      </c>
      <c r="C98" s="79" t="s">
        <v>835</v>
      </c>
      <c r="D98" s="80">
        <f>0.578*E98</f>
        <v>0.57799999999999996</v>
      </c>
      <c r="E98" s="93">
        <f>SI!E3</f>
        <v>1</v>
      </c>
      <c r="F98" s="81" t="s">
        <v>14</v>
      </c>
      <c r="G98" s="79" t="s">
        <v>4345</v>
      </c>
      <c r="H98" s="80">
        <f>POWER(D98,2)*I98</f>
        <v>0.33408399999999994</v>
      </c>
      <c r="I98" s="93">
        <f>POWER(SI!E3,2)</f>
        <v>1</v>
      </c>
      <c r="J98" s="115" t="s">
        <v>39</v>
      </c>
      <c r="K98" s="79" t="s">
        <v>901</v>
      </c>
      <c r="L98" s="80">
        <f>0.0642*M98</f>
        <v>6.4199999999999993E-2</v>
      </c>
      <c r="M98" s="93">
        <f>SI!E2</f>
        <v>1</v>
      </c>
      <c r="N98" s="81" t="s">
        <v>23</v>
      </c>
      <c r="O98" s="79" t="s">
        <v>4346</v>
      </c>
      <c r="P98" s="80">
        <f>POWER(D98,3)*Q98</f>
        <v>0.19310055199999995</v>
      </c>
      <c r="Q98" s="93">
        <f>POWER(SI!E3,3)</f>
        <v>1</v>
      </c>
      <c r="R98" s="81" t="s">
        <v>33</v>
      </c>
      <c r="S98" s="79" t="s">
        <v>4346</v>
      </c>
      <c r="T98" s="80">
        <f>POWER(D98,3)*U98</f>
        <v>0.19310055199999995</v>
      </c>
      <c r="U98" s="93">
        <f>POWER(SI!E3,3)</f>
        <v>1</v>
      </c>
      <c r="V98" s="55" t="s">
        <v>33</v>
      </c>
    </row>
    <row r="99" spans="1:22" ht="16.5">
      <c r="A99" t="s">
        <v>743</v>
      </c>
      <c r="B99" t="s">
        <v>462</v>
      </c>
      <c r="C99" s="43" t="s">
        <v>812</v>
      </c>
      <c r="D99">
        <f>1.9488*E99</f>
        <v>1.9488000000000001</v>
      </c>
      <c r="E99">
        <f>SI!E3</f>
        <v>1</v>
      </c>
      <c r="F99" s="36" t="s">
        <v>14</v>
      </c>
      <c r="G99" s="43" t="s">
        <v>946</v>
      </c>
      <c r="H99">
        <f>1292.3*I99</f>
        <v>1292.3</v>
      </c>
      <c r="I99">
        <f>POWER(SI!E3,2)</f>
        <v>1</v>
      </c>
      <c r="J99" s="97" t="s">
        <v>39</v>
      </c>
      <c r="K99" s="43" t="s">
        <v>4784</v>
      </c>
      <c r="L99">
        <f>1.7*M99</f>
        <v>1.7</v>
      </c>
      <c r="M99">
        <f>SI!E2</f>
        <v>1</v>
      </c>
      <c r="N99" s="36" t="s">
        <v>23</v>
      </c>
      <c r="O99" s="43" t="s">
        <v>830</v>
      </c>
      <c r="P99">
        <f>0.1*Q99</f>
        <v>0.1</v>
      </c>
      <c r="Q99">
        <f>POWER(SI!E3,3)</f>
        <v>1</v>
      </c>
      <c r="R99" s="97" t="s">
        <v>33</v>
      </c>
      <c r="S99" s="43" t="s">
        <v>4782</v>
      </c>
      <c r="T99">
        <f>POWER(D99,3)*U99</f>
        <v>7.4011944222720008</v>
      </c>
      <c r="U99">
        <f>POWER(SI!E3,3)</f>
        <v>1</v>
      </c>
      <c r="V99" s="97" t="s">
        <v>33</v>
      </c>
    </row>
    <row r="100" spans="1:22" ht="16.5">
      <c r="A100" s="303" t="s">
        <v>804</v>
      </c>
      <c r="B100" s="307" t="s">
        <v>87</v>
      </c>
      <c r="C100" s="59" t="s">
        <v>1421</v>
      </c>
      <c r="D100" s="60">
        <f>0.555*E100</f>
        <v>0.55500000000000005</v>
      </c>
      <c r="E100" s="214">
        <f>SI!E3</f>
        <v>1</v>
      </c>
      <c r="F100" s="61" t="s">
        <v>14</v>
      </c>
      <c r="G100" s="295" t="s">
        <v>1029</v>
      </c>
      <c r="H100" s="312">
        <f>POWER(0.01,2)*PI()*I100</f>
        <v>3.1415926535897931E-4</v>
      </c>
      <c r="I100" s="228">
        <f>POWER(SI!E3,2)</f>
        <v>1</v>
      </c>
      <c r="J100" s="288" t="s">
        <v>39</v>
      </c>
      <c r="K100" s="53" t="s">
        <v>4797</v>
      </c>
      <c r="L100" s="54">
        <f>0.85*M100</f>
        <v>0.85</v>
      </c>
      <c r="M100" s="215">
        <f>SI!E2</f>
        <v>1</v>
      </c>
      <c r="N100" s="55" t="s">
        <v>23</v>
      </c>
      <c r="O100" s="53" t="s">
        <v>4794</v>
      </c>
      <c r="P100" s="54">
        <f>0.029376*Q100</f>
        <v>2.9375999999999999E-2</v>
      </c>
      <c r="Q100" s="215">
        <f>POWER(SI!E3,3)</f>
        <v>1</v>
      </c>
      <c r="R100" s="81" t="s">
        <v>33</v>
      </c>
      <c r="S100" s="53" t="s">
        <v>4792</v>
      </c>
      <c r="T100" s="54">
        <f>0.029376*U100</f>
        <v>2.9375999999999999E-2</v>
      </c>
      <c r="U100" s="215">
        <f>POWER(SI!E3,3)</f>
        <v>1</v>
      </c>
      <c r="V100" s="55" t="s">
        <v>33</v>
      </c>
    </row>
    <row r="101" spans="1:22" ht="16.5">
      <c r="A101" s="283"/>
      <c r="B101" s="307"/>
      <c r="C101" s="53" t="s">
        <v>6842</v>
      </c>
      <c r="D101" s="54">
        <f>0.64*E101</f>
        <v>0.64</v>
      </c>
      <c r="E101" s="215">
        <f>SI!E3</f>
        <v>1</v>
      </c>
      <c r="F101" s="55" t="s">
        <v>14</v>
      </c>
      <c r="G101" s="311"/>
      <c r="H101" s="313"/>
      <c r="I101" s="233"/>
      <c r="J101" s="314"/>
      <c r="K101" s="56" t="s">
        <v>6868</v>
      </c>
      <c r="L101" s="57">
        <f>0.3542*M101</f>
        <v>0.35420000000000001</v>
      </c>
      <c r="M101" s="216">
        <f>SI!E2</f>
        <v>1</v>
      </c>
      <c r="N101" s="58" t="s">
        <v>23</v>
      </c>
      <c r="O101" s="53" t="s">
        <v>4793</v>
      </c>
      <c r="P101" s="54">
        <f>0.02142*Q101</f>
        <v>2.1420000000000002E-2</v>
      </c>
      <c r="Q101" s="215">
        <f>POWER(SI!E3,3)</f>
        <v>1</v>
      </c>
      <c r="R101" s="81" t="s">
        <v>33</v>
      </c>
      <c r="S101" s="53" t="s">
        <v>4791</v>
      </c>
      <c r="T101" s="54">
        <f>0.02142*U101</f>
        <v>2.1420000000000002E-2</v>
      </c>
      <c r="U101" s="215">
        <f>POWER(SI!E3,3)</f>
        <v>1</v>
      </c>
      <c r="V101" s="55" t="s">
        <v>33</v>
      </c>
    </row>
    <row r="102" spans="1:22" ht="16.5">
      <c r="A102" s="283" t="s">
        <v>744</v>
      </c>
      <c r="B102" s="298" t="s">
        <v>476</v>
      </c>
      <c r="C102" s="308" t="s">
        <v>821</v>
      </c>
      <c r="D102" s="284">
        <f>0.8128*E102</f>
        <v>0.81279999999999997</v>
      </c>
      <c r="E102" s="284">
        <f>SI!E3</f>
        <v>1</v>
      </c>
      <c r="F102" s="293" t="s">
        <v>14</v>
      </c>
      <c r="G102" s="308" t="s">
        <v>930</v>
      </c>
      <c r="H102" s="310">
        <f>66064.384*I102</f>
        <v>66064.384000000005</v>
      </c>
      <c r="I102" s="315">
        <f>POWER(SI!E3,2)</f>
        <v>1</v>
      </c>
      <c r="J102" s="309" t="s">
        <v>39</v>
      </c>
      <c r="K102" s="290" t="s">
        <v>823</v>
      </c>
      <c r="L102" s="283">
        <f>92*M102</f>
        <v>92</v>
      </c>
      <c r="M102" s="283">
        <f>SI!E2</f>
        <v>1</v>
      </c>
      <c r="N102" s="279" t="s">
        <v>23</v>
      </c>
      <c r="O102" s="43" t="s">
        <v>6875</v>
      </c>
      <c r="P102" s="123">
        <f>0.00065*Q102</f>
        <v>6.4999999999999997E-4</v>
      </c>
      <c r="Q102" s="189">
        <f>POWER(SI!E3,3)</f>
        <v>1</v>
      </c>
      <c r="R102" s="97" t="s">
        <v>33</v>
      </c>
      <c r="S102" s="308" t="s">
        <v>4514</v>
      </c>
      <c r="T102" s="284">
        <f>POWER(D102,3)*U102</f>
        <v>0.53697131315199997</v>
      </c>
      <c r="U102" s="284">
        <f>POWER(SI!E3,3)</f>
        <v>1</v>
      </c>
      <c r="V102" s="293" t="s">
        <v>33</v>
      </c>
    </row>
    <row r="103" spans="1:22" ht="16.5">
      <c r="A103" s="283"/>
      <c r="B103" s="298"/>
      <c r="C103" s="290"/>
      <c r="D103" s="283"/>
      <c r="E103" s="283"/>
      <c r="F103" s="279"/>
      <c r="G103" s="290"/>
      <c r="H103" s="301"/>
      <c r="I103" s="280"/>
      <c r="J103" s="289"/>
      <c r="K103" s="290"/>
      <c r="L103" s="283"/>
      <c r="M103" s="283"/>
      <c r="N103" s="279"/>
      <c r="O103" s="43" t="s">
        <v>6876</v>
      </c>
      <c r="P103" s="123">
        <f>0.00063*Q103</f>
        <v>6.3000000000000003E-4</v>
      </c>
      <c r="Q103" s="189">
        <f>POWER(SI!E3,3)</f>
        <v>1</v>
      </c>
      <c r="R103" s="97" t="s">
        <v>33</v>
      </c>
      <c r="S103" s="290"/>
      <c r="T103" s="283"/>
      <c r="U103" s="283"/>
      <c r="V103" s="279"/>
    </row>
    <row r="104" spans="1:22" ht="16.5">
      <c r="A104" s="283"/>
      <c r="B104" s="298"/>
      <c r="C104" s="290"/>
      <c r="D104" s="283"/>
      <c r="E104" s="283"/>
      <c r="F104" s="279"/>
      <c r="G104" s="290"/>
      <c r="H104" s="301"/>
      <c r="I104" s="280"/>
      <c r="J104" s="289"/>
      <c r="K104" s="290"/>
      <c r="L104" s="283"/>
      <c r="M104" s="283"/>
      <c r="N104" s="279"/>
      <c r="O104" s="43" t="s">
        <v>6877</v>
      </c>
      <c r="P104" s="123">
        <f>0.00067*Q104</f>
        <v>6.7000000000000002E-4</v>
      </c>
      <c r="Q104" s="189">
        <f>POWER(SI!E3,3)</f>
        <v>1</v>
      </c>
      <c r="R104" s="97" t="s">
        <v>33</v>
      </c>
      <c r="S104" s="290"/>
      <c r="T104" s="283"/>
      <c r="U104" s="283"/>
      <c r="V104" s="279"/>
    </row>
    <row r="105" spans="1:22" ht="16.5">
      <c r="A105" s="48" t="s">
        <v>745</v>
      </c>
      <c r="B105" s="82" t="s">
        <v>195</v>
      </c>
      <c r="C105" s="79" t="s">
        <v>846</v>
      </c>
      <c r="D105" s="80">
        <f>0.10536*E105</f>
        <v>0.10536</v>
      </c>
      <c r="E105" s="93">
        <f>SI!E3</f>
        <v>1</v>
      </c>
      <c r="F105" s="81" t="s">
        <v>14</v>
      </c>
      <c r="G105" s="79" t="s">
        <v>4800</v>
      </c>
      <c r="H105" s="84">
        <f>POWER(D105*79286.25,2)*I105</f>
        <v>69782621.264960483</v>
      </c>
      <c r="I105" s="222">
        <f>POWER(SI!E3,2)</f>
        <v>1</v>
      </c>
      <c r="J105" s="81" t="s">
        <v>39</v>
      </c>
      <c r="K105" s="79" t="s">
        <v>834</v>
      </c>
      <c r="L105" s="92">
        <f>1.329479142678*M105</f>
        <v>1.3294791426779999</v>
      </c>
      <c r="M105" s="93">
        <f>SI!E2</f>
        <v>1</v>
      </c>
      <c r="N105" s="81" t="s">
        <v>23</v>
      </c>
      <c r="O105" s="79" t="s">
        <v>847</v>
      </c>
      <c r="P105" s="80">
        <f>0.0543*Q105</f>
        <v>5.4300000000000001E-2</v>
      </c>
      <c r="Q105" s="93">
        <f>POWER(SI!E3,3)</f>
        <v>1</v>
      </c>
      <c r="R105" s="81" t="s">
        <v>33</v>
      </c>
      <c r="S105" s="79" t="s">
        <v>4802</v>
      </c>
      <c r="T105" s="80">
        <f>POWER(D105,3)*U105</f>
        <v>1.1695728706559998E-3</v>
      </c>
      <c r="U105" s="93">
        <f>POWER(SI!E3,3)</f>
        <v>1</v>
      </c>
      <c r="V105" s="55" t="s">
        <v>33</v>
      </c>
    </row>
    <row r="106" spans="1:22" ht="16.5">
      <c r="A106" t="s">
        <v>746</v>
      </c>
      <c r="B106" t="s">
        <v>442</v>
      </c>
      <c r="C106" s="43" t="s">
        <v>868</v>
      </c>
      <c r="D106">
        <f>0.313857*E106</f>
        <v>0.313857</v>
      </c>
      <c r="E106">
        <f>SI!E3</f>
        <v>1</v>
      </c>
      <c r="F106" s="36" t="s">
        <v>14</v>
      </c>
      <c r="G106" s="43" t="s">
        <v>869</v>
      </c>
      <c r="H106" s="71">
        <f>POWER(6*D106,2)*I106</f>
        <v>3.5462237921639996</v>
      </c>
      <c r="I106" s="42">
        <f>POWER(SI!E3,2)</f>
        <v>1</v>
      </c>
      <c r="J106" s="97" t="s">
        <v>39</v>
      </c>
      <c r="K106" s="43" t="s">
        <v>858</v>
      </c>
      <c r="L106">
        <f>0.5*M106</f>
        <v>0.5</v>
      </c>
      <c r="M106">
        <f>SI!E2</f>
        <v>1</v>
      </c>
      <c r="N106" s="36" t="s">
        <v>23</v>
      </c>
      <c r="O106" s="43" t="s">
        <v>4805</v>
      </c>
      <c r="P106" s="246">
        <f>POWER(D106,3)*Q106</f>
        <v>3.0916865576033792E-2</v>
      </c>
      <c r="Q106" s="42">
        <f>POWER(SI!E3,3)</f>
        <v>1</v>
      </c>
      <c r="R106" s="97" t="s">
        <v>33</v>
      </c>
      <c r="S106" s="43" t="s">
        <v>870</v>
      </c>
      <c r="T106" s="179">
        <f>2*POWER(D106/4,3)*U106</f>
        <v>9.6615204925105599E-4</v>
      </c>
      <c r="U106" s="42">
        <f>POWER(SI!E3,3)</f>
        <v>1</v>
      </c>
      <c r="V106" s="97" t="s">
        <v>33</v>
      </c>
    </row>
    <row r="107" spans="1:22" ht="16.5">
      <c r="A107" s="303" t="s">
        <v>747</v>
      </c>
      <c r="B107" s="307" t="s">
        <v>41</v>
      </c>
      <c r="C107" s="79" t="s">
        <v>794</v>
      </c>
      <c r="D107" s="80">
        <f>0.457*E107</f>
        <v>0.45700000000000002</v>
      </c>
      <c r="E107" s="93">
        <f>SI!E3</f>
        <v>1</v>
      </c>
      <c r="F107" s="81" t="s">
        <v>14</v>
      </c>
      <c r="G107" s="79" t="s">
        <v>949</v>
      </c>
      <c r="H107" s="80">
        <f>540*I107</f>
        <v>540</v>
      </c>
      <c r="I107" s="93">
        <f>POWER(SI!E3,2)</f>
        <v>1</v>
      </c>
      <c r="J107" s="81" t="s">
        <v>39</v>
      </c>
      <c r="K107" s="79" t="s">
        <v>793</v>
      </c>
      <c r="L107" s="91">
        <f>0.047*M107</f>
        <v>4.7E-2</v>
      </c>
      <c r="M107" s="235">
        <f>SI!E2</f>
        <v>1</v>
      </c>
      <c r="N107" s="81" t="s">
        <v>23</v>
      </c>
      <c r="O107" s="49"/>
      <c r="P107" s="80"/>
      <c r="Q107" s="48"/>
      <c r="R107" s="51"/>
      <c r="S107" s="79" t="s">
        <v>795</v>
      </c>
      <c r="T107" s="80">
        <f>0.0132*U107</f>
        <v>1.32E-2</v>
      </c>
      <c r="U107" s="93">
        <f>POWER(SI!E3,3)</f>
        <v>1</v>
      </c>
      <c r="V107" s="55" t="s">
        <v>33</v>
      </c>
    </row>
    <row r="108" spans="1:22" ht="16.5">
      <c r="A108" s="283"/>
      <c r="B108" s="302"/>
      <c r="C108" s="79" t="s">
        <v>4895</v>
      </c>
      <c r="D108" s="80">
        <f>0.6858*E108</f>
        <v>0.68579999999999997</v>
      </c>
      <c r="E108" s="93">
        <f>SI!E3</f>
        <v>1</v>
      </c>
      <c r="F108" s="81" t="s">
        <v>14</v>
      </c>
      <c r="G108" s="79" t="s">
        <v>6856</v>
      </c>
      <c r="H108" s="116">
        <f>POWER(D108,2)*I108</f>
        <v>0.47032163999999993</v>
      </c>
      <c r="I108" s="222">
        <f>POWER(SI!E3,2)</f>
        <v>1</v>
      </c>
      <c r="J108" s="81" t="s">
        <v>39</v>
      </c>
      <c r="K108" s="79" t="s">
        <v>910</v>
      </c>
      <c r="L108" s="91">
        <f>0.93304*M108</f>
        <v>0.93303999999999998</v>
      </c>
      <c r="M108" s="235">
        <f>SI!E2</f>
        <v>1</v>
      </c>
      <c r="N108" s="81" t="s">
        <v>23</v>
      </c>
      <c r="O108" s="49" t="s">
        <v>909</v>
      </c>
      <c r="P108" s="80">
        <f>0.1101*Q108</f>
        <v>0.1101</v>
      </c>
      <c r="Q108" s="48">
        <f>POWER(SI!E3,3)</f>
        <v>1</v>
      </c>
      <c r="R108" s="51" t="s">
        <v>33</v>
      </c>
      <c r="S108" s="79" t="s">
        <v>910</v>
      </c>
      <c r="T108" s="80">
        <f>0.001*U108</f>
        <v>1E-3</v>
      </c>
      <c r="U108" s="93">
        <f>POWER(SI!E3,3)</f>
        <v>1</v>
      </c>
      <c r="V108" s="81" t="s">
        <v>33</v>
      </c>
    </row>
    <row r="109" spans="1:22" ht="16.5">
      <c r="A109" s="283"/>
      <c r="B109" s="302"/>
      <c r="C109" s="79" t="s">
        <v>4896</v>
      </c>
      <c r="D109" s="80">
        <f>0.915*E109</f>
        <v>0.91500000000000004</v>
      </c>
      <c r="E109" s="93">
        <f>SI!E3</f>
        <v>1</v>
      </c>
      <c r="F109" s="81" t="s">
        <v>14</v>
      </c>
      <c r="G109" s="79" t="s">
        <v>4931</v>
      </c>
      <c r="H109" s="80">
        <f>POWER(D109,2)*I109</f>
        <v>0.83722500000000011</v>
      </c>
      <c r="I109" s="93">
        <f>POWER(SI!E3,2)</f>
        <v>1</v>
      </c>
      <c r="J109" s="81" t="s">
        <v>39</v>
      </c>
      <c r="K109" s="79" t="s">
        <v>795</v>
      </c>
      <c r="L109" s="193">
        <f>13.2*M109</f>
        <v>13.2</v>
      </c>
      <c r="M109" s="235">
        <f>SI!E2</f>
        <v>1</v>
      </c>
      <c r="N109" s="81" t="s">
        <v>23</v>
      </c>
      <c r="O109" s="49"/>
      <c r="P109" s="80"/>
      <c r="Q109" s="48"/>
      <c r="R109" s="51"/>
      <c r="S109" s="79"/>
      <c r="T109" s="80"/>
      <c r="U109" s="93"/>
      <c r="V109" s="81"/>
    </row>
    <row r="110" spans="1:22" ht="16.5">
      <c r="A110" s="283"/>
      <c r="B110" s="302"/>
      <c r="C110" s="79"/>
      <c r="D110" s="80"/>
      <c r="E110" s="93"/>
      <c r="F110" s="81"/>
      <c r="G110" s="79" t="s">
        <v>951</v>
      </c>
      <c r="H110" s="80">
        <f>20.3*I110</f>
        <v>20.3</v>
      </c>
      <c r="I110" s="93">
        <f>POWER(SI!E3,2)</f>
        <v>1</v>
      </c>
      <c r="J110" s="81" t="s">
        <v>39</v>
      </c>
      <c r="K110" s="79"/>
      <c r="L110" s="116"/>
      <c r="M110" s="220"/>
      <c r="N110" s="81"/>
      <c r="O110" s="49"/>
      <c r="P110" s="80"/>
      <c r="Q110" s="48"/>
      <c r="R110" s="50"/>
      <c r="S110" s="79"/>
      <c r="T110" s="80"/>
      <c r="U110" s="93"/>
      <c r="V110" s="81"/>
    </row>
    <row r="111" spans="1:22" ht="16.5">
      <c r="A111" s="283"/>
      <c r="B111" s="302"/>
      <c r="C111" s="79"/>
      <c r="D111" s="80"/>
      <c r="E111" s="93"/>
      <c r="F111" s="81"/>
      <c r="G111" s="79" t="s">
        <v>952</v>
      </c>
      <c r="H111" s="80">
        <f>307.5*I111</f>
        <v>307.5</v>
      </c>
      <c r="I111" s="93">
        <f>POWER(SI!E3,2)</f>
        <v>1</v>
      </c>
      <c r="J111" s="81" t="s">
        <v>39</v>
      </c>
      <c r="K111" s="79"/>
      <c r="L111" s="91"/>
      <c r="M111" s="223"/>
      <c r="N111" s="81"/>
      <c r="O111" s="49"/>
      <c r="P111" s="80"/>
      <c r="Q111" s="48"/>
      <c r="R111" s="50"/>
      <c r="S111" s="79"/>
      <c r="T111" s="80"/>
      <c r="U111" s="93"/>
      <c r="V111" s="81"/>
    </row>
    <row r="112" spans="1:22" ht="16.5">
      <c r="A112" s="283"/>
      <c r="B112" s="302"/>
      <c r="C112" s="79"/>
      <c r="D112" s="80"/>
      <c r="E112" s="93"/>
      <c r="F112" s="81"/>
      <c r="G112" s="79" t="s">
        <v>953</v>
      </c>
      <c r="H112" s="80">
        <f>0.02962*I112</f>
        <v>2.962E-2</v>
      </c>
      <c r="I112" s="93">
        <f>POWER(SI!E3,2)</f>
        <v>1</v>
      </c>
      <c r="J112" s="81" t="s">
        <v>39</v>
      </c>
      <c r="K112" s="79"/>
      <c r="L112" s="91"/>
      <c r="M112" s="223"/>
      <c r="N112" s="81"/>
      <c r="O112" s="49"/>
      <c r="P112" s="80"/>
      <c r="Q112" s="48"/>
      <c r="R112" s="50"/>
      <c r="S112" s="79"/>
      <c r="T112" s="80"/>
      <c r="U112" s="93"/>
      <c r="V112" s="81"/>
    </row>
    <row r="113" spans="1:22" ht="16.5">
      <c r="A113" s="283" t="s">
        <v>748</v>
      </c>
      <c r="B113" s="298" t="s">
        <v>457</v>
      </c>
      <c r="C113" s="43" t="s">
        <v>921</v>
      </c>
      <c r="D113">
        <f>1.7*E113</f>
        <v>1.7</v>
      </c>
      <c r="E113">
        <f>SI!E3</f>
        <v>1</v>
      </c>
      <c r="F113" s="36" t="s">
        <v>14</v>
      </c>
      <c r="G113" s="43" t="s">
        <v>1003</v>
      </c>
      <c r="H113" s="96">
        <f>7096.5*I113</f>
        <v>7096.5</v>
      </c>
      <c r="I113" s="146">
        <f>POWER(SI!E3,2)</f>
        <v>1</v>
      </c>
      <c r="J113" s="97" t="s">
        <v>39</v>
      </c>
      <c r="K113" s="43" t="s">
        <v>923</v>
      </c>
      <c r="L113" s="121">
        <f>61.7613025*M113</f>
        <v>61.761302499999999</v>
      </c>
      <c r="M113" s="42">
        <f>SI!E2</f>
        <v>1</v>
      </c>
      <c r="N113" s="36" t="s">
        <v>23</v>
      </c>
      <c r="O113" s="43" t="s">
        <v>922</v>
      </c>
      <c r="P113">
        <f>0.0015751*Q113</f>
        <v>1.5751000000000001E-3</v>
      </c>
      <c r="Q113">
        <f>POWER(SI!E3,3)</f>
        <v>1</v>
      </c>
      <c r="R113" s="36" t="s">
        <v>33</v>
      </c>
      <c r="S113" s="43" t="s">
        <v>4939</v>
      </c>
      <c r="T113">
        <f>POWER(D113,3)*U113</f>
        <v>4.9129999999999994</v>
      </c>
      <c r="U113">
        <f>POWER(SI!E3,3)</f>
        <v>1</v>
      </c>
      <c r="V113" s="97" t="s">
        <v>33</v>
      </c>
    </row>
    <row r="114" spans="1:22">
      <c r="A114" s="283"/>
      <c r="B114" s="298"/>
      <c r="C114" s="43"/>
      <c r="G114" s="43"/>
      <c r="H114" s="96"/>
      <c r="I114" s="146"/>
      <c r="J114" s="97"/>
      <c r="K114" s="43" t="s">
        <v>4948</v>
      </c>
      <c r="L114" s="121">
        <f>54.09*M114</f>
        <v>54.09</v>
      </c>
      <c r="M114" s="42">
        <f>SI!E2</f>
        <v>1</v>
      </c>
      <c r="N114" s="36" t="s">
        <v>23</v>
      </c>
      <c r="O114" s="43"/>
      <c r="S114" s="43"/>
      <c r="V114" s="46"/>
    </row>
    <row r="115" spans="1:22">
      <c r="A115" s="283"/>
      <c r="B115" s="298"/>
      <c r="C115" s="43"/>
      <c r="G115" s="43"/>
      <c r="H115" s="96"/>
      <c r="I115" s="146"/>
      <c r="J115" s="97"/>
      <c r="K115" s="43" t="s">
        <v>4947</v>
      </c>
      <c r="L115" s="121">
        <f>38.601*M115</f>
        <v>38.600999999999999</v>
      </c>
      <c r="M115" s="42">
        <f>SI!E2</f>
        <v>1</v>
      </c>
      <c r="N115" s="36" t="s">
        <v>23</v>
      </c>
      <c r="O115" s="43"/>
      <c r="S115" s="43"/>
      <c r="V115" s="46"/>
    </row>
    <row r="116" spans="1:22" ht="16.5">
      <c r="A116" s="303" t="s">
        <v>749</v>
      </c>
      <c r="B116" s="328" t="s">
        <v>466</v>
      </c>
      <c r="C116" s="79" t="s">
        <v>200</v>
      </c>
      <c r="D116" s="80">
        <f>0.3048*E116</f>
        <v>0.30480000000000002</v>
      </c>
      <c r="E116" s="93">
        <f>SI!E3</f>
        <v>1</v>
      </c>
      <c r="F116" s="81" t="s">
        <v>14</v>
      </c>
      <c r="G116" s="79"/>
      <c r="H116" s="80"/>
      <c r="I116" s="93"/>
      <c r="J116" s="82"/>
      <c r="K116" s="79"/>
      <c r="L116" s="80"/>
      <c r="M116" s="93"/>
      <c r="N116" s="81"/>
      <c r="O116" s="79" t="s">
        <v>818</v>
      </c>
      <c r="P116" s="83">
        <f>217.6*POWER(D116/12,3)*Q116</f>
        <v>3.5658251264000006E-3</v>
      </c>
      <c r="Q116" s="222">
        <f>POWER(SI!E3,3)</f>
        <v>1</v>
      </c>
      <c r="R116" s="81" t="s">
        <v>33</v>
      </c>
      <c r="S116" s="79" t="s">
        <v>4589</v>
      </c>
      <c r="T116" s="80">
        <f>POWER(D116,3)</f>
        <v>2.8316846592000004E-2</v>
      </c>
      <c r="U116" s="93">
        <f>POWER(SI!E3,3)</f>
        <v>1</v>
      </c>
      <c r="V116" s="81" t="s">
        <v>33</v>
      </c>
    </row>
    <row r="117" spans="1:22" ht="16.5">
      <c r="A117" s="283"/>
      <c r="B117" s="298"/>
      <c r="C117" s="49" t="s">
        <v>1004</v>
      </c>
      <c r="D117" s="48">
        <f>0.25*E117</f>
        <v>0.25</v>
      </c>
      <c r="E117" s="48">
        <f>SI!E3</f>
        <v>1</v>
      </c>
      <c r="F117" s="51" t="s">
        <v>14</v>
      </c>
      <c r="G117" s="49" t="s">
        <v>1005</v>
      </c>
      <c r="H117" s="199">
        <f>4840*POWER(3*D6,2)*I117</f>
        <v>4046.8564224000011</v>
      </c>
      <c r="I117" s="231">
        <f>POWER(SI!E3,2)</f>
        <v>1</v>
      </c>
      <c r="J117" s="81" t="s">
        <v>39</v>
      </c>
      <c r="K117" s="49" t="s">
        <v>1006</v>
      </c>
      <c r="L117" s="48">
        <f>0.0004*M117</f>
        <v>4.0000000000000002E-4</v>
      </c>
      <c r="M117" s="48">
        <f>SI!E2</f>
        <v>1</v>
      </c>
      <c r="N117" s="51" t="s">
        <v>23</v>
      </c>
      <c r="O117" s="49" t="s">
        <v>1007</v>
      </c>
      <c r="P117" s="183">
        <f>0.66*Q117</f>
        <v>0.66</v>
      </c>
      <c r="Q117" s="231">
        <f>POWER(SI!E3,3)</f>
        <v>1</v>
      </c>
      <c r="R117" s="81" t="s">
        <v>33</v>
      </c>
      <c r="S117" s="49" t="s">
        <v>4979</v>
      </c>
      <c r="T117" s="48">
        <f>POWER(D117,3)*U117</f>
        <v>1.5625E-2</v>
      </c>
      <c r="U117" s="48">
        <f>POWER(SI!E3,3)</f>
        <v>1</v>
      </c>
      <c r="V117" s="81" t="s">
        <v>33</v>
      </c>
    </row>
    <row r="118" spans="1:22" ht="16.5">
      <c r="A118" s="283" t="s">
        <v>750</v>
      </c>
      <c r="B118" s="298" t="s">
        <v>77</v>
      </c>
      <c r="C118" s="290" t="s">
        <v>6843</v>
      </c>
      <c r="D118" s="283">
        <f>0.51377*E118</f>
        <v>0.51376999999999995</v>
      </c>
      <c r="E118" s="283">
        <f>SI!E3</f>
        <v>1</v>
      </c>
      <c r="F118" s="279" t="s">
        <v>14</v>
      </c>
      <c r="G118" s="290" t="s">
        <v>960</v>
      </c>
      <c r="H118" s="283">
        <f>3800*I118</f>
        <v>3800</v>
      </c>
      <c r="I118" s="283">
        <f>POWER(SI!E3,2)</f>
        <v>1</v>
      </c>
      <c r="J118" s="279" t="s">
        <v>39</v>
      </c>
      <c r="K118" s="290" t="s">
        <v>820</v>
      </c>
      <c r="L118" s="283">
        <f>0.307*M118</f>
        <v>0.307</v>
      </c>
      <c r="M118" s="283">
        <f>SI!E2</f>
        <v>1</v>
      </c>
      <c r="N118" s="279" t="s">
        <v>23</v>
      </c>
      <c r="O118" s="43" t="s">
        <v>6881</v>
      </c>
      <c r="P118">
        <f>0.03343*Q118</f>
        <v>3.3430000000000001E-2</v>
      </c>
      <c r="Q118">
        <f>POWER(SI!E3,3)</f>
        <v>1</v>
      </c>
      <c r="R118" s="36" t="s">
        <v>33</v>
      </c>
      <c r="S118" s="28" t="s">
        <v>4990</v>
      </c>
      <c r="T118" s="27">
        <f>POWER(D118,3)*U118</f>
        <v>0.13561453031963297</v>
      </c>
      <c r="U118" s="27">
        <f>POWER(SI!E3,3)</f>
        <v>1</v>
      </c>
      <c r="V118" s="97" t="s">
        <v>33</v>
      </c>
    </row>
    <row r="119" spans="1:22" ht="16.5">
      <c r="A119" s="283"/>
      <c r="B119" s="298"/>
      <c r="C119" s="290"/>
      <c r="D119" s="283"/>
      <c r="E119" s="283"/>
      <c r="F119" s="279"/>
      <c r="G119" s="290"/>
      <c r="H119" s="283"/>
      <c r="I119" s="283"/>
      <c r="J119" s="279"/>
      <c r="K119" s="290"/>
      <c r="L119" s="283"/>
      <c r="M119" s="283"/>
      <c r="N119" s="279"/>
      <c r="O119" s="43" t="s">
        <v>6889</v>
      </c>
      <c r="P119">
        <f>0.0456*Q119</f>
        <v>4.5600000000000002E-2</v>
      </c>
      <c r="Q119">
        <f>POWER(SI!E3,3)</f>
        <v>1</v>
      </c>
      <c r="R119" s="36" t="s">
        <v>33</v>
      </c>
      <c r="S119" s="28"/>
      <c r="T119" s="27"/>
      <c r="U119" s="27"/>
      <c r="V119" s="75"/>
    </row>
    <row r="120" spans="1:22" ht="16.5">
      <c r="A120" s="303" t="s">
        <v>751</v>
      </c>
      <c r="B120" s="328" t="s">
        <v>108</v>
      </c>
      <c r="C120" s="79" t="s">
        <v>375</v>
      </c>
      <c r="D120" s="83">
        <f>(10/33)*E120</f>
        <v>0.30303030303030304</v>
      </c>
      <c r="E120" s="222">
        <f>SI!E3</f>
        <v>1</v>
      </c>
      <c r="F120" s="117" t="s">
        <v>14</v>
      </c>
      <c r="G120" s="79" t="s">
        <v>926</v>
      </c>
      <c r="H120" s="83">
        <f>(100/30.25)*I120</f>
        <v>3.3057851239669422</v>
      </c>
      <c r="I120" s="222">
        <f>POWER(SI!E3,2)</f>
        <v>1</v>
      </c>
      <c r="J120" s="117" t="s">
        <v>39</v>
      </c>
      <c r="K120" s="79" t="s">
        <v>927</v>
      </c>
      <c r="L120" s="80">
        <f>(15/4)*M120</f>
        <v>3.75</v>
      </c>
      <c r="M120" s="93">
        <f>SI!E2</f>
        <v>1</v>
      </c>
      <c r="N120" s="117" t="s">
        <v>23</v>
      </c>
      <c r="O120" s="79" t="s">
        <v>377</v>
      </c>
      <c r="P120" s="122">
        <f>(2401/1331)*0.001*Q120</f>
        <v>1.8039068369646882E-3</v>
      </c>
      <c r="Q120" s="222">
        <f>POWER(SI!E3,3)</f>
        <v>1</v>
      </c>
      <c r="R120" s="81" t="s">
        <v>33</v>
      </c>
      <c r="S120" s="79" t="s">
        <v>4994</v>
      </c>
      <c r="T120" s="165">
        <f>POWER(D120,3)*U120</f>
        <v>2.7826474107465846E-2</v>
      </c>
      <c r="U120" s="93">
        <f>POWER(SI!E3,3)</f>
        <v>1</v>
      </c>
      <c r="V120" s="81" t="s">
        <v>33</v>
      </c>
    </row>
    <row r="121" spans="1:22">
      <c r="A121" s="283"/>
      <c r="B121" s="298"/>
      <c r="C121" s="49"/>
      <c r="D121" s="183"/>
      <c r="E121" s="183"/>
      <c r="F121" s="50"/>
      <c r="G121" s="49"/>
      <c r="H121" s="184"/>
      <c r="I121" s="183"/>
      <c r="J121" s="117"/>
      <c r="K121" s="49" t="s">
        <v>978</v>
      </c>
      <c r="L121" s="48">
        <f>0.03751*M121</f>
        <v>3.7510000000000002E-2</v>
      </c>
      <c r="M121" s="48">
        <f>SI!E2</f>
        <v>1</v>
      </c>
      <c r="N121" s="50" t="s">
        <v>23</v>
      </c>
      <c r="O121" s="49"/>
      <c r="P121" s="185"/>
      <c r="Q121" s="185"/>
      <c r="R121" s="81"/>
      <c r="S121" s="49"/>
      <c r="T121" s="48"/>
      <c r="U121" s="48"/>
      <c r="V121" s="51"/>
    </row>
    <row r="122" spans="1:22" ht="16.5">
      <c r="A122" s="283" t="s">
        <v>752</v>
      </c>
      <c r="B122" s="298" t="s">
        <v>448</v>
      </c>
      <c r="C122" s="290" t="s">
        <v>875</v>
      </c>
      <c r="D122" s="283">
        <f>0.537*E122</f>
        <v>0.53700000000000003</v>
      </c>
      <c r="E122" s="283">
        <f>SI!E3</f>
        <v>1</v>
      </c>
      <c r="F122" s="279" t="s">
        <v>14</v>
      </c>
      <c r="G122" s="290" t="s">
        <v>876</v>
      </c>
      <c r="H122" s="301">
        <f>148.64*I122</f>
        <v>148.63999999999999</v>
      </c>
      <c r="I122" s="280">
        <f>POWER(SI!E3,2)</f>
        <v>1</v>
      </c>
      <c r="J122" s="289" t="s">
        <v>39</v>
      </c>
      <c r="K122" s="290" t="s">
        <v>840</v>
      </c>
      <c r="L122" s="283">
        <f>0.419*M122</f>
        <v>0.41899999999999998</v>
      </c>
      <c r="M122" s="283">
        <f>SI!E2</f>
        <v>1</v>
      </c>
      <c r="N122" s="279" t="s">
        <v>23</v>
      </c>
      <c r="O122" s="43" t="s">
        <v>877</v>
      </c>
      <c r="P122">
        <f>0.0012752*Q122</f>
        <v>1.2752E-3</v>
      </c>
      <c r="Q122">
        <f>POWER(SI!E3,3)</f>
        <v>1</v>
      </c>
      <c r="R122" s="97" t="s">
        <v>33</v>
      </c>
      <c r="S122" s="290" t="s">
        <v>964</v>
      </c>
      <c r="T122" s="283">
        <f>0.0109106208*U122</f>
        <v>1.09106208E-2</v>
      </c>
      <c r="U122" s="283">
        <f>POWER(SI!E3,3)</f>
        <v>1</v>
      </c>
      <c r="V122" s="279" t="s">
        <v>33</v>
      </c>
    </row>
    <row r="123" spans="1:22" ht="16.5">
      <c r="A123" s="283"/>
      <c r="B123" s="298"/>
      <c r="C123" s="290"/>
      <c r="D123" s="283"/>
      <c r="E123" s="283"/>
      <c r="F123" s="279"/>
      <c r="G123" s="290"/>
      <c r="H123" s="301"/>
      <c r="I123" s="280"/>
      <c r="J123" s="289"/>
      <c r="K123" s="290"/>
      <c r="L123" s="283"/>
      <c r="M123" s="283"/>
      <c r="N123" s="279"/>
      <c r="O123" s="43" t="s">
        <v>878</v>
      </c>
      <c r="P123">
        <f>4.077*Q123</f>
        <v>4.077</v>
      </c>
      <c r="Q123">
        <f>POWER(SI!E3,3)</f>
        <v>1</v>
      </c>
      <c r="R123" s="97" t="s">
        <v>33</v>
      </c>
      <c r="S123" s="290"/>
      <c r="T123" s="283"/>
      <c r="U123" s="283"/>
      <c r="V123" s="279"/>
    </row>
    <row r="124" spans="1:22" ht="16.5">
      <c r="A124" s="48" t="s">
        <v>753</v>
      </c>
      <c r="B124" s="48" t="s">
        <v>464</v>
      </c>
      <c r="C124" s="79" t="s">
        <v>835</v>
      </c>
      <c r="D124" s="80">
        <f>0.68*E124</f>
        <v>0.68</v>
      </c>
      <c r="E124" s="93">
        <f>SI!E3</f>
        <v>1</v>
      </c>
      <c r="F124" s="117" t="s">
        <v>14</v>
      </c>
      <c r="G124" s="79" t="s">
        <v>4345</v>
      </c>
      <c r="H124" s="80">
        <f>POWER(D124,2)*I124</f>
        <v>0.46240000000000009</v>
      </c>
      <c r="I124" s="93">
        <f>POWER(SI!E3,2)</f>
        <v>1</v>
      </c>
      <c r="J124" s="117" t="s">
        <v>39</v>
      </c>
      <c r="K124" s="79" t="s">
        <v>828</v>
      </c>
      <c r="L124" s="80">
        <f>0.5128*M124</f>
        <v>0.51280000000000003</v>
      </c>
      <c r="M124" s="93">
        <f>SI!E2</f>
        <v>1</v>
      </c>
      <c r="N124" s="117" t="s">
        <v>23</v>
      </c>
      <c r="O124" s="79" t="s">
        <v>890</v>
      </c>
      <c r="P124" s="80">
        <f>0.0624975*Q124</f>
        <v>6.2497499999999997E-2</v>
      </c>
      <c r="Q124" s="93">
        <f>POWER(SI!E3,3)</f>
        <v>1</v>
      </c>
      <c r="R124" s="81" t="s">
        <v>33</v>
      </c>
      <c r="S124" s="79" t="s">
        <v>891</v>
      </c>
      <c r="T124" s="80">
        <f>0.007692*U124</f>
        <v>7.6920000000000001E-3</v>
      </c>
      <c r="U124" s="93">
        <f>POWER(SI!E3,3)</f>
        <v>1</v>
      </c>
      <c r="V124" s="81" t="s">
        <v>33</v>
      </c>
    </row>
    <row r="125" spans="1:22" ht="16.5">
      <c r="A125" s="283" t="s">
        <v>754</v>
      </c>
      <c r="B125" s="298" t="s">
        <v>463</v>
      </c>
      <c r="C125" s="290" t="s">
        <v>827</v>
      </c>
      <c r="D125" s="283">
        <f>2.088*E125</f>
        <v>2.0880000000000001</v>
      </c>
      <c r="E125" s="283">
        <f>SI!E3</f>
        <v>1</v>
      </c>
      <c r="F125" s="279" t="s">
        <v>14</v>
      </c>
      <c r="G125" s="290" t="s">
        <v>4998</v>
      </c>
      <c r="H125" s="317">
        <f>POWER(D125,2)*I125</f>
        <v>4.3597440000000001</v>
      </c>
      <c r="I125" s="282">
        <f>POWER(SI!E3,2)</f>
        <v>1</v>
      </c>
      <c r="J125" s="279" t="s">
        <v>39</v>
      </c>
      <c r="K125" s="290" t="s">
        <v>828</v>
      </c>
      <c r="L125" s="283">
        <f>0.79379*M125</f>
        <v>0.79379</v>
      </c>
      <c r="M125" s="283">
        <f>SI!E2</f>
        <v>1</v>
      </c>
      <c r="N125" s="279" t="s">
        <v>23</v>
      </c>
      <c r="O125" s="43" t="s">
        <v>829</v>
      </c>
      <c r="P125">
        <f>290.944*Q125</f>
        <v>290.94400000000002</v>
      </c>
      <c r="Q125">
        <f>POWER(SI!E3,3)</f>
        <v>1</v>
      </c>
      <c r="R125" s="36" t="s">
        <v>33</v>
      </c>
      <c r="S125" s="290" t="s">
        <v>1010</v>
      </c>
      <c r="T125" s="283">
        <f>4*0.004546092*U125</f>
        <v>1.8184367999999999E-2</v>
      </c>
      <c r="U125" s="283">
        <f>POWER(SI!E3,3)</f>
        <v>1</v>
      </c>
      <c r="V125" s="279" t="s">
        <v>33</v>
      </c>
    </row>
    <row r="126" spans="1:22" ht="16.5">
      <c r="A126" s="283"/>
      <c r="B126" s="298"/>
      <c r="C126" s="290"/>
      <c r="D126" s="283"/>
      <c r="E126" s="283"/>
      <c r="F126" s="279"/>
      <c r="G126" s="290"/>
      <c r="H126" s="317"/>
      <c r="I126" s="283"/>
      <c r="J126" s="279"/>
      <c r="K126" s="290"/>
      <c r="L126" s="283"/>
      <c r="M126" s="283"/>
      <c r="N126" s="279"/>
      <c r="O126" s="43" t="s">
        <v>830</v>
      </c>
      <c r="P126">
        <f>43.162*Q126</f>
        <v>43.161999999999999</v>
      </c>
      <c r="Q126">
        <f>POWER(SI!E3,3)</f>
        <v>1</v>
      </c>
      <c r="R126" s="36" t="s">
        <v>33</v>
      </c>
      <c r="S126" s="290"/>
      <c r="T126" s="283"/>
      <c r="U126" s="283"/>
      <c r="V126" s="279"/>
    </row>
    <row r="127" spans="1:22" ht="16.5">
      <c r="A127" s="283"/>
      <c r="B127" s="298"/>
      <c r="C127" s="290"/>
      <c r="D127" s="283"/>
      <c r="E127" s="283"/>
      <c r="F127" s="279"/>
      <c r="G127" s="290"/>
      <c r="H127" s="317"/>
      <c r="I127" s="283"/>
      <c r="J127" s="279"/>
      <c r="K127" s="290"/>
      <c r="L127" s="283"/>
      <c r="M127" s="283"/>
      <c r="N127" s="279"/>
      <c r="O127" s="43" t="s">
        <v>831</v>
      </c>
      <c r="P127">
        <f>20.457*Q127</f>
        <v>20.457000000000001</v>
      </c>
      <c r="Q127">
        <f>POWER(SI!E3,3)</f>
        <v>1</v>
      </c>
      <c r="R127" s="36" t="s">
        <v>33</v>
      </c>
      <c r="S127" s="290"/>
      <c r="T127" s="283"/>
      <c r="U127" s="283"/>
      <c r="V127" s="279"/>
    </row>
    <row r="128" spans="1:22" ht="16.5">
      <c r="A128" s="141" t="s">
        <v>947</v>
      </c>
      <c r="B128" s="156" t="s">
        <v>497</v>
      </c>
      <c r="C128" s="143"/>
      <c r="D128" s="77"/>
      <c r="E128" s="141"/>
      <c r="F128" s="114"/>
      <c r="G128" s="143"/>
      <c r="H128" s="77"/>
      <c r="I128" s="141"/>
      <c r="J128" s="142"/>
      <c r="K128" s="143"/>
      <c r="L128" s="77"/>
      <c r="M128" s="141"/>
      <c r="N128" s="114"/>
      <c r="O128" s="49" t="s">
        <v>948</v>
      </c>
      <c r="P128" s="80">
        <f>0.22711*Q128</f>
        <v>0.22711000000000001</v>
      </c>
      <c r="Q128" s="48">
        <f>POWER(SI!E3,3)</f>
        <v>1</v>
      </c>
      <c r="R128" s="50" t="s">
        <v>33</v>
      </c>
      <c r="S128" s="143"/>
      <c r="T128" s="141"/>
      <c r="U128" s="141"/>
      <c r="V128" s="114"/>
    </row>
    <row r="129" spans="1:22" ht="16.5">
      <c r="A129" s="283" t="s">
        <v>755</v>
      </c>
      <c r="B129" s="298" t="s">
        <v>438</v>
      </c>
      <c r="C129" s="290" t="s">
        <v>821</v>
      </c>
      <c r="D129" s="283">
        <f>0.838*E129</f>
        <v>0.83799999999999997</v>
      </c>
      <c r="E129" s="283">
        <f>SI!E3</f>
        <v>1</v>
      </c>
      <c r="F129" s="279" t="s">
        <v>14</v>
      </c>
      <c r="G129" s="290" t="s">
        <v>823</v>
      </c>
      <c r="H129" s="317">
        <f>35662.759296*I129</f>
        <v>35662.759295999997</v>
      </c>
      <c r="I129" s="282">
        <f>POWER(SI!E3,2)</f>
        <v>1</v>
      </c>
      <c r="J129" s="279" t="s">
        <v>39</v>
      </c>
      <c r="K129" s="290" t="s">
        <v>820</v>
      </c>
      <c r="L129" s="283">
        <f>0.46024634*M129</f>
        <v>0.46024633999999998</v>
      </c>
      <c r="M129" s="283">
        <f>SI!E2</f>
        <v>1</v>
      </c>
      <c r="N129" s="279" t="s">
        <v>23</v>
      </c>
      <c r="O129" s="95" t="s">
        <v>5010</v>
      </c>
      <c r="P129" s="96">
        <f>0.000456264*Q129</f>
        <v>4.5626400000000001E-4</v>
      </c>
      <c r="Q129" s="146">
        <f>POWER(SI!E3,3)</f>
        <v>1</v>
      </c>
      <c r="R129" s="97" t="s">
        <v>33</v>
      </c>
      <c r="S129" s="290" t="s">
        <v>936</v>
      </c>
      <c r="T129" s="283">
        <f>0.0018918*U129</f>
        <v>1.8917999999999999E-3</v>
      </c>
      <c r="U129" s="283">
        <f>POWER(SI!E3,3)</f>
        <v>1</v>
      </c>
      <c r="V129" s="279" t="s">
        <v>33</v>
      </c>
    </row>
    <row r="130" spans="1:22" ht="16.5">
      <c r="A130" s="283"/>
      <c r="B130" s="298"/>
      <c r="C130" s="290"/>
      <c r="D130" s="283"/>
      <c r="E130" s="283"/>
      <c r="F130" s="279"/>
      <c r="G130" s="290"/>
      <c r="H130" s="317"/>
      <c r="I130" s="283"/>
      <c r="J130" s="279"/>
      <c r="K130" s="290"/>
      <c r="L130" s="283"/>
      <c r="M130" s="283"/>
      <c r="N130" s="279"/>
      <c r="O130" s="43" t="s">
        <v>5009</v>
      </c>
      <c r="P130">
        <f>0.000506162*Q130</f>
        <v>5.06162E-4</v>
      </c>
      <c r="Q130">
        <f>POWER(SI!E3,3)</f>
        <v>1</v>
      </c>
      <c r="R130" s="97" t="s">
        <v>33</v>
      </c>
      <c r="S130" s="290"/>
      <c r="T130" s="283"/>
      <c r="U130" s="283"/>
      <c r="V130" s="279"/>
    </row>
    <row r="131" spans="1:22" ht="16.5">
      <c r="A131" s="144" t="s">
        <v>756</v>
      </c>
      <c r="B131" s="145" t="s">
        <v>458</v>
      </c>
      <c r="C131" s="49" t="s">
        <v>48</v>
      </c>
      <c r="D131" s="80">
        <f>1.6*E131</f>
        <v>1.6</v>
      </c>
      <c r="E131" s="48">
        <f>SI!E3</f>
        <v>1</v>
      </c>
      <c r="F131" s="50" t="s">
        <v>14</v>
      </c>
      <c r="G131" s="49" t="s">
        <v>4396</v>
      </c>
      <c r="H131" s="80">
        <f>POWER(D131,2)*I131</f>
        <v>2.5600000000000005</v>
      </c>
      <c r="I131" s="48">
        <f>POWER(SI!E3,2)</f>
        <v>1</v>
      </c>
      <c r="J131" s="117" t="s">
        <v>39</v>
      </c>
      <c r="K131" s="49" t="s">
        <v>942</v>
      </c>
      <c r="L131" s="80">
        <f>109*M131</f>
        <v>109</v>
      </c>
      <c r="M131" s="48">
        <f>SI!E2</f>
        <v>1</v>
      </c>
      <c r="N131" s="50" t="s">
        <v>23</v>
      </c>
      <c r="O131" s="49" t="s">
        <v>4397</v>
      </c>
      <c r="P131" s="80">
        <f>POWER(D131,3)*Q131</f>
        <v>4.096000000000001</v>
      </c>
      <c r="Q131" s="48">
        <f>POWER(SI!E3,3)</f>
        <v>1</v>
      </c>
      <c r="R131" s="50" t="s">
        <v>33</v>
      </c>
      <c r="S131" s="49" t="s">
        <v>4397</v>
      </c>
      <c r="T131" s="48">
        <f>POWER(D131,3)*U131</f>
        <v>4.096000000000001</v>
      </c>
      <c r="U131" s="48">
        <f>POWER(SI!E3,3)</f>
        <v>1</v>
      </c>
      <c r="V131" s="81" t="s">
        <v>33</v>
      </c>
    </row>
    <row r="132" spans="1:22" ht="16.5">
      <c r="A132" t="s">
        <v>757</v>
      </c>
      <c r="B132" t="s">
        <v>456</v>
      </c>
      <c r="C132" s="95" t="s">
        <v>835</v>
      </c>
      <c r="D132" s="96">
        <f>0.61*E132</f>
        <v>0.61</v>
      </c>
      <c r="E132" s="146">
        <f>SI!E3</f>
        <v>1</v>
      </c>
      <c r="F132" s="118" t="s">
        <v>14</v>
      </c>
      <c r="G132" s="95" t="s">
        <v>4345</v>
      </c>
      <c r="H132" s="96">
        <f>POWER(D132,2)*I132</f>
        <v>0.37209999999999999</v>
      </c>
      <c r="I132" s="146">
        <f>POWER(SI!E3,2)</f>
        <v>1</v>
      </c>
      <c r="J132" s="97" t="s">
        <v>39</v>
      </c>
      <c r="K132" s="95" t="s">
        <v>883</v>
      </c>
      <c r="L132" s="96">
        <f>0.5075*M132</f>
        <v>0.50749999999999995</v>
      </c>
      <c r="M132" s="146">
        <f>SI!E2</f>
        <v>1</v>
      </c>
      <c r="N132" s="118" t="s">
        <v>23</v>
      </c>
      <c r="O132" s="95" t="s">
        <v>884</v>
      </c>
      <c r="P132" s="96">
        <f>0.014*Q132</f>
        <v>1.4E-2</v>
      </c>
      <c r="Q132" s="146">
        <f>POWER(SI!E3,3)</f>
        <v>1</v>
      </c>
      <c r="R132" s="97" t="s">
        <v>33</v>
      </c>
      <c r="S132" s="95" t="s">
        <v>4346</v>
      </c>
      <c r="T132" s="96">
        <f>POWER(D132,3)*U132</f>
        <v>0.22698099999999999</v>
      </c>
      <c r="U132" s="146">
        <f>POWER(SI!E3,3)</f>
        <v>1</v>
      </c>
      <c r="V132" s="97" t="s">
        <v>33</v>
      </c>
    </row>
    <row r="133" spans="1:22" ht="16.5">
      <c r="A133" s="303" t="s">
        <v>758</v>
      </c>
      <c r="B133" s="307" t="s">
        <v>477</v>
      </c>
      <c r="C133" s="285" t="s">
        <v>821</v>
      </c>
      <c r="D133" s="286">
        <f>0.8128*E133</f>
        <v>0.81279999999999997</v>
      </c>
      <c r="E133" s="141">
        <f>SI!E3</f>
        <v>1</v>
      </c>
      <c r="F133" s="287" t="s">
        <v>14</v>
      </c>
      <c r="G133" s="285" t="s">
        <v>930</v>
      </c>
      <c r="H133" s="286">
        <f>6988.921041*I133</f>
        <v>6988.9210409999996</v>
      </c>
      <c r="I133" s="141">
        <f>POWER(SI!E3,2)</f>
        <v>1</v>
      </c>
      <c r="J133" s="287" t="s">
        <v>39</v>
      </c>
      <c r="K133" s="285" t="s">
        <v>823</v>
      </c>
      <c r="L133" s="286">
        <f>92*M133</f>
        <v>92</v>
      </c>
      <c r="M133" s="141">
        <f>SI!E2</f>
        <v>1</v>
      </c>
      <c r="N133" s="287" t="s">
        <v>23</v>
      </c>
      <c r="O133" s="49" t="s">
        <v>6875</v>
      </c>
      <c r="P133" s="162">
        <f>0.00065*Q133</f>
        <v>6.4999999999999997E-4</v>
      </c>
      <c r="Q133" s="145">
        <f>POWER(SI!E3,3)</f>
        <v>1</v>
      </c>
      <c r="R133" s="50" t="s">
        <v>33</v>
      </c>
      <c r="S133" s="285" t="s">
        <v>4514</v>
      </c>
      <c r="T133" s="303">
        <f>POWER(D133,3)*U133</f>
        <v>0.53697131315199997</v>
      </c>
      <c r="U133" s="141">
        <f>POWER(SI!E3,3)</f>
        <v>1</v>
      </c>
      <c r="V133" s="287" t="s">
        <v>33</v>
      </c>
    </row>
    <row r="134" spans="1:22" ht="16.5">
      <c r="A134" s="303"/>
      <c r="B134" s="307"/>
      <c r="C134" s="285"/>
      <c r="D134" s="286"/>
      <c r="E134" s="141"/>
      <c r="F134" s="287"/>
      <c r="G134" s="285"/>
      <c r="H134" s="286"/>
      <c r="I134" s="141"/>
      <c r="J134" s="287"/>
      <c r="K134" s="285"/>
      <c r="L134" s="286"/>
      <c r="M134" s="141"/>
      <c r="N134" s="287"/>
      <c r="O134" s="49" t="s">
        <v>6876</v>
      </c>
      <c r="P134" s="162">
        <f>0.00063*Q134</f>
        <v>6.3000000000000003E-4</v>
      </c>
      <c r="Q134" s="145">
        <f>POWER(SI!E3,3)</f>
        <v>1</v>
      </c>
      <c r="R134" s="50" t="s">
        <v>33</v>
      </c>
      <c r="S134" s="285"/>
      <c r="T134" s="303"/>
      <c r="U134" s="141"/>
      <c r="V134" s="287"/>
    </row>
    <row r="135" spans="1:22" ht="16.5">
      <c r="A135" s="303"/>
      <c r="B135" s="307"/>
      <c r="C135" s="285"/>
      <c r="D135" s="286"/>
      <c r="E135" s="141"/>
      <c r="F135" s="287"/>
      <c r="G135" s="285"/>
      <c r="H135" s="286"/>
      <c r="I135" s="141"/>
      <c r="J135" s="287"/>
      <c r="K135" s="285"/>
      <c r="L135" s="286"/>
      <c r="M135" s="141"/>
      <c r="N135" s="287"/>
      <c r="O135" s="49" t="s">
        <v>6877</v>
      </c>
      <c r="P135" s="162">
        <f>0.00067*Q135</f>
        <v>6.7000000000000002E-4</v>
      </c>
      <c r="Q135" s="145">
        <f>POWER(SI!E3,3)</f>
        <v>1</v>
      </c>
      <c r="R135" s="50" t="s">
        <v>33</v>
      </c>
      <c r="S135" s="285"/>
      <c r="T135" s="303"/>
      <c r="U135" s="141"/>
      <c r="V135" s="287"/>
    </row>
    <row r="136" spans="1:22" ht="16.5">
      <c r="A136" t="s">
        <v>759</v>
      </c>
      <c r="B136" t="s">
        <v>526</v>
      </c>
      <c r="C136" s="95" t="s">
        <v>855</v>
      </c>
      <c r="D136" s="96">
        <f>0.3137*E136</f>
        <v>0.31369999999999998</v>
      </c>
      <c r="E136" s="146">
        <f>SI!E3</f>
        <v>1</v>
      </c>
      <c r="F136" s="118" t="s">
        <v>14</v>
      </c>
      <c r="G136" s="95" t="s">
        <v>5030</v>
      </c>
      <c r="H136" s="96">
        <f>POWER(10*D136,2)*I136</f>
        <v>9.8407689999999981</v>
      </c>
      <c r="I136" s="146">
        <f>POWER(SI!E3,2)</f>
        <v>1</v>
      </c>
      <c r="J136" s="118" t="s">
        <v>39</v>
      </c>
      <c r="K136" s="95" t="s">
        <v>866</v>
      </c>
      <c r="L136" s="96">
        <f>0.4981*M136</f>
        <v>0.49809999999999999</v>
      </c>
      <c r="M136" s="146">
        <f>SI!E2</f>
        <v>1</v>
      </c>
      <c r="N136" s="118" t="s">
        <v>23</v>
      </c>
      <c r="O136" s="95" t="s">
        <v>579</v>
      </c>
      <c r="P136" s="96">
        <f>0.0009651*Q136</f>
        <v>9.6509999999999999E-4</v>
      </c>
      <c r="Q136" s="146">
        <f>POWER(SI!E3,3)</f>
        <v>1</v>
      </c>
      <c r="R136" s="97" t="s">
        <v>33</v>
      </c>
      <c r="S136" s="95" t="s">
        <v>856</v>
      </c>
      <c r="T136" s="94">
        <f>0.1389744*U136</f>
        <v>0.1389744</v>
      </c>
      <c r="U136">
        <f>POWER(SI!E3,3)</f>
        <v>1</v>
      </c>
      <c r="V136" s="97" t="s">
        <v>33</v>
      </c>
    </row>
    <row r="137" spans="1:22" ht="16.5">
      <c r="A137" s="303" t="s">
        <v>760</v>
      </c>
      <c r="B137" s="307" t="s">
        <v>445</v>
      </c>
      <c r="C137" s="49" t="s">
        <v>821</v>
      </c>
      <c r="D137" s="80">
        <f>0.866*E137</f>
        <v>0.86599999999999999</v>
      </c>
      <c r="E137" s="48">
        <f>SI!E3</f>
        <v>1</v>
      </c>
      <c r="F137" s="50" t="s">
        <v>14</v>
      </c>
      <c r="G137" s="143" t="s">
        <v>1960</v>
      </c>
      <c r="H137" s="195">
        <f>100*POWER(D137,2)*I137</f>
        <v>74.995599999999996</v>
      </c>
      <c r="I137" s="228">
        <f>POWER(SI!E3,2)</f>
        <v>1</v>
      </c>
      <c r="J137" s="81" t="s">
        <v>39</v>
      </c>
      <c r="K137" s="49" t="s">
        <v>820</v>
      </c>
      <c r="L137" s="80">
        <f>0.459*M137</f>
        <v>0.45900000000000002</v>
      </c>
      <c r="M137" s="48">
        <f>SI!E2</f>
        <v>1</v>
      </c>
      <c r="N137" s="50" t="s">
        <v>23</v>
      </c>
      <c r="O137" s="285" t="s">
        <v>823</v>
      </c>
      <c r="P137" s="286">
        <f>0.288*Q137</f>
        <v>0.28799999999999998</v>
      </c>
      <c r="Q137" s="141">
        <f>POWER(SI!E3,3)</f>
        <v>1</v>
      </c>
      <c r="R137" s="287" t="s">
        <v>33</v>
      </c>
      <c r="S137" s="285" t="s">
        <v>4514</v>
      </c>
      <c r="T137" s="303">
        <f>POWER(D137,3)*U137</f>
        <v>0.64946189599999993</v>
      </c>
      <c r="U137" s="141">
        <f>POWER(SI!E3,3)</f>
        <v>1</v>
      </c>
      <c r="V137" s="287" t="s">
        <v>33</v>
      </c>
    </row>
    <row r="138" spans="1:22" ht="16.5">
      <c r="A138" s="303"/>
      <c r="B138" s="307"/>
      <c r="C138" s="49" t="s">
        <v>5032</v>
      </c>
      <c r="D138" s="80">
        <f>0.83856*E138</f>
        <v>0.83855999999999997</v>
      </c>
      <c r="E138" s="48">
        <f>SI!E3</f>
        <v>1</v>
      </c>
      <c r="F138" s="50" t="s">
        <v>14</v>
      </c>
      <c r="G138" s="143" t="s">
        <v>5033</v>
      </c>
      <c r="H138" s="168">
        <f>6945*POWER(D138,2)*I138</f>
        <v>4883.605057152</v>
      </c>
      <c r="I138" s="228">
        <f>POWER(SI!E3,2)</f>
        <v>1</v>
      </c>
      <c r="J138" s="81" t="s">
        <v>39</v>
      </c>
      <c r="K138" s="49" t="s">
        <v>5034</v>
      </c>
      <c r="L138" s="80">
        <f>0.46008*M138</f>
        <v>0.46007999999999999</v>
      </c>
      <c r="M138" s="48">
        <f>SI!E2</f>
        <v>1</v>
      </c>
      <c r="N138" s="50" t="s">
        <v>23</v>
      </c>
      <c r="O138" s="285"/>
      <c r="P138" s="286"/>
      <c r="Q138" s="141"/>
      <c r="R138" s="287"/>
      <c r="S138" s="285"/>
      <c r="T138" s="303"/>
      <c r="U138" s="141"/>
      <c r="V138" s="287"/>
    </row>
    <row r="139" spans="1:22" ht="16.5">
      <c r="A139" s="283" t="s">
        <v>761</v>
      </c>
      <c r="B139" s="298" t="s">
        <v>57</v>
      </c>
      <c r="C139" s="95" t="s">
        <v>800</v>
      </c>
      <c r="D139" s="96">
        <f>0.32*E139</f>
        <v>0.32</v>
      </c>
      <c r="E139" s="146">
        <f>SI!E3</f>
        <v>1</v>
      </c>
      <c r="F139" s="97" t="s">
        <v>14</v>
      </c>
      <c r="G139" s="95" t="s">
        <v>801</v>
      </c>
      <c r="H139" s="96">
        <f>POWER(12*D139,2)*I139</f>
        <v>14.7456</v>
      </c>
      <c r="I139" s="146">
        <f>POWER(SI!E3,2)</f>
        <v>1</v>
      </c>
      <c r="J139" s="97" t="s">
        <v>39</v>
      </c>
      <c r="K139" s="95" t="s">
        <v>802</v>
      </c>
      <c r="L139" s="96">
        <f>32.6*M139</f>
        <v>32.6</v>
      </c>
      <c r="M139" s="146">
        <f>SI!E2</f>
        <v>1</v>
      </c>
      <c r="N139" s="97" t="s">
        <v>23</v>
      </c>
      <c r="O139" s="182" t="s">
        <v>941</v>
      </c>
      <c r="P139" s="96">
        <f>0.25*0.00132*Q139</f>
        <v>3.3E-4</v>
      </c>
      <c r="Q139" s="146">
        <f>POWER(SI!E3,3)</f>
        <v>1</v>
      </c>
      <c r="R139" s="97" t="s">
        <v>33</v>
      </c>
      <c r="S139" s="95" t="s">
        <v>803</v>
      </c>
      <c r="T139" s="96">
        <f>0.0326*U139</f>
        <v>3.2599999999999997E-2</v>
      </c>
      <c r="U139" s="146">
        <f>POWER(SI!E3,3)</f>
        <v>1</v>
      </c>
      <c r="V139" s="97" t="s">
        <v>33</v>
      </c>
    </row>
    <row r="140" spans="1:22" ht="16.5">
      <c r="A140" s="283"/>
      <c r="B140" s="298"/>
      <c r="C140" s="95" t="s">
        <v>902</v>
      </c>
      <c r="D140" s="96">
        <f>5486.4*E140</f>
        <v>5486.4</v>
      </c>
      <c r="E140" s="146">
        <f>SI!E3</f>
        <v>1</v>
      </c>
      <c r="F140" s="97" t="s">
        <v>14</v>
      </c>
      <c r="G140" s="95"/>
      <c r="H140" s="96"/>
      <c r="I140" s="146"/>
      <c r="J140" s="97"/>
      <c r="K140" s="95" t="s">
        <v>907</v>
      </c>
      <c r="L140" s="96">
        <f>0.46*M140</f>
        <v>0.46</v>
      </c>
      <c r="M140" s="146">
        <f>SI!E2</f>
        <v>1</v>
      </c>
      <c r="N140" s="97" t="s">
        <v>23</v>
      </c>
      <c r="O140" s="95" t="s">
        <v>906</v>
      </c>
      <c r="P140" s="96">
        <f>0.00132*Q140</f>
        <v>1.32E-3</v>
      </c>
      <c r="Q140" s="146">
        <f>POWER(SI!E3,3)</f>
        <v>1</v>
      </c>
      <c r="R140" s="97" t="s">
        <v>33</v>
      </c>
      <c r="S140" s="95"/>
      <c r="T140" s="96"/>
      <c r="U140" s="146"/>
      <c r="V140" s="97"/>
    </row>
    <row r="141" spans="1:22" ht="16.5">
      <c r="A141" s="303" t="s">
        <v>762</v>
      </c>
      <c r="B141" s="307" t="s">
        <v>453</v>
      </c>
      <c r="C141" s="49" t="s">
        <v>821</v>
      </c>
      <c r="D141" s="80">
        <f>0.83598*E141</f>
        <v>0.83597999999999995</v>
      </c>
      <c r="E141" s="48">
        <f>SI!E3</f>
        <v>1</v>
      </c>
      <c r="F141" s="50" t="s">
        <v>14</v>
      </c>
      <c r="G141" s="49" t="s">
        <v>934</v>
      </c>
      <c r="H141" s="84">
        <f>4500*POWER(D141,2)*I141</f>
        <v>3144.8815218</v>
      </c>
      <c r="I141" s="222">
        <f>POWER(SI!E3,2)</f>
        <v>1</v>
      </c>
      <c r="J141" s="81" t="s">
        <v>39</v>
      </c>
      <c r="K141" s="285" t="s">
        <v>820</v>
      </c>
      <c r="L141" s="286">
        <f>0.46009*M141</f>
        <v>0.46009</v>
      </c>
      <c r="M141" s="141">
        <f>SI!E2</f>
        <v>1</v>
      </c>
      <c r="N141" s="287" t="s">
        <v>23</v>
      </c>
      <c r="O141" s="285" t="s">
        <v>4514</v>
      </c>
      <c r="P141" s="299">
        <f>POWER(D141,3)*Q141</f>
        <v>0.58423512324319193</v>
      </c>
      <c r="Q141" s="141">
        <f>POWER(SI!E3,3)</f>
        <v>1</v>
      </c>
      <c r="R141" s="287" t="s">
        <v>33</v>
      </c>
      <c r="S141" s="143" t="s">
        <v>4514</v>
      </c>
      <c r="T141" s="154">
        <f>POWER(D141,3)*U141</f>
        <v>0.58423512324319193</v>
      </c>
      <c r="U141" s="141">
        <f>POWER(SI!E3,3)</f>
        <v>1</v>
      </c>
      <c r="V141" s="287" t="s">
        <v>33</v>
      </c>
    </row>
    <row r="142" spans="1:22" ht="16.5">
      <c r="A142" s="303"/>
      <c r="B142" s="307"/>
      <c r="C142" s="49" t="s">
        <v>933</v>
      </c>
      <c r="D142" s="113">
        <f>(0.83598/3)*E142</f>
        <v>0.27865999999999996</v>
      </c>
      <c r="E142" s="231">
        <f>SI!E3</f>
        <v>1</v>
      </c>
      <c r="F142" s="50" t="s">
        <v>14</v>
      </c>
      <c r="G142" s="49" t="s">
        <v>935</v>
      </c>
      <c r="H142" s="163">
        <f>3872*POWER(D141,2)*I142</f>
        <v>2705.9958338687998</v>
      </c>
      <c r="I142" s="222">
        <f>POWER(SI!E3,2)</f>
        <v>1</v>
      </c>
      <c r="J142" s="81" t="s">
        <v>39</v>
      </c>
      <c r="K142" s="285"/>
      <c r="L142" s="286"/>
      <c r="M142" s="141"/>
      <c r="N142" s="287"/>
      <c r="O142" s="285"/>
      <c r="P142" s="299"/>
      <c r="Q142" s="141"/>
      <c r="R142" s="287"/>
      <c r="S142" s="143"/>
      <c r="T142" s="77"/>
      <c r="U142" s="141"/>
      <c r="V142" s="287"/>
    </row>
    <row r="143" spans="1:22" ht="16.5">
      <c r="A143" t="s">
        <v>763</v>
      </c>
      <c r="B143" t="s">
        <v>450</v>
      </c>
      <c r="C143" s="95" t="s">
        <v>1011</v>
      </c>
      <c r="D143" s="96">
        <f>0.3048*E143</f>
        <v>0.30480000000000002</v>
      </c>
      <c r="E143" s="146">
        <f>SI!E3</f>
        <v>1</v>
      </c>
      <c r="F143" s="118" t="s">
        <v>14</v>
      </c>
      <c r="G143" s="95" t="s">
        <v>924</v>
      </c>
      <c r="H143" s="96">
        <f>2795*I143</f>
        <v>2795</v>
      </c>
      <c r="I143" s="146">
        <f>POWER(SI!E3,2)</f>
        <v>1</v>
      </c>
      <c r="J143" s="118" t="s">
        <v>39</v>
      </c>
      <c r="K143" s="95" t="s">
        <v>912</v>
      </c>
      <c r="L143" s="96">
        <f>0.6*M143</f>
        <v>0.6</v>
      </c>
      <c r="M143" s="146">
        <f>SI!E2</f>
        <v>1</v>
      </c>
      <c r="N143" s="118" t="s">
        <v>23</v>
      </c>
      <c r="O143" s="95" t="s">
        <v>925</v>
      </c>
      <c r="P143" s="96">
        <f>0.0999*Q143</f>
        <v>9.9900000000000003E-2</v>
      </c>
      <c r="Q143" s="146">
        <f>POWER(SI!E3,3)</f>
        <v>1</v>
      </c>
      <c r="R143" s="97" t="s">
        <v>33</v>
      </c>
      <c r="S143" s="95" t="s">
        <v>5046</v>
      </c>
      <c r="T143" s="102">
        <f>POWER(D143,3)*U143</f>
        <v>2.8316846592000004E-2</v>
      </c>
      <c r="U143" s="146">
        <f>POWER(SI!E3,3)</f>
        <v>1</v>
      </c>
      <c r="V143" s="97" t="s">
        <v>33</v>
      </c>
    </row>
    <row r="144" spans="1:22" ht="16.5">
      <c r="A144" s="303" t="s">
        <v>764</v>
      </c>
      <c r="B144" s="307" t="s">
        <v>490</v>
      </c>
      <c r="C144" s="49" t="s">
        <v>5063</v>
      </c>
      <c r="D144" s="80">
        <f>0.288*E144</f>
        <v>0.28799999999999998</v>
      </c>
      <c r="E144" s="48">
        <f>SI!E3</f>
        <v>1</v>
      </c>
      <c r="F144" s="50" t="s">
        <v>14</v>
      </c>
      <c r="G144" s="49" t="s">
        <v>5072</v>
      </c>
      <c r="H144" s="80">
        <f>POWER(D144,2)*I144</f>
        <v>8.294399999999999E-2</v>
      </c>
      <c r="I144" s="48">
        <f>POWER(SI!E3,2)</f>
        <v>1</v>
      </c>
      <c r="J144" s="50" t="s">
        <v>39</v>
      </c>
      <c r="K144" s="285" t="s">
        <v>859</v>
      </c>
      <c r="L144" s="286">
        <f>0.405504*M144</f>
        <v>0.40550399999999998</v>
      </c>
      <c r="M144" s="141">
        <f>SI!E2</f>
        <v>1</v>
      </c>
      <c r="N144" s="287" t="s">
        <v>23</v>
      </c>
      <c r="O144" s="285" t="s">
        <v>860</v>
      </c>
      <c r="P144" s="286">
        <f>0.001*Q144</f>
        <v>1E-3</v>
      </c>
      <c r="Q144" s="141">
        <f>POWER(SI!E3,3)</f>
        <v>1</v>
      </c>
      <c r="R144" s="287" t="s">
        <v>33</v>
      </c>
      <c r="S144" s="285" t="s">
        <v>5077</v>
      </c>
      <c r="T144" s="316">
        <f>POWER(D144,3)*U144</f>
        <v>2.3887871999999994E-2</v>
      </c>
      <c r="U144" s="141">
        <f>POWER(SI!E3,3)</f>
        <v>1</v>
      </c>
      <c r="V144" s="81" t="s">
        <v>33</v>
      </c>
    </row>
    <row r="145" spans="1:22" ht="16.5">
      <c r="A145" s="303"/>
      <c r="B145" s="307"/>
      <c r="C145" s="49" t="s">
        <v>5064</v>
      </c>
      <c r="D145" s="80">
        <f>0.2978*E145</f>
        <v>0.29780000000000001</v>
      </c>
      <c r="E145" s="48">
        <f>SI!E3</f>
        <v>1</v>
      </c>
      <c r="F145" s="50" t="s">
        <v>14</v>
      </c>
      <c r="G145" s="49" t="s">
        <v>5073</v>
      </c>
      <c r="H145" s="80">
        <f>POWER(D145,2)*I145</f>
        <v>8.8684840000000001E-2</v>
      </c>
      <c r="I145" s="48">
        <f>POWER(SI!E3,2)</f>
        <v>1</v>
      </c>
      <c r="J145" s="50" t="s">
        <v>39</v>
      </c>
      <c r="K145" s="285"/>
      <c r="L145" s="286"/>
      <c r="M145" s="141"/>
      <c r="N145" s="287"/>
      <c r="O145" s="285"/>
      <c r="P145" s="286"/>
      <c r="Q145" s="141"/>
      <c r="R145" s="287"/>
      <c r="S145" s="285"/>
      <c r="T145" s="316"/>
      <c r="U145" s="141"/>
      <c r="V145" s="114"/>
    </row>
    <row r="146" spans="1:22" ht="16.5">
      <c r="A146" s="303"/>
      <c r="B146" s="307"/>
      <c r="C146" s="49" t="s">
        <v>5062</v>
      </c>
      <c r="D146" s="80">
        <f>0.23564*E146</f>
        <v>0.23563999999999999</v>
      </c>
      <c r="E146" s="48">
        <f>SI!E3</f>
        <v>1</v>
      </c>
      <c r="F146" s="50" t="s">
        <v>14</v>
      </c>
      <c r="G146" s="49" t="s">
        <v>6855</v>
      </c>
      <c r="H146" s="163">
        <f>POWER(D146,2)*I146</f>
        <v>5.5526209599999994E-2</v>
      </c>
      <c r="I146" s="231">
        <f>POWER(SI!E3,2)</f>
        <v>1</v>
      </c>
      <c r="J146" s="50" t="s">
        <v>39</v>
      </c>
      <c r="K146" s="285"/>
      <c r="L146" s="286"/>
      <c r="M146" s="141"/>
      <c r="N146" s="287"/>
      <c r="O146" s="285"/>
      <c r="P146" s="286"/>
      <c r="Q146" s="141"/>
      <c r="R146" s="287"/>
      <c r="S146" s="285"/>
      <c r="T146" s="316"/>
      <c r="U146" s="141"/>
      <c r="V146" s="114"/>
    </row>
    <row r="147" spans="1:22" ht="16.5">
      <c r="A147" t="s">
        <v>765</v>
      </c>
      <c r="B147" t="s">
        <v>52</v>
      </c>
      <c r="C147" s="95" t="s">
        <v>824</v>
      </c>
      <c r="D147" s="96">
        <f>0.3285*E147</f>
        <v>0.32850000000000001</v>
      </c>
      <c r="E147" s="146">
        <f>SI!E3</f>
        <v>1</v>
      </c>
      <c r="F147" s="118" t="s">
        <v>14</v>
      </c>
      <c r="G147" s="95" t="s">
        <v>6854</v>
      </c>
      <c r="H147" s="96">
        <f>(POWER(D147,2)*100/9)*I147</f>
        <v>1.199025</v>
      </c>
      <c r="I147" s="146">
        <f>POWER(SI!E3,2)</f>
        <v>1</v>
      </c>
      <c r="J147" s="118" t="s">
        <v>39</v>
      </c>
      <c r="K147" s="95" t="s">
        <v>822</v>
      </c>
      <c r="L147" s="96">
        <f>0.459*M147</f>
        <v>0.45900000000000002</v>
      </c>
      <c r="M147" s="146">
        <f>SI!E2</f>
        <v>1</v>
      </c>
      <c r="N147" s="118" t="s">
        <v>23</v>
      </c>
      <c r="O147" s="95" t="s">
        <v>825</v>
      </c>
      <c r="P147" s="96">
        <f>0.0165*Q147</f>
        <v>1.6500000000000001E-2</v>
      </c>
      <c r="Q147" s="146">
        <f>POWER(SI!E3,3)</f>
        <v>1</v>
      </c>
      <c r="R147" s="97" t="s">
        <v>33</v>
      </c>
      <c r="S147" s="95" t="s">
        <v>826</v>
      </c>
      <c r="T147" s="96">
        <f>0.054*U147</f>
        <v>5.3999999999999999E-2</v>
      </c>
      <c r="U147" s="146">
        <f>POWER(SI!E3,3)</f>
        <v>1</v>
      </c>
      <c r="V147" s="97" t="s">
        <v>33</v>
      </c>
    </row>
    <row r="148" spans="1:22" ht="16.5">
      <c r="A148" s="144" t="s">
        <v>766</v>
      </c>
      <c r="B148" s="164" t="s">
        <v>7425</v>
      </c>
      <c r="C148" s="49"/>
      <c r="D148" s="80"/>
      <c r="E148" s="48"/>
      <c r="F148" s="50"/>
      <c r="G148" s="49" t="s">
        <v>955</v>
      </c>
      <c r="H148" s="48">
        <v>3930.3956250000001</v>
      </c>
      <c r="I148" s="48">
        <f>POWER(SI!E3,2)</f>
        <v>1</v>
      </c>
      <c r="J148" s="50" t="s">
        <v>39</v>
      </c>
      <c r="K148" s="49"/>
      <c r="L148" s="80"/>
      <c r="M148" s="48"/>
      <c r="N148" s="50"/>
      <c r="O148" s="49"/>
      <c r="P148" s="80"/>
      <c r="Q148" s="48"/>
      <c r="R148" s="50"/>
      <c r="S148" s="49"/>
      <c r="T148" s="80"/>
      <c r="U148" s="48"/>
      <c r="V148" s="51"/>
    </row>
    <row r="149" spans="1:22" ht="16.5">
      <c r="A149" s="301" t="s">
        <v>767</v>
      </c>
      <c r="B149" s="302" t="s">
        <v>40</v>
      </c>
      <c r="C149" s="85" t="s">
        <v>6844</v>
      </c>
      <c r="D149" s="104">
        <f>0.2944*E149</f>
        <v>0.2944</v>
      </c>
      <c r="E149" s="212">
        <f>SI!E3</f>
        <v>1</v>
      </c>
      <c r="F149" s="86" t="s">
        <v>14</v>
      </c>
      <c r="G149" s="147" t="s">
        <v>6853</v>
      </c>
      <c r="H149" s="104">
        <f>POWER(D149,2)*I149</f>
        <v>8.6671360000000003E-2</v>
      </c>
      <c r="I149" s="212">
        <f>POWER(SI!E3,2)</f>
        <v>1</v>
      </c>
      <c r="J149" s="86" t="s">
        <v>39</v>
      </c>
      <c r="K149" s="291" t="s">
        <v>2739</v>
      </c>
      <c r="L149" s="280">
        <f>0.02725*M149</f>
        <v>2.725E-2</v>
      </c>
      <c r="M149" s="280">
        <f>SI!E2</f>
        <v>1</v>
      </c>
      <c r="N149" s="289" t="s">
        <v>23</v>
      </c>
      <c r="O149" s="291" t="s">
        <v>808</v>
      </c>
      <c r="P149" s="300">
        <f>0.00054928*Q149</f>
        <v>5.4927999999999997E-4</v>
      </c>
      <c r="Q149" s="281">
        <f>POWER(SI!E3,3)</f>
        <v>1</v>
      </c>
      <c r="R149" s="289" t="s">
        <v>33</v>
      </c>
      <c r="S149" s="291" t="s">
        <v>807</v>
      </c>
      <c r="T149" s="300">
        <f>0.00878848*U149</f>
        <v>8.7884799999999996E-3</v>
      </c>
      <c r="U149" s="281">
        <f>POWER(SI!E3,3)</f>
        <v>1</v>
      </c>
      <c r="V149" s="289" t="s">
        <v>33</v>
      </c>
    </row>
    <row r="150" spans="1:22" ht="16.5">
      <c r="A150" s="301"/>
      <c r="B150" s="302"/>
      <c r="C150" s="89" t="s">
        <v>5083</v>
      </c>
      <c r="D150" s="148">
        <f>0.2962*E150</f>
        <v>0.29620000000000002</v>
      </c>
      <c r="E150" s="188">
        <f>SI!E3</f>
        <v>1</v>
      </c>
      <c r="F150" s="90" t="s">
        <v>14</v>
      </c>
      <c r="G150" s="147" t="s">
        <v>6852</v>
      </c>
      <c r="H150" s="148">
        <f>POWER(D150,2)*I150</f>
        <v>8.7734440000000011E-2</v>
      </c>
      <c r="I150" s="212">
        <f>POWER(SI!E3,2)</f>
        <v>1</v>
      </c>
      <c r="J150" s="86" t="s">
        <v>39</v>
      </c>
      <c r="K150" s="291"/>
      <c r="L150" s="280"/>
      <c r="M150" s="280"/>
      <c r="N150" s="289"/>
      <c r="O150" s="291"/>
      <c r="P150" s="280"/>
      <c r="Q150" s="280"/>
      <c r="R150" s="289"/>
      <c r="S150" s="291"/>
      <c r="T150" s="280"/>
      <c r="U150" s="280"/>
      <c r="V150" s="289"/>
    </row>
    <row r="151" spans="1:22" ht="16.5">
      <c r="A151" s="301"/>
      <c r="B151" s="302"/>
      <c r="C151" s="87" t="s">
        <v>5084</v>
      </c>
      <c r="D151" s="106">
        <f>0.2967*E151</f>
        <v>0.29670000000000002</v>
      </c>
      <c r="E151" s="213">
        <f>SI!E3</f>
        <v>1</v>
      </c>
      <c r="F151" s="88" t="s">
        <v>14</v>
      </c>
      <c r="G151" s="147" t="s">
        <v>6851</v>
      </c>
      <c r="H151" s="106">
        <f>0.08803089*I151</f>
        <v>8.8030890000000001E-2</v>
      </c>
      <c r="I151" s="146">
        <f>POWER(SI!E3,2)</f>
        <v>1</v>
      </c>
      <c r="J151" s="86" t="s">
        <v>39</v>
      </c>
      <c r="K151" s="291"/>
      <c r="L151" s="280"/>
      <c r="M151" s="280"/>
      <c r="N151" s="289"/>
      <c r="O151" s="291"/>
      <c r="P151" s="280"/>
      <c r="Q151" s="280"/>
      <c r="R151" s="289"/>
      <c r="S151" s="291"/>
      <c r="T151" s="280"/>
      <c r="U151" s="280"/>
      <c r="V151" s="289"/>
    </row>
    <row r="152" spans="1:22" ht="16.5">
      <c r="A152" s="301"/>
      <c r="B152" s="302"/>
      <c r="C152" s="89" t="s">
        <v>6945</v>
      </c>
      <c r="D152" s="148">
        <f>0.3196*E152</f>
        <v>0.3196</v>
      </c>
      <c r="E152" s="188">
        <f>SI!E3</f>
        <v>1</v>
      </c>
      <c r="F152" s="90" t="s">
        <v>14</v>
      </c>
      <c r="G152" s="147" t="s">
        <v>6850</v>
      </c>
      <c r="H152" s="106">
        <f>0.10214416*I152</f>
        <v>0.10214416</v>
      </c>
      <c r="I152" s="146">
        <f>POWER(SI!E3,2)</f>
        <v>1</v>
      </c>
      <c r="J152" s="86" t="s">
        <v>39</v>
      </c>
      <c r="K152" s="291"/>
      <c r="L152" s="280"/>
      <c r="M152" s="280"/>
      <c r="N152" s="289"/>
      <c r="O152" s="291"/>
      <c r="P152" s="280"/>
      <c r="Q152" s="280"/>
      <c r="R152" s="289"/>
      <c r="S152" s="291"/>
      <c r="T152" s="280"/>
      <c r="U152" s="280"/>
      <c r="V152" s="289"/>
    </row>
    <row r="153" spans="1:22" ht="16.5">
      <c r="A153" s="303" t="s">
        <v>768</v>
      </c>
      <c r="B153" s="328" t="s">
        <v>493</v>
      </c>
      <c r="C153" s="149" t="s">
        <v>848</v>
      </c>
      <c r="D153" s="57">
        <f>0.701*E153</f>
        <v>0.70099999999999996</v>
      </c>
      <c r="E153" s="48">
        <f>SI!E3</f>
        <v>1</v>
      </c>
      <c r="F153" s="50" t="s">
        <v>14</v>
      </c>
      <c r="G153" s="49"/>
      <c r="H153" s="48"/>
      <c r="I153" s="48"/>
      <c r="J153" s="48"/>
      <c r="K153" s="49" t="s">
        <v>851</v>
      </c>
      <c r="L153" s="80">
        <f>56*M153</f>
        <v>56</v>
      </c>
      <c r="M153" s="48">
        <f>SI!E2</f>
        <v>1</v>
      </c>
      <c r="N153" s="50" t="s">
        <v>23</v>
      </c>
      <c r="O153" s="49" t="s">
        <v>849</v>
      </c>
      <c r="P153" s="80">
        <f>0.01415*Q153</f>
        <v>1.4149999999999999E-2</v>
      </c>
      <c r="Q153" s="48">
        <f>POWER(SI!E3,3)</f>
        <v>1</v>
      </c>
      <c r="R153" s="50" t="s">
        <v>33</v>
      </c>
      <c r="S153" s="49" t="s">
        <v>850</v>
      </c>
      <c r="T153" s="80">
        <f>0.0246*U153</f>
        <v>2.46E-2</v>
      </c>
      <c r="U153" s="48">
        <f>POWER(SI!E3,3)</f>
        <v>1</v>
      </c>
      <c r="V153" s="51" t="s">
        <v>33</v>
      </c>
    </row>
    <row r="154" spans="1:22" ht="16.5">
      <c r="A154" s="283"/>
      <c r="B154" s="298"/>
      <c r="C154" s="49" t="s">
        <v>1012</v>
      </c>
      <c r="D154" s="247">
        <f>0.25*E154</f>
        <v>0.25</v>
      </c>
      <c r="E154" s="48">
        <f>SI!E3</f>
        <v>1</v>
      </c>
      <c r="F154" s="50" t="s">
        <v>14</v>
      </c>
      <c r="G154" s="49" t="s">
        <v>1606</v>
      </c>
      <c r="H154" s="48">
        <f>1.25*I154</f>
        <v>1.25</v>
      </c>
      <c r="I154" s="48">
        <f>POWER(SI!E3,2)</f>
        <v>1</v>
      </c>
      <c r="J154" s="50" t="s">
        <v>39</v>
      </c>
      <c r="K154" s="49" t="s">
        <v>1013</v>
      </c>
      <c r="L154" s="80">
        <f>0.5*M154</f>
        <v>0.5</v>
      </c>
      <c r="M154" s="48">
        <f>SI!E2</f>
        <v>1</v>
      </c>
      <c r="N154" s="50" t="s">
        <v>23</v>
      </c>
      <c r="O154" s="49" t="s">
        <v>1014</v>
      </c>
      <c r="P154" s="48">
        <f>0.00025*Q154</f>
        <v>2.5000000000000001E-4</v>
      </c>
      <c r="Q154" s="48">
        <f>POWER(SI!E3,3)</f>
        <v>1</v>
      </c>
      <c r="R154" s="50" t="s">
        <v>33</v>
      </c>
      <c r="S154" s="49"/>
      <c r="T154" s="48"/>
      <c r="U154" s="48"/>
      <c r="V154" s="51"/>
    </row>
    <row r="155" spans="1:22" ht="14.4" customHeight="1">
      <c r="A155" s="283" t="s">
        <v>769</v>
      </c>
      <c r="B155" s="298" t="s">
        <v>60</v>
      </c>
      <c r="C155" s="290" t="s">
        <v>879</v>
      </c>
      <c r="D155" s="283">
        <f>0.3048*E155</f>
        <v>0.30480000000000002</v>
      </c>
      <c r="E155" s="283">
        <f>SI!E3</f>
        <v>1</v>
      </c>
      <c r="F155" s="279" t="s">
        <v>14</v>
      </c>
      <c r="G155" s="290"/>
      <c r="H155" s="283"/>
      <c r="I155" s="283"/>
      <c r="J155" s="298"/>
      <c r="K155" s="95" t="s">
        <v>859</v>
      </c>
      <c r="L155" s="99">
        <f>(1/2.4419)*M155</f>
        <v>0.40951717924566938</v>
      </c>
      <c r="M155" s="229">
        <f>SI!E2</f>
        <v>1</v>
      </c>
      <c r="N155" s="97" t="s">
        <v>23</v>
      </c>
      <c r="O155" s="290" t="s">
        <v>882</v>
      </c>
      <c r="P155" s="283">
        <f>0.01229941*Q155</f>
        <v>1.229941E-2</v>
      </c>
      <c r="Q155" s="283">
        <f>POWER(SI!E3,3)</f>
        <v>1</v>
      </c>
      <c r="R155" s="279" t="s">
        <v>33</v>
      </c>
      <c r="S155" s="290" t="s">
        <v>881</v>
      </c>
      <c r="T155" s="320">
        <f>(4*0.01229941/15)*U155</f>
        <v>3.2798426666666666E-3</v>
      </c>
      <c r="U155" s="282">
        <f>POWER(SI!E3,3)</f>
        <v>1</v>
      </c>
      <c r="V155" s="279" t="s">
        <v>33</v>
      </c>
    </row>
    <row r="156" spans="1:22">
      <c r="A156" s="283"/>
      <c r="B156" s="298"/>
      <c r="C156" s="290"/>
      <c r="D156" s="283"/>
      <c r="E156" s="283"/>
      <c r="F156" s="279"/>
      <c r="G156" s="290"/>
      <c r="H156" s="283"/>
      <c r="I156" s="283"/>
      <c r="J156" s="298"/>
      <c r="K156" s="43" t="s">
        <v>880</v>
      </c>
      <c r="L156" s="150">
        <f>0.0000444349403*M156</f>
        <v>4.4434940300000001E-5</v>
      </c>
      <c r="M156" s="42">
        <f>SI!E2</f>
        <v>1</v>
      </c>
      <c r="N156" s="36" t="s">
        <v>23</v>
      </c>
      <c r="O156" s="290"/>
      <c r="P156" s="283"/>
      <c r="Q156" s="283"/>
      <c r="R156" s="279"/>
      <c r="S156" s="290"/>
      <c r="T156" s="320"/>
      <c r="U156" s="283"/>
      <c r="V156" s="279"/>
    </row>
    <row r="157" spans="1:22" ht="16.5">
      <c r="A157" s="303" t="s">
        <v>770</v>
      </c>
      <c r="B157" s="307" t="s">
        <v>478</v>
      </c>
      <c r="C157" s="285" t="s">
        <v>821</v>
      </c>
      <c r="D157" s="286">
        <f>0.8128*E157</f>
        <v>0.81279999999999997</v>
      </c>
      <c r="E157" s="141">
        <f>SI!E3</f>
        <v>1</v>
      </c>
      <c r="F157" s="287" t="s">
        <v>14</v>
      </c>
      <c r="G157" s="285" t="s">
        <v>4513</v>
      </c>
      <c r="H157" s="286">
        <f>POWER(D157,2)*I157</f>
        <v>0.66064383999999998</v>
      </c>
      <c r="I157" s="141">
        <f>POWER(SI!E3,2)</f>
        <v>1</v>
      </c>
      <c r="J157" s="287" t="s">
        <v>39</v>
      </c>
      <c r="K157" s="285" t="s">
        <v>823</v>
      </c>
      <c r="L157" s="286">
        <f>92*M157</f>
        <v>92</v>
      </c>
      <c r="M157" s="141">
        <f>SI!E2</f>
        <v>1</v>
      </c>
      <c r="N157" s="287" t="s">
        <v>23</v>
      </c>
      <c r="O157" s="49" t="s">
        <v>6875</v>
      </c>
      <c r="P157" s="162">
        <f>0.00065*Q157</f>
        <v>6.4999999999999997E-4</v>
      </c>
      <c r="Q157" s="145">
        <f>POWER(SI!E3,3)</f>
        <v>1</v>
      </c>
      <c r="R157" s="50" t="s">
        <v>33</v>
      </c>
      <c r="S157" s="285" t="s">
        <v>4514</v>
      </c>
      <c r="T157" s="321">
        <f>POWER(D157,3)*U157</f>
        <v>0.53697131315199997</v>
      </c>
      <c r="U157" s="141">
        <f>POWER(SI!E3,3)</f>
        <v>1</v>
      </c>
      <c r="V157" s="287" t="s">
        <v>33</v>
      </c>
    </row>
    <row r="158" spans="1:22" ht="16.5">
      <c r="A158" s="303"/>
      <c r="B158" s="307"/>
      <c r="C158" s="285"/>
      <c r="D158" s="286"/>
      <c r="E158" s="141"/>
      <c r="F158" s="287"/>
      <c r="G158" s="285"/>
      <c r="H158" s="286"/>
      <c r="I158" s="141"/>
      <c r="J158" s="287"/>
      <c r="K158" s="285"/>
      <c r="L158" s="286"/>
      <c r="M158" s="141"/>
      <c r="N158" s="287"/>
      <c r="O158" s="49" t="s">
        <v>6876</v>
      </c>
      <c r="P158" s="162">
        <f>0.00063*Q158</f>
        <v>6.3000000000000003E-4</v>
      </c>
      <c r="Q158" s="145">
        <f>POWER(SI!E3,3)</f>
        <v>1</v>
      </c>
      <c r="R158" s="50" t="s">
        <v>33</v>
      </c>
      <c r="S158" s="285"/>
      <c r="T158" s="321"/>
      <c r="U158" s="141"/>
      <c r="V158" s="287"/>
    </row>
    <row r="159" spans="1:22" ht="16.5">
      <c r="A159" s="303"/>
      <c r="B159" s="307"/>
      <c r="C159" s="285"/>
      <c r="D159" s="286"/>
      <c r="E159" s="141"/>
      <c r="F159" s="287"/>
      <c r="G159" s="285"/>
      <c r="H159" s="286"/>
      <c r="I159" s="141"/>
      <c r="J159" s="287"/>
      <c r="K159" s="285"/>
      <c r="L159" s="286"/>
      <c r="M159" s="141"/>
      <c r="N159" s="287"/>
      <c r="O159" s="49" t="s">
        <v>6877</v>
      </c>
      <c r="P159" s="162">
        <f>0.00067*Q159</f>
        <v>6.7000000000000002E-4</v>
      </c>
      <c r="Q159" s="145">
        <f>POWER(SI!E3,3)</f>
        <v>1</v>
      </c>
      <c r="R159" s="50" t="s">
        <v>33</v>
      </c>
      <c r="S159" s="285"/>
      <c r="T159" s="321"/>
      <c r="U159" s="141"/>
      <c r="V159" s="287"/>
    </row>
    <row r="160" spans="1:22" ht="16.5">
      <c r="A160" s="94" t="s">
        <v>771</v>
      </c>
      <c r="B160" s="98" t="s">
        <v>7428</v>
      </c>
      <c r="C160" s="95" t="s">
        <v>902</v>
      </c>
      <c r="D160" s="96">
        <f>4830*E160</f>
        <v>4830</v>
      </c>
      <c r="E160" s="146">
        <f>SI!E3</f>
        <v>1</v>
      </c>
      <c r="F160" s="97" t="s">
        <v>14</v>
      </c>
      <c r="G160" s="95" t="s">
        <v>5131</v>
      </c>
      <c r="H160" s="96">
        <f>POWER(241*D160/2415000,2)*I160</f>
        <v>0.23232399999999997</v>
      </c>
      <c r="I160" s="146">
        <f>POWER(SI!E3,2)</f>
        <v>1</v>
      </c>
      <c r="J160" s="86" t="s">
        <v>39</v>
      </c>
      <c r="K160" s="95" t="s">
        <v>903</v>
      </c>
      <c r="L160" s="96">
        <f>1.35*M160</f>
        <v>1.35</v>
      </c>
      <c r="M160" s="146">
        <f>SI!E2</f>
        <v>1</v>
      </c>
      <c r="N160" s="97" t="s">
        <v>23</v>
      </c>
      <c r="O160" s="95" t="s">
        <v>904</v>
      </c>
      <c r="P160" s="96">
        <f>0.00095*Q160</f>
        <v>9.5E-4</v>
      </c>
      <c r="Q160" s="146">
        <f>POWER(SI!E3,3)</f>
        <v>1</v>
      </c>
      <c r="R160" s="97" t="s">
        <v>33</v>
      </c>
      <c r="S160" s="95" t="s">
        <v>905</v>
      </c>
      <c r="T160" s="96">
        <f>0.085*U160</f>
        <v>8.5000000000000006E-2</v>
      </c>
      <c r="U160" s="146">
        <f>POWER(SI!E3,3)</f>
        <v>1</v>
      </c>
      <c r="V160" s="97" t="s">
        <v>33</v>
      </c>
    </row>
    <row r="161" spans="1:22" ht="16.5">
      <c r="A161" s="303" t="s">
        <v>772</v>
      </c>
      <c r="B161" s="307" t="s">
        <v>467</v>
      </c>
      <c r="C161" s="143" t="s">
        <v>5150</v>
      </c>
      <c r="D161" s="77">
        <f>0.306446084592*E161</f>
        <v>0.30644608459200001</v>
      </c>
      <c r="E161" s="141">
        <f>SI!E3</f>
        <v>1</v>
      </c>
      <c r="F161" s="114" t="s">
        <v>14</v>
      </c>
      <c r="G161" s="285" t="s">
        <v>4453</v>
      </c>
      <c r="H161" s="299">
        <f>POWER(D161,2)*I161</f>
        <v>9.390920276176723E-2</v>
      </c>
      <c r="I161" s="227">
        <f>POWER(SI!E3,2)</f>
        <v>1</v>
      </c>
      <c r="J161" s="287" t="s">
        <v>39</v>
      </c>
      <c r="K161" s="295" t="s">
        <v>819</v>
      </c>
      <c r="L161" s="296">
        <f>0.6168856232*M161</f>
        <v>0.61688562319999996</v>
      </c>
      <c r="M161" s="227">
        <f>SI!E2</f>
        <v>1</v>
      </c>
      <c r="N161" s="287" t="s">
        <v>23</v>
      </c>
      <c r="O161" s="143" t="s">
        <v>818</v>
      </c>
      <c r="P161" s="154">
        <f>0.013555903726848*Q161</f>
        <v>1.3555903726848E-2</v>
      </c>
      <c r="Q161" s="227">
        <f>POWER(SI!E3,3)</f>
        <v>1</v>
      </c>
      <c r="R161" s="114" t="s">
        <v>33</v>
      </c>
      <c r="S161" s="49" t="s">
        <v>6882</v>
      </c>
      <c r="T161" s="83">
        <f>200.345*POWER(D6/12,3)*U161</f>
        <v>3.2830663370800005E-3</v>
      </c>
      <c r="U161" s="231">
        <f>POWER(SI!E3,3)</f>
        <v>1</v>
      </c>
      <c r="V161" s="51" t="s">
        <v>33</v>
      </c>
    </row>
    <row r="162" spans="1:22" ht="16.5">
      <c r="A162" s="303"/>
      <c r="B162" s="307"/>
      <c r="C162" s="143" t="s">
        <v>200</v>
      </c>
      <c r="D162" s="77">
        <f>0.30645*E162</f>
        <v>0.30645</v>
      </c>
      <c r="E162" s="141">
        <f>SI!E3</f>
        <v>1</v>
      </c>
      <c r="F162" s="114" t="s">
        <v>14</v>
      </c>
      <c r="G162" s="285"/>
      <c r="H162" s="286"/>
      <c r="I162" s="141"/>
      <c r="J162" s="287"/>
      <c r="K162" s="295"/>
      <c r="L162" s="286"/>
      <c r="M162" s="141"/>
      <c r="N162" s="287"/>
      <c r="O162" s="143" t="s">
        <v>962</v>
      </c>
      <c r="P162" s="167">
        <f>0.00169491813*Q162</f>
        <v>1.69491813E-3</v>
      </c>
      <c r="Q162" s="227">
        <f>POWER(SI!E3,3)</f>
        <v>1</v>
      </c>
      <c r="R162" s="114" t="s">
        <v>33</v>
      </c>
      <c r="S162" s="49" t="s">
        <v>6883</v>
      </c>
      <c r="T162" s="83">
        <f>137.333*POWER(D6/12,3)*U162</f>
        <v>2.2504846603120005E-3</v>
      </c>
      <c r="U162" s="231">
        <f>POWER(SI!E3,3)</f>
        <v>1</v>
      </c>
      <c r="V162" s="51" t="s">
        <v>33</v>
      </c>
    </row>
    <row r="163" spans="1:22" ht="16.5">
      <c r="A163" s="94" t="s">
        <v>773</v>
      </c>
      <c r="B163" s="98" t="s">
        <v>488</v>
      </c>
      <c r="C163" s="95" t="s">
        <v>899</v>
      </c>
      <c r="D163" s="96">
        <f>3.92*E163</f>
        <v>3.92</v>
      </c>
      <c r="E163" s="146">
        <f>SI!E3</f>
        <v>1</v>
      </c>
      <c r="F163" s="97" t="s">
        <v>14</v>
      </c>
      <c r="G163" s="95" t="s">
        <v>1016</v>
      </c>
      <c r="H163" s="96">
        <f>8000*I163</f>
        <v>8000</v>
      </c>
      <c r="I163" s="146">
        <f>POWER(SI!E3,2)</f>
        <v>1</v>
      </c>
      <c r="J163" s="86" t="s">
        <v>39</v>
      </c>
      <c r="K163" s="95" t="s">
        <v>828</v>
      </c>
      <c r="L163" s="96">
        <f>0.448*M163</f>
        <v>0.44800000000000001</v>
      </c>
      <c r="M163" s="146">
        <f>SI!E2</f>
        <v>1</v>
      </c>
      <c r="N163" s="97" t="s">
        <v>23</v>
      </c>
      <c r="O163" s="95" t="s">
        <v>900</v>
      </c>
      <c r="P163" s="96">
        <f>0.001359*Q163</f>
        <v>1.359E-3</v>
      </c>
      <c r="Q163" s="229">
        <f>POWER(SI!E3,3)</f>
        <v>1</v>
      </c>
      <c r="R163" s="97" t="s">
        <v>33</v>
      </c>
      <c r="S163" s="95" t="s">
        <v>5315</v>
      </c>
      <c r="T163" s="96">
        <f>POWER(D163,3)*U163</f>
        <v>60.236287999999995</v>
      </c>
      <c r="U163" s="146">
        <f>POWER(SI!E3,3)</f>
        <v>1</v>
      </c>
      <c r="V163" s="97" t="s">
        <v>33</v>
      </c>
    </row>
    <row r="164" spans="1:22" ht="16.5">
      <c r="A164" s="330" t="s">
        <v>774</v>
      </c>
      <c r="B164" s="329" t="s">
        <v>49</v>
      </c>
      <c r="C164" s="295" t="s">
        <v>821</v>
      </c>
      <c r="D164" s="286">
        <f>0.835905*E164</f>
        <v>0.83590500000000001</v>
      </c>
      <c r="E164" s="210">
        <f>SI!E3</f>
        <v>1</v>
      </c>
      <c r="F164" s="288" t="s">
        <v>14</v>
      </c>
      <c r="G164" s="295" t="s">
        <v>4513</v>
      </c>
      <c r="H164" s="321">
        <f>POWER(D164,2)*I164</f>
        <v>0.69873716902500005</v>
      </c>
      <c r="I164" s="228">
        <f>POWER(SI!E3,2)</f>
        <v>1</v>
      </c>
      <c r="J164" s="288" t="s">
        <v>39</v>
      </c>
      <c r="K164" s="295" t="s">
        <v>822</v>
      </c>
      <c r="L164" s="286">
        <f>0.460093*M164</f>
        <v>0.46009299999999997</v>
      </c>
      <c r="M164" s="210">
        <f>SI!E2</f>
        <v>1</v>
      </c>
      <c r="N164" s="288" t="s">
        <v>23</v>
      </c>
      <c r="O164" s="59" t="s">
        <v>5319</v>
      </c>
      <c r="P164" s="72">
        <f>0.015643162*Q164</f>
        <v>1.5643161999999999E-2</v>
      </c>
      <c r="Q164" s="230">
        <f>POWER(SI!E3,3)</f>
        <v>1</v>
      </c>
      <c r="R164" s="61" t="s">
        <v>33</v>
      </c>
      <c r="S164" s="295" t="s">
        <v>823</v>
      </c>
      <c r="T164" s="322">
        <f>0.055501*U164</f>
        <v>5.5501000000000002E-2</v>
      </c>
      <c r="U164" s="228">
        <f>POWER(SI!E3,3)</f>
        <v>1</v>
      </c>
      <c r="V164" s="288" t="s">
        <v>33</v>
      </c>
    </row>
    <row r="165" spans="1:22" ht="16.5">
      <c r="A165" s="306"/>
      <c r="B165" s="307"/>
      <c r="C165" s="295"/>
      <c r="D165" s="286"/>
      <c r="E165" s="210"/>
      <c r="F165" s="288"/>
      <c r="G165" s="295"/>
      <c r="H165" s="286"/>
      <c r="I165" s="210"/>
      <c r="J165" s="288"/>
      <c r="K165" s="295"/>
      <c r="L165" s="286"/>
      <c r="M165" s="210"/>
      <c r="N165" s="288"/>
      <c r="O165" s="53" t="s">
        <v>5320</v>
      </c>
      <c r="P165" s="73">
        <f>0.016133*Q165</f>
        <v>1.6133000000000002E-2</v>
      </c>
      <c r="Q165" s="234">
        <f>POWER(SI!E3,3)</f>
        <v>1</v>
      </c>
      <c r="R165" s="55" t="s">
        <v>33</v>
      </c>
      <c r="S165" s="295"/>
      <c r="T165" s="286"/>
      <c r="U165" s="210"/>
      <c r="V165" s="288"/>
    </row>
    <row r="166" spans="1:22" ht="16.5">
      <c r="A166" s="306"/>
      <c r="B166" s="307"/>
      <c r="C166" s="295"/>
      <c r="D166" s="286"/>
      <c r="E166" s="210"/>
      <c r="F166" s="288"/>
      <c r="G166" s="295"/>
      <c r="H166" s="286"/>
      <c r="I166" s="210"/>
      <c r="J166" s="288"/>
      <c r="K166" s="295"/>
      <c r="L166" s="286"/>
      <c r="M166" s="210"/>
      <c r="N166" s="288"/>
      <c r="O166" s="56" t="s">
        <v>6884</v>
      </c>
      <c r="P166" s="74">
        <f>0.012563*Q166</f>
        <v>1.2563E-2</v>
      </c>
      <c r="Q166" s="221">
        <f>POWER(SI!E3,3)</f>
        <v>1</v>
      </c>
      <c r="R166" s="58" t="s">
        <v>33</v>
      </c>
      <c r="S166" s="295"/>
      <c r="T166" s="286"/>
      <c r="U166" s="210"/>
      <c r="V166" s="288"/>
    </row>
    <row r="167" spans="1:22" ht="16.5">
      <c r="A167" s="94" t="s">
        <v>775</v>
      </c>
      <c r="B167" s="98" t="s">
        <v>51</v>
      </c>
      <c r="C167" s="95" t="s">
        <v>861</v>
      </c>
      <c r="D167" s="96">
        <f>0.2969*E167</f>
        <v>0.2969</v>
      </c>
      <c r="E167" s="146">
        <f>SI!E3</f>
        <v>1</v>
      </c>
      <c r="F167" s="97" t="s">
        <v>14</v>
      </c>
      <c r="G167" s="95" t="s">
        <v>862</v>
      </c>
      <c r="H167" s="151">
        <f>POWER(D167,2)*I167</f>
        <v>8.8149610000000003E-2</v>
      </c>
      <c r="I167" s="229">
        <f>POWER(SI!E3,2)</f>
        <v>1</v>
      </c>
      <c r="J167" s="86" t="s">
        <v>39</v>
      </c>
      <c r="K167" s="95" t="s">
        <v>863</v>
      </c>
      <c r="L167" s="152">
        <f>0.4250797024*M167</f>
        <v>0.42507970239999998</v>
      </c>
      <c r="M167" s="229">
        <f>SI!E2</f>
        <v>1</v>
      </c>
      <c r="N167" s="97" t="s">
        <v>23</v>
      </c>
      <c r="O167" s="95" t="s">
        <v>864</v>
      </c>
      <c r="P167" s="102">
        <f>0.1*POWER(D167,3)*Q167</f>
        <v>2.6171619209000001E-3</v>
      </c>
      <c r="Q167" s="229">
        <f>POWER(SI!E3,3)</f>
        <v>1</v>
      </c>
      <c r="R167" s="97" t="s">
        <v>33</v>
      </c>
      <c r="S167" s="95" t="s">
        <v>864</v>
      </c>
      <c r="T167" s="102">
        <f>0.1*POWER(D167,3)*U167</f>
        <v>2.6171619209000001E-3</v>
      </c>
      <c r="U167" s="229">
        <f>POWER(SI!E3,3)</f>
        <v>1</v>
      </c>
      <c r="V167" s="97" t="s">
        <v>33</v>
      </c>
    </row>
    <row r="168" spans="1:22" ht="14.4" customHeight="1">
      <c r="A168" s="295" t="s">
        <v>776</v>
      </c>
      <c r="B168" s="307" t="s">
        <v>342</v>
      </c>
      <c r="C168" s="76" t="s">
        <v>817</v>
      </c>
      <c r="D168" s="77">
        <f>0.3*E168</f>
        <v>0.3</v>
      </c>
      <c r="E168" s="210">
        <f>SI!E3</f>
        <v>1</v>
      </c>
      <c r="F168" s="115" t="s">
        <v>14</v>
      </c>
      <c r="G168" s="295" t="s">
        <v>1017</v>
      </c>
      <c r="H168" s="286">
        <f>400*POWER(D168,2)*I168</f>
        <v>36</v>
      </c>
      <c r="I168" s="141">
        <f>POWER(SI!E3,2)</f>
        <v>1</v>
      </c>
      <c r="J168" s="287" t="s">
        <v>39</v>
      </c>
      <c r="K168" s="59" t="s">
        <v>815</v>
      </c>
      <c r="L168" s="60">
        <f>0.5*M168</f>
        <v>0.5</v>
      </c>
      <c r="M168" s="214">
        <f>SI!E2</f>
        <v>1</v>
      </c>
      <c r="N168" s="62" t="s">
        <v>23</v>
      </c>
      <c r="O168" s="295" t="s">
        <v>579</v>
      </c>
      <c r="P168" s="286">
        <f>0.0015*Q168</f>
        <v>1.5E-3</v>
      </c>
      <c r="Q168" s="210">
        <f>POWER(SI!E3,3)</f>
        <v>1</v>
      </c>
      <c r="R168" s="288" t="s">
        <v>33</v>
      </c>
      <c r="S168" s="295" t="s">
        <v>1571</v>
      </c>
      <c r="T168" s="286">
        <f>0.015*U168</f>
        <v>1.4999999999999999E-2</v>
      </c>
      <c r="U168" s="210">
        <f>POWER(SI!E3,3)</f>
        <v>1</v>
      </c>
      <c r="V168" s="288" t="s">
        <v>33</v>
      </c>
    </row>
    <row r="169" spans="1:22">
      <c r="A169" s="295"/>
      <c r="B169" s="307"/>
      <c r="C169" s="76" t="s">
        <v>512</v>
      </c>
      <c r="D169" s="77">
        <f>0.000188*E169</f>
        <v>1.8799999999999999E-4</v>
      </c>
      <c r="E169" s="210">
        <f>SI!E3</f>
        <v>1</v>
      </c>
      <c r="F169" s="115" t="s">
        <v>14</v>
      </c>
      <c r="G169" s="295"/>
      <c r="H169" s="286"/>
      <c r="I169" s="141"/>
      <c r="J169" s="287"/>
      <c r="K169" s="56" t="s">
        <v>5322</v>
      </c>
      <c r="L169" s="57">
        <f>0.375*M169</f>
        <v>0.375</v>
      </c>
      <c r="M169" s="216">
        <f>SI!E2</f>
        <v>1</v>
      </c>
      <c r="N169" s="64" t="s">
        <v>23</v>
      </c>
      <c r="O169" s="295"/>
      <c r="P169" s="286"/>
      <c r="Q169" s="210"/>
      <c r="R169" s="288"/>
      <c r="S169" s="295"/>
      <c r="T169" s="286"/>
      <c r="U169" s="210"/>
      <c r="V169" s="288"/>
    </row>
    <row r="170" spans="1:22" ht="16.5">
      <c r="A170" s="94" t="s">
        <v>777</v>
      </c>
      <c r="B170" s="98" t="s">
        <v>494</v>
      </c>
      <c r="C170" s="95" t="s">
        <v>835</v>
      </c>
      <c r="D170" s="96">
        <f>0.582*E170</f>
        <v>0.58199999999999996</v>
      </c>
      <c r="E170" s="146">
        <f>SI!E3</f>
        <v>1</v>
      </c>
      <c r="F170" s="97" t="s">
        <v>14</v>
      </c>
      <c r="G170" s="95" t="s">
        <v>4345</v>
      </c>
      <c r="H170" s="96">
        <f>POWER(D170,2)*I170</f>
        <v>0.33872399999999997</v>
      </c>
      <c r="I170" s="146">
        <f>POWER(SI!E3,2)</f>
        <v>1</v>
      </c>
      <c r="J170" s="124" t="s">
        <v>39</v>
      </c>
      <c r="K170" s="95" t="s">
        <v>828</v>
      </c>
      <c r="L170" s="96">
        <f>1.785*M170</f>
        <v>1.7849999999999999</v>
      </c>
      <c r="M170" s="146">
        <f>SI!E2</f>
        <v>1</v>
      </c>
      <c r="N170" s="97" t="s">
        <v>23</v>
      </c>
      <c r="O170" s="95" t="s">
        <v>810</v>
      </c>
      <c r="P170" s="96">
        <f>0.0032*Q170</f>
        <v>3.2000000000000002E-3</v>
      </c>
      <c r="Q170" s="146">
        <f>POWER(SI!E3,3)</f>
        <v>1</v>
      </c>
      <c r="R170" s="97" t="s">
        <v>33</v>
      </c>
      <c r="S170" s="95" t="s">
        <v>4346</v>
      </c>
      <c r="T170" s="96">
        <f>POWER(D170,3)*U170</f>
        <v>0.19713736799999998</v>
      </c>
      <c r="U170" s="146">
        <f>POWER(SI!E3,3)</f>
        <v>1</v>
      </c>
      <c r="V170" s="97" t="s">
        <v>33</v>
      </c>
    </row>
    <row r="171" spans="1:22" ht="16.5">
      <c r="A171" s="303" t="s">
        <v>778</v>
      </c>
      <c r="B171" s="307" t="s">
        <v>449</v>
      </c>
      <c r="C171" s="295" t="s">
        <v>919</v>
      </c>
      <c r="D171" s="286">
        <f>2*E171</f>
        <v>2</v>
      </c>
      <c r="E171" s="210">
        <f>SI!E3</f>
        <v>1</v>
      </c>
      <c r="F171" s="288" t="s">
        <v>14</v>
      </c>
      <c r="G171" s="285" t="s">
        <v>6849</v>
      </c>
      <c r="H171" s="286">
        <f>POWER(D171,2)*I171</f>
        <v>4</v>
      </c>
      <c r="I171" s="141">
        <f>POWER(SI!E3,2)</f>
        <v>1</v>
      </c>
      <c r="J171" s="287" t="s">
        <v>39</v>
      </c>
      <c r="K171" s="285" t="s">
        <v>920</v>
      </c>
      <c r="L171" s="286">
        <f>1.2*M171</f>
        <v>1.2</v>
      </c>
      <c r="M171" s="141">
        <f>SI!E2</f>
        <v>1</v>
      </c>
      <c r="N171" s="287" t="s">
        <v>23</v>
      </c>
      <c r="O171" s="49" t="s">
        <v>6885</v>
      </c>
      <c r="P171" s="162">
        <f>0.001*Q171</f>
        <v>1E-3</v>
      </c>
      <c r="Q171" s="236">
        <f>POWER(SI!E3,3)</f>
        <v>1</v>
      </c>
      <c r="R171" s="61" t="s">
        <v>33</v>
      </c>
      <c r="S171" s="285" t="s">
        <v>5326</v>
      </c>
      <c r="T171" s="286">
        <f>POWER(D171,3)*U171</f>
        <v>8</v>
      </c>
      <c r="U171" s="141">
        <f>POWER(SI!E3,3)</f>
        <v>1</v>
      </c>
      <c r="V171" s="287" t="s">
        <v>33</v>
      </c>
    </row>
    <row r="172" spans="1:22" ht="16.5">
      <c r="A172" s="303"/>
      <c r="B172" s="307"/>
      <c r="C172" s="295"/>
      <c r="D172" s="286"/>
      <c r="E172" s="210"/>
      <c r="F172" s="288"/>
      <c r="G172" s="285"/>
      <c r="H172" s="286"/>
      <c r="I172" s="141"/>
      <c r="J172" s="287"/>
      <c r="K172" s="285"/>
      <c r="L172" s="286"/>
      <c r="M172" s="141"/>
      <c r="N172" s="287"/>
      <c r="O172" s="49" t="s">
        <v>6886</v>
      </c>
      <c r="P172" s="162">
        <f>0.0009*Q172</f>
        <v>8.9999999999999998E-4</v>
      </c>
      <c r="Q172" s="236">
        <f>POWER(SI!E3,3)</f>
        <v>1</v>
      </c>
      <c r="R172" s="61" t="s">
        <v>33</v>
      </c>
      <c r="S172" s="285"/>
      <c r="T172" s="286"/>
      <c r="U172" s="141"/>
      <c r="V172" s="287"/>
    </row>
    <row r="173" spans="1:22" ht="16.5">
      <c r="A173" s="303"/>
      <c r="B173" s="307"/>
      <c r="C173" s="295"/>
      <c r="D173" s="286"/>
      <c r="E173" s="210"/>
      <c r="F173" s="288"/>
      <c r="G173" s="285"/>
      <c r="H173" s="286"/>
      <c r="I173" s="141"/>
      <c r="J173" s="287"/>
      <c r="K173" s="285"/>
      <c r="L173" s="286"/>
      <c r="M173" s="141"/>
      <c r="N173" s="287"/>
      <c r="O173" s="49" t="s">
        <v>6887</v>
      </c>
      <c r="P173" s="162">
        <f>0.0012*Q173</f>
        <v>1.1999999999999999E-3</v>
      </c>
      <c r="Q173" s="236">
        <f>POWER(SI!E3,3)</f>
        <v>1</v>
      </c>
      <c r="R173" s="61" t="s">
        <v>33</v>
      </c>
      <c r="S173" s="285"/>
      <c r="T173" s="286"/>
      <c r="U173" s="141"/>
      <c r="V173" s="287"/>
    </row>
    <row r="174" spans="1:22" ht="14.4" customHeight="1">
      <c r="A174" s="283" t="s">
        <v>779</v>
      </c>
      <c r="B174" s="298" t="s">
        <v>495</v>
      </c>
      <c r="C174" s="95" t="s">
        <v>6845</v>
      </c>
      <c r="D174" s="153">
        <f>0.5625*E174</f>
        <v>0.5625</v>
      </c>
      <c r="E174" s="232">
        <f>SI!E3</f>
        <v>1</v>
      </c>
      <c r="F174" s="97" t="s">
        <v>14</v>
      </c>
      <c r="G174" s="291" t="s">
        <v>4345</v>
      </c>
      <c r="H174" s="280">
        <f>POWER(D174,2)*I174</f>
        <v>0.31640625</v>
      </c>
      <c r="I174" s="292">
        <f>POWER(SI!E3,2)</f>
        <v>1</v>
      </c>
      <c r="J174" s="279" t="s">
        <v>39</v>
      </c>
      <c r="K174" s="291" t="s">
        <v>888</v>
      </c>
      <c r="L174" s="280">
        <f>0.031495*M174</f>
        <v>3.1495000000000002E-2</v>
      </c>
      <c r="M174" s="292">
        <f>SI!E2</f>
        <v>1</v>
      </c>
      <c r="N174" s="279" t="s">
        <v>23</v>
      </c>
      <c r="O174" s="291" t="s">
        <v>889</v>
      </c>
      <c r="P174" s="280">
        <f>0.496*Q174</f>
        <v>0.496</v>
      </c>
      <c r="Q174" s="292">
        <f>POWER(SI!E3,3)</f>
        <v>1</v>
      </c>
      <c r="R174" s="293" t="s">
        <v>33</v>
      </c>
      <c r="S174" s="291" t="s">
        <v>4346</v>
      </c>
      <c r="T174" s="280">
        <f>POWER(D174,3)*U174</f>
        <v>0.177978515625</v>
      </c>
      <c r="U174" s="292">
        <f>POWER(SI!E3,3)</f>
        <v>1</v>
      </c>
      <c r="V174" s="279" t="s">
        <v>33</v>
      </c>
    </row>
    <row r="175" spans="1:22">
      <c r="A175" s="283"/>
      <c r="B175" s="298"/>
      <c r="C175" s="95" t="s">
        <v>5333</v>
      </c>
      <c r="D175" s="96">
        <f>0.673*E175</f>
        <v>0.67300000000000004</v>
      </c>
      <c r="E175" s="146">
        <f>SI!E3</f>
        <v>1</v>
      </c>
      <c r="F175" s="97" t="s">
        <v>14</v>
      </c>
      <c r="G175" s="291"/>
      <c r="H175" s="280"/>
      <c r="I175" s="292"/>
      <c r="J175" s="279"/>
      <c r="K175" s="291"/>
      <c r="L175" s="280"/>
      <c r="M175" s="292"/>
      <c r="N175" s="279"/>
      <c r="O175" s="291"/>
      <c r="P175" s="280"/>
      <c r="Q175" s="292"/>
      <c r="R175" s="279"/>
      <c r="S175" s="291"/>
      <c r="T175" s="280"/>
      <c r="U175" s="292"/>
      <c r="V175" s="279"/>
    </row>
    <row r="176" spans="1:22">
      <c r="A176" s="283"/>
      <c r="B176" s="298"/>
      <c r="C176" s="43" t="s">
        <v>5332</v>
      </c>
      <c r="D176" s="96">
        <f>0.488*E176</f>
        <v>0.48799999999999999</v>
      </c>
      <c r="E176">
        <f>SI!E3</f>
        <v>1</v>
      </c>
      <c r="F176" s="36" t="s">
        <v>14</v>
      </c>
      <c r="G176" s="291"/>
      <c r="H176" s="280"/>
      <c r="I176" s="292"/>
      <c r="J176" s="279"/>
      <c r="K176" s="291"/>
      <c r="L176" s="280"/>
      <c r="M176" s="292"/>
      <c r="N176" s="279"/>
      <c r="O176" s="291"/>
      <c r="P176" s="280"/>
      <c r="Q176" s="292"/>
      <c r="R176" s="279"/>
      <c r="S176" s="291"/>
      <c r="T176" s="280"/>
      <c r="U176" s="292"/>
      <c r="V176" s="279"/>
    </row>
    <row r="177" spans="1:22" ht="16.5">
      <c r="A177" s="303" t="s">
        <v>780</v>
      </c>
      <c r="B177" s="328" t="s">
        <v>469</v>
      </c>
      <c r="C177" s="49" t="s">
        <v>835</v>
      </c>
      <c r="D177" s="92">
        <f>0.755397246487*E177</f>
        <v>0.75539724648700002</v>
      </c>
      <c r="E177" s="231">
        <f>SI!E3</f>
        <v>1</v>
      </c>
      <c r="F177" s="50" t="s">
        <v>14</v>
      </c>
      <c r="G177" s="49" t="s">
        <v>4345</v>
      </c>
      <c r="H177" s="83">
        <f>POWER(D177,2)*I177</f>
        <v>0.57062500000014149</v>
      </c>
      <c r="I177" s="231">
        <f>POWER(SI!E3,2)</f>
        <v>1</v>
      </c>
      <c r="J177" s="114" t="s">
        <v>39</v>
      </c>
      <c r="K177" s="49" t="s">
        <v>834</v>
      </c>
      <c r="L177" s="80">
        <f>1.283*M177</f>
        <v>1.2829999999999999</v>
      </c>
      <c r="M177" s="48">
        <f>SI!E2</f>
        <v>1</v>
      </c>
      <c r="N177" s="50" t="s">
        <v>23</v>
      </c>
      <c r="O177" s="49" t="s">
        <v>5345</v>
      </c>
      <c r="P177" s="80">
        <f>1*Q177</f>
        <v>1</v>
      </c>
      <c r="Q177" s="48">
        <f>POWER(SI!E3,3)</f>
        <v>1</v>
      </c>
      <c r="R177" s="114" t="s">
        <v>33</v>
      </c>
      <c r="S177" s="49" t="s">
        <v>4346</v>
      </c>
      <c r="T177" s="83">
        <f>POWER(D177,3)*U177</f>
        <v>0.43104855377675128</v>
      </c>
      <c r="U177" s="48">
        <f>POWER(SI!E3,3)</f>
        <v>1</v>
      </c>
      <c r="V177" s="51" t="s">
        <v>33</v>
      </c>
    </row>
    <row r="178" spans="1:22" ht="16.5">
      <c r="A178" s="283"/>
      <c r="B178" s="298"/>
      <c r="C178" s="49"/>
      <c r="D178" s="200"/>
      <c r="E178" s="231"/>
      <c r="F178" s="50"/>
      <c r="G178" s="49"/>
      <c r="H178" s="83"/>
      <c r="I178" s="183"/>
      <c r="J178" s="114"/>
      <c r="K178" s="49"/>
      <c r="L178" s="80"/>
      <c r="M178" s="48"/>
      <c r="N178" s="50"/>
      <c r="O178" s="49" t="s">
        <v>965</v>
      </c>
      <c r="P178" s="80">
        <f>0.4*Q178</f>
        <v>0.4</v>
      </c>
      <c r="Q178" s="48">
        <f>POWER(SI!E3,3)</f>
        <v>1</v>
      </c>
      <c r="R178" s="114" t="s">
        <v>33</v>
      </c>
      <c r="S178" s="49"/>
      <c r="T178" s="80"/>
      <c r="U178" s="48"/>
      <c r="V178" s="51"/>
    </row>
    <row r="179" spans="1:22">
      <c r="A179" s="283" t="s">
        <v>781</v>
      </c>
      <c r="B179" s="298" t="s">
        <v>447</v>
      </c>
      <c r="C179" s="291" t="s">
        <v>908</v>
      </c>
      <c r="D179" s="280">
        <f>0.7112*E179</f>
        <v>0.71120000000000005</v>
      </c>
      <c r="E179" s="292">
        <f>SI!E3</f>
        <v>1</v>
      </c>
      <c r="F179" s="279" t="s">
        <v>14</v>
      </c>
      <c r="G179" s="290" t="s">
        <v>5346</v>
      </c>
      <c r="H179" s="300">
        <f>POWER(D179,2)*I179</f>
        <v>0.50580544000000005</v>
      </c>
      <c r="I179" s="280">
        <f>POWER(SI!E3,2)</f>
        <v>1</v>
      </c>
      <c r="J179" s="289" t="s">
        <v>39</v>
      </c>
      <c r="K179" s="95" t="s">
        <v>6869</v>
      </c>
      <c r="L179" s="153">
        <f>126.5*M179</f>
        <v>126.5</v>
      </c>
      <c r="M179" s="232">
        <f>SI!E2</f>
        <v>1</v>
      </c>
      <c r="N179" s="97" t="s">
        <v>23</v>
      </c>
      <c r="O179" s="290" t="s">
        <v>5347</v>
      </c>
      <c r="P179" s="294">
        <f>POWER(D179,3)*Q179</f>
        <v>0.35972882892800007</v>
      </c>
      <c r="Q179" s="280">
        <f>POWER(SI!E3,3)</f>
        <v>1</v>
      </c>
      <c r="R179" s="289" t="s">
        <v>33</v>
      </c>
      <c r="S179" s="290" t="s">
        <v>5347</v>
      </c>
      <c r="T179" s="294">
        <f>POWER(D179,3)*U179</f>
        <v>0.35972882892800007</v>
      </c>
      <c r="U179" s="292">
        <f>POWER(SI!E3,3)</f>
        <v>1</v>
      </c>
      <c r="V179" s="279" t="s">
        <v>33</v>
      </c>
    </row>
    <row r="180" spans="1:22">
      <c r="A180" s="283"/>
      <c r="B180" s="298"/>
      <c r="C180" s="291"/>
      <c r="D180" s="280"/>
      <c r="E180" s="292"/>
      <c r="F180" s="279"/>
      <c r="G180" s="290"/>
      <c r="H180" s="300"/>
      <c r="I180" s="280"/>
      <c r="J180" s="289"/>
      <c r="K180" s="95" t="s">
        <v>6870</v>
      </c>
      <c r="L180" s="120">
        <f>125*M180</f>
        <v>125</v>
      </c>
      <c r="M180" s="189">
        <f>SI!E2</f>
        <v>1</v>
      </c>
      <c r="N180" s="36" t="s">
        <v>23</v>
      </c>
      <c r="O180" s="290"/>
      <c r="P180" s="294"/>
      <c r="Q180" s="280"/>
      <c r="R180" s="289"/>
      <c r="S180" s="290"/>
      <c r="T180" s="294"/>
      <c r="U180" s="292"/>
      <c r="V180" s="279"/>
    </row>
    <row r="181" spans="1:22">
      <c r="A181" s="283"/>
      <c r="B181" s="298"/>
      <c r="C181" s="291"/>
      <c r="D181" s="280"/>
      <c r="E181" s="292"/>
      <c r="F181" s="279"/>
      <c r="G181" s="290"/>
      <c r="H181" s="300"/>
      <c r="I181" s="280"/>
      <c r="J181" s="289"/>
      <c r="K181" s="95" t="s">
        <v>6871</v>
      </c>
      <c r="L181" s="120">
        <f>128*M181</f>
        <v>128</v>
      </c>
      <c r="M181" s="189">
        <f>SI!E2</f>
        <v>1</v>
      </c>
      <c r="N181" s="36" t="s">
        <v>23</v>
      </c>
      <c r="O181" s="290"/>
      <c r="P181" s="294"/>
      <c r="Q181" s="280"/>
      <c r="R181" s="289"/>
      <c r="S181" s="290"/>
      <c r="T181" s="294"/>
      <c r="U181" s="292"/>
      <c r="V181" s="279"/>
    </row>
    <row r="182" spans="1:22" ht="16.5">
      <c r="A182" s="48" t="s">
        <v>782</v>
      </c>
      <c r="B182" s="82" t="s">
        <v>496</v>
      </c>
      <c r="C182" s="49" t="s">
        <v>821</v>
      </c>
      <c r="D182" s="80">
        <f>0.8*E182</f>
        <v>0.8</v>
      </c>
      <c r="E182" s="48">
        <f>SI!E3</f>
        <v>1</v>
      </c>
      <c r="F182" s="50" t="s">
        <v>14</v>
      </c>
      <c r="G182" s="49" t="s">
        <v>4513</v>
      </c>
      <c r="H182" s="80">
        <f>POWER(D182,2)*I182</f>
        <v>0.64000000000000012</v>
      </c>
      <c r="I182" s="48">
        <f>POWER(SI!E3,2)</f>
        <v>1</v>
      </c>
      <c r="J182" s="50" t="s">
        <v>39</v>
      </c>
      <c r="K182" s="49" t="s">
        <v>820</v>
      </c>
      <c r="L182" s="80">
        <f>0.5*M182</f>
        <v>0.5</v>
      </c>
      <c r="M182" s="48">
        <f>SI!E2</f>
        <v>1</v>
      </c>
      <c r="N182" s="50" t="s">
        <v>23</v>
      </c>
      <c r="O182" s="49" t="s">
        <v>1018</v>
      </c>
      <c r="P182" s="80">
        <f>0.016137*Q182</f>
        <v>1.6136999999999999E-2</v>
      </c>
      <c r="Q182" s="48">
        <f>POWER(SI!E3,3)</f>
        <v>1</v>
      </c>
      <c r="R182" s="114" t="s">
        <v>33</v>
      </c>
      <c r="S182" s="49" t="s">
        <v>4514</v>
      </c>
      <c r="T182" s="80">
        <f>POWER(D182,3)*U182</f>
        <v>0.51200000000000012</v>
      </c>
      <c r="U182" s="48">
        <f>POWER(SI!E3,3)</f>
        <v>1</v>
      </c>
      <c r="V182" s="114" t="s">
        <v>33</v>
      </c>
    </row>
    <row r="183" spans="1:22" ht="16.5">
      <c r="A183" s="94" t="s">
        <v>783</v>
      </c>
      <c r="B183" s="98" t="s">
        <v>440</v>
      </c>
      <c r="C183" s="95" t="s">
        <v>844</v>
      </c>
      <c r="D183" s="96">
        <f>0.316*E183</f>
        <v>0.316</v>
      </c>
      <c r="E183" s="146">
        <f>SI!E3</f>
        <v>1</v>
      </c>
      <c r="F183" s="97" t="s">
        <v>14</v>
      </c>
      <c r="G183" s="95" t="s">
        <v>5629</v>
      </c>
      <c r="H183" s="101">
        <f>POWER(D183,2)*I183</f>
        <v>9.9856E-2</v>
      </c>
      <c r="I183" s="229">
        <f>POWER(SI!E3,2)</f>
        <v>1</v>
      </c>
      <c r="J183" s="124" t="s">
        <v>39</v>
      </c>
      <c r="K183" s="95" t="s">
        <v>834</v>
      </c>
      <c r="L183" s="96">
        <f>1.28*M183</f>
        <v>1.28</v>
      </c>
      <c r="M183" s="146">
        <f>SI!E2</f>
        <v>1</v>
      </c>
      <c r="N183" s="97" t="s">
        <v>23</v>
      </c>
      <c r="O183" s="95" t="s">
        <v>5077</v>
      </c>
      <c r="P183" s="96">
        <f>POWER(D183,3)*Q183</f>
        <v>3.1554496000000001E-2</v>
      </c>
      <c r="Q183" s="146">
        <f>POWER(SI!E3,3)</f>
        <v>1</v>
      </c>
      <c r="R183" s="97" t="s">
        <v>33</v>
      </c>
      <c r="S183" s="95" t="s">
        <v>5077</v>
      </c>
      <c r="T183" s="96">
        <f>POWER(D183,3)*U183</f>
        <v>3.1554496000000001E-2</v>
      </c>
      <c r="U183" s="146">
        <f>POWER(SI!E3,3)</f>
        <v>1</v>
      </c>
      <c r="V183" s="97" t="s">
        <v>33</v>
      </c>
    </row>
    <row r="184" spans="1:22" ht="16.5">
      <c r="A184" s="306" t="s">
        <v>959</v>
      </c>
      <c r="B184" s="307" t="s">
        <v>7427</v>
      </c>
      <c r="C184" s="49" t="s">
        <v>6847</v>
      </c>
      <c r="D184" s="80">
        <f>0.314858*E184</f>
        <v>0.31485800000000003</v>
      </c>
      <c r="E184" s="48">
        <f>SI!E3</f>
        <v>1</v>
      </c>
      <c r="F184" s="50" t="s">
        <v>14</v>
      </c>
      <c r="G184" s="49" t="s">
        <v>973</v>
      </c>
      <c r="H184" s="80">
        <f>8565.32*I184</f>
        <v>8565.32</v>
      </c>
      <c r="I184" s="48">
        <f>POWER(SI!E3,2)</f>
        <v>1</v>
      </c>
      <c r="J184" s="114" t="s">
        <v>39</v>
      </c>
      <c r="K184" s="49" t="s">
        <v>1019</v>
      </c>
      <c r="L184" s="116">
        <f>0.49409032*M184</f>
        <v>0.49409032000000003</v>
      </c>
      <c r="M184" s="231">
        <f>SI!E2</f>
        <v>1</v>
      </c>
      <c r="N184" s="50" t="s">
        <v>23</v>
      </c>
      <c r="O184" s="49" t="s">
        <v>254</v>
      </c>
      <c r="P184" s="80">
        <f>0.001329*Q184</f>
        <v>1.3290000000000001E-3</v>
      </c>
      <c r="Q184" s="48">
        <f>POWER(SI!E3,3)</f>
        <v>1</v>
      </c>
      <c r="R184" s="114" t="s">
        <v>33</v>
      </c>
      <c r="S184" s="49" t="s">
        <v>853</v>
      </c>
      <c r="T184" s="80">
        <f>0.027275*U184</f>
        <v>2.7275000000000001E-2</v>
      </c>
      <c r="U184" s="48">
        <f>POWER(SI!E3,3)</f>
        <v>1</v>
      </c>
      <c r="V184" s="114" t="s">
        <v>33</v>
      </c>
    </row>
    <row r="185" spans="1:22" ht="16.5">
      <c r="A185" s="301"/>
      <c r="B185" s="302"/>
      <c r="C185" s="49" t="s">
        <v>6846</v>
      </c>
      <c r="D185" s="48">
        <f>0.313944*E185</f>
        <v>0.313944</v>
      </c>
      <c r="E185" s="48">
        <f>SI!E3</f>
        <v>1</v>
      </c>
      <c r="F185" s="50" t="s">
        <v>14</v>
      </c>
      <c r="G185" s="49"/>
      <c r="H185" s="48"/>
      <c r="I185" s="48"/>
      <c r="J185" s="48"/>
      <c r="K185" s="49"/>
      <c r="L185" s="48"/>
      <c r="M185" s="48"/>
      <c r="N185" s="50"/>
      <c r="O185" s="49" t="s">
        <v>1021</v>
      </c>
      <c r="P185" s="48">
        <f>0.040914828*Q185</f>
        <v>4.0914828E-2</v>
      </c>
      <c r="Q185" s="48">
        <f>POWER(SI!E3,3)</f>
        <v>1</v>
      </c>
      <c r="R185" s="114" t="s">
        <v>33</v>
      </c>
      <c r="S185" s="49" t="s">
        <v>1020</v>
      </c>
      <c r="T185" s="48">
        <f>0.0092*U185</f>
        <v>9.1999999999999998E-3</v>
      </c>
      <c r="U185" s="48">
        <f>POWER(SI!E3,3)</f>
        <v>1</v>
      </c>
      <c r="V185" s="114" t="s">
        <v>33</v>
      </c>
    </row>
    <row r="186" spans="1:22">
      <c r="A186" t="s">
        <v>548</v>
      </c>
      <c r="B186" s="98" t="s">
        <v>7534</v>
      </c>
      <c r="C186" s="43"/>
      <c r="F186" s="46"/>
      <c r="K186" s="95" t="s">
        <v>912</v>
      </c>
      <c r="L186">
        <f>0.6048*M186</f>
        <v>0.6048</v>
      </c>
      <c r="M186">
        <f>SI!E2</f>
        <v>1</v>
      </c>
      <c r="N186" s="36" t="s">
        <v>23</v>
      </c>
      <c r="O186" s="43"/>
      <c r="R186" s="97"/>
      <c r="S186" s="43"/>
      <c r="V186" s="97"/>
    </row>
    <row r="187" spans="1:22" ht="16.5">
      <c r="A187" s="48" t="s">
        <v>974</v>
      </c>
      <c r="B187" s="48" t="s">
        <v>7423</v>
      </c>
      <c r="C187" s="49" t="s">
        <v>578</v>
      </c>
      <c r="D187" s="48">
        <f>0.7112*E187</f>
        <v>0.71120000000000005</v>
      </c>
      <c r="E187" s="48">
        <f>SI!E3</f>
        <v>1</v>
      </c>
      <c r="F187" s="50" t="s">
        <v>14</v>
      </c>
      <c r="G187" s="49" t="s">
        <v>6848</v>
      </c>
      <c r="H187" s="48">
        <f>POWER(D187,2)*I187</f>
        <v>0.50580544000000005</v>
      </c>
      <c r="I187" s="48">
        <f>POWER(SI!E3,2)</f>
        <v>1</v>
      </c>
      <c r="J187" s="50" t="s">
        <v>39</v>
      </c>
      <c r="K187" s="49"/>
      <c r="L187" s="48"/>
      <c r="M187" s="48"/>
      <c r="N187" s="50"/>
      <c r="O187" s="49" t="s">
        <v>6888</v>
      </c>
      <c r="P187" s="240">
        <f>POWER(D187,3)*Q187</f>
        <v>0.35972882892800007</v>
      </c>
      <c r="Q187" s="48">
        <f>POWER(SI!E3,3)</f>
        <v>1</v>
      </c>
      <c r="R187" s="114" t="s">
        <v>33</v>
      </c>
      <c r="S187" s="49" t="s">
        <v>6888</v>
      </c>
      <c r="T187" s="240">
        <f>POWER(D187,3)*U187</f>
        <v>0.35972882892800007</v>
      </c>
      <c r="U187" s="48">
        <f>POWER(SI!E3,3)</f>
        <v>1</v>
      </c>
      <c r="V187" s="114" t="s">
        <v>33</v>
      </c>
    </row>
    <row r="188" spans="1:22" ht="16.5">
      <c r="A188" t="s">
        <v>547</v>
      </c>
      <c r="C188" s="43" t="s">
        <v>1231</v>
      </c>
      <c r="D188">
        <f>0.7112*E188</f>
        <v>0.71120000000000005</v>
      </c>
      <c r="E188">
        <f>SI!E3</f>
        <v>1</v>
      </c>
      <c r="F188" s="36" t="s">
        <v>14</v>
      </c>
      <c r="G188" s="43" t="s">
        <v>4441</v>
      </c>
      <c r="H188">
        <f>POWER(D188,2)*I188</f>
        <v>0.50580544000000005</v>
      </c>
      <c r="I188">
        <f>POWER(SI!E3,2)</f>
        <v>1</v>
      </c>
      <c r="J188" s="124" t="s">
        <v>39</v>
      </c>
      <c r="K188" s="43" t="s">
        <v>834</v>
      </c>
      <c r="L188">
        <f>1.270058636*M188</f>
        <v>1.2700586359999999</v>
      </c>
      <c r="M188">
        <f>SI!E2</f>
        <v>1</v>
      </c>
      <c r="N188" s="36" t="s">
        <v>23</v>
      </c>
      <c r="O188" s="43" t="s">
        <v>1885</v>
      </c>
      <c r="P188">
        <f>0.02*Q188</f>
        <v>0.02</v>
      </c>
      <c r="Q188">
        <f>POWER(SI!E3,3)</f>
        <v>1</v>
      </c>
      <c r="R188" s="97" t="s">
        <v>33</v>
      </c>
      <c r="S188" s="43" t="s">
        <v>4442</v>
      </c>
      <c r="T188">
        <f>POWER(D188,3)*U188</f>
        <v>0.35972882892800007</v>
      </c>
      <c r="U188">
        <f>POWER(SI!E3,3)</f>
        <v>1</v>
      </c>
      <c r="V188" s="97" t="s">
        <v>33</v>
      </c>
    </row>
    <row r="189" spans="1:22" ht="16.5">
      <c r="A189" s="48" t="s">
        <v>995</v>
      </c>
      <c r="B189" s="48" t="s">
        <v>995</v>
      </c>
      <c r="C189" s="49" t="s">
        <v>996</v>
      </c>
      <c r="D189" s="48">
        <f>0.4572*E189</f>
        <v>0.4572</v>
      </c>
      <c r="E189" s="48">
        <f>SI!E3</f>
        <v>1</v>
      </c>
      <c r="F189" s="50" t="s">
        <v>14</v>
      </c>
      <c r="G189" s="49" t="s">
        <v>5018</v>
      </c>
      <c r="H189" s="48">
        <f>POWER(D189,2)*I189</f>
        <v>0.20903184</v>
      </c>
      <c r="I189" s="48">
        <f>POWER(SI!E3,2)</f>
        <v>1</v>
      </c>
      <c r="J189" s="50" t="s">
        <v>39</v>
      </c>
      <c r="K189" s="49" t="s">
        <v>997</v>
      </c>
      <c r="L189" s="48">
        <f>0.408233*M189</f>
        <v>0.40823300000000001</v>
      </c>
      <c r="M189" s="48">
        <f>SI!E2</f>
        <v>1</v>
      </c>
      <c r="N189" s="50" t="s">
        <v>23</v>
      </c>
      <c r="O189" s="49" t="s">
        <v>998</v>
      </c>
      <c r="P189" s="48">
        <f>0.00127859*Q189</f>
        <v>1.27859E-3</v>
      </c>
      <c r="Q189" s="48">
        <f>POWER(SI!E3,3)</f>
        <v>1</v>
      </c>
      <c r="R189" s="114" t="s">
        <v>33</v>
      </c>
      <c r="S189" s="49" t="s">
        <v>5019</v>
      </c>
      <c r="T189" s="240">
        <f>POWER(D189,3)*U189</f>
        <v>9.5569357248000003E-2</v>
      </c>
      <c r="U189" s="48">
        <f>POWER(SI!E3,3)</f>
        <v>1</v>
      </c>
      <c r="V189" s="114" t="s">
        <v>33</v>
      </c>
    </row>
    <row r="190" spans="1:22" ht="16.5">
      <c r="A190" s="283" t="s">
        <v>1022</v>
      </c>
      <c r="B190" s="283" t="s">
        <v>549</v>
      </c>
      <c r="C190" s="43" t="s">
        <v>1023</v>
      </c>
      <c r="D190">
        <f>0.3048*E190</f>
        <v>0.30480000000000002</v>
      </c>
      <c r="E190">
        <f>SI!E3</f>
        <v>1</v>
      </c>
      <c r="F190" s="36" t="s">
        <v>14</v>
      </c>
      <c r="G190" s="43" t="s">
        <v>5611</v>
      </c>
      <c r="H190" s="121">
        <f>60*POWER(16*D190,2)*I190</f>
        <v>1426.9906944000002</v>
      </c>
      <c r="I190" s="42">
        <f>POWER(SI!E3,2)</f>
        <v>1</v>
      </c>
      <c r="J190" s="124" t="s">
        <v>39</v>
      </c>
      <c r="K190" s="43" t="s">
        <v>2875</v>
      </c>
      <c r="L190">
        <f>0.453592338*M190</f>
        <v>0.45359233799999998</v>
      </c>
      <c r="M190">
        <f>SI!E2</f>
        <v>1</v>
      </c>
      <c r="N190" s="36" t="s">
        <v>23</v>
      </c>
      <c r="O190" s="43"/>
      <c r="S190" s="43" t="s">
        <v>5627</v>
      </c>
      <c r="T190" s="71">
        <f>POWER(D190,3)*U190</f>
        <v>2.8316846592000004E-2</v>
      </c>
      <c r="U190">
        <f>POWER(SI!E3,3)</f>
        <v>1</v>
      </c>
      <c r="V190" s="97" t="s">
        <v>33</v>
      </c>
    </row>
    <row r="191" spans="1:22" ht="16.5">
      <c r="A191" s="283"/>
      <c r="B191" s="283"/>
      <c r="C191" s="43"/>
      <c r="F191" s="46"/>
      <c r="G191" t="s">
        <v>5610</v>
      </c>
      <c r="H191" s="66">
        <f>36*POWER(16*D190,2)*I191</f>
        <v>856.1944166400001</v>
      </c>
      <c r="I191" s="42">
        <f>POWER(SI!E3,2)</f>
        <v>1</v>
      </c>
      <c r="J191" s="124" t="s">
        <v>39</v>
      </c>
      <c r="N191" s="46"/>
      <c r="O191" t="s">
        <v>1024</v>
      </c>
      <c r="P191" s="201">
        <f>0.07047814033376*Q191</f>
        <v>7.047814033376E-2</v>
      </c>
      <c r="Q191" s="42">
        <f>POWER(SI!E3,3)</f>
        <v>1</v>
      </c>
      <c r="R191" s="97" t="s">
        <v>33</v>
      </c>
      <c r="V191" s="272"/>
    </row>
    <row r="192" spans="1:22" ht="16.5">
      <c r="A192" s="48" t="s">
        <v>1031</v>
      </c>
      <c r="B192" s="48" t="s">
        <v>7426</v>
      </c>
      <c r="C192" s="49" t="s">
        <v>1032</v>
      </c>
      <c r="D192" s="175">
        <f>0.0000000330667*E192</f>
        <v>3.3066699999999998E-8</v>
      </c>
      <c r="E192" s="231">
        <f>SI!E3</f>
        <v>1</v>
      </c>
      <c r="F192" s="50" t="s">
        <v>14</v>
      </c>
      <c r="G192" s="49" t="s">
        <v>1040</v>
      </c>
      <c r="H192" s="48">
        <f>4.5987*I192</f>
        <v>4.5987</v>
      </c>
      <c r="I192" s="48">
        <f>POWER(SI!E3,2)</f>
        <v>1</v>
      </c>
      <c r="J192" s="50" t="s">
        <v>39</v>
      </c>
      <c r="K192" s="49" t="s">
        <v>1046</v>
      </c>
      <c r="L192" s="48">
        <f>0.00012*M192</f>
        <v>1.2E-4</v>
      </c>
      <c r="M192" s="48">
        <f>SI!E2</f>
        <v>1</v>
      </c>
      <c r="N192" s="50" t="s">
        <v>23</v>
      </c>
      <c r="O192" s="49" t="s">
        <v>910</v>
      </c>
      <c r="P192" s="175">
        <f>0.0011356235352*Q192</f>
        <v>1.1356235352000001E-3</v>
      </c>
      <c r="Q192" s="231">
        <f>POWER(SI!E3,3)</f>
        <v>1</v>
      </c>
      <c r="R192" s="114" t="s">
        <v>33</v>
      </c>
      <c r="S192" s="49" t="s">
        <v>910</v>
      </c>
      <c r="T192" s="203">
        <f>0.00070625*U192</f>
        <v>7.0624999999999996E-4</v>
      </c>
      <c r="U192" s="231">
        <f>POWER(SI!E3,3)</f>
        <v>1</v>
      </c>
      <c r="V192" s="114" t="s">
        <v>33</v>
      </c>
    </row>
    <row r="193" spans="1:22" ht="16.5">
      <c r="A193" t="s">
        <v>7097</v>
      </c>
      <c r="B193" t="s">
        <v>7098</v>
      </c>
      <c r="C193" s="333" t="s">
        <v>7099</v>
      </c>
      <c r="D193" s="174">
        <f>(46.46*D6/12)*E193</f>
        <v>1.1800840000000001</v>
      </c>
      <c r="E193">
        <f>SI!E3</f>
        <v>1</v>
      </c>
      <c r="F193" s="36" t="s">
        <v>14</v>
      </c>
      <c r="G193" s="43" t="s">
        <v>7101</v>
      </c>
      <c r="H193" s="71">
        <f>POWER(D193,2)*I193</f>
        <v>1.3925982470560003</v>
      </c>
      <c r="I193">
        <f>POWER(SI!E3,2)</f>
        <v>1</v>
      </c>
      <c r="J193" s="124" t="s">
        <v>39</v>
      </c>
      <c r="K193" t="s">
        <v>7100</v>
      </c>
      <c r="L193" s="334">
        <f>(120*L21/5760)*M193</f>
        <v>6.479891E-4</v>
      </c>
      <c r="M193">
        <f>SI!E2</f>
        <v>1</v>
      </c>
      <c r="N193" s="36" t="s">
        <v>23</v>
      </c>
      <c r="O193" s="43" t="s">
        <v>7102</v>
      </c>
      <c r="P193" s="201">
        <f>POWER(D193,3)*Q193</f>
        <v>1.6433829097788333</v>
      </c>
      <c r="Q193">
        <f>POWER(SI!E3,3)</f>
        <v>1</v>
      </c>
      <c r="R193" s="97" t="s">
        <v>33</v>
      </c>
      <c r="S193" t="s">
        <v>7103</v>
      </c>
      <c r="T193" s="335">
        <f>0.0568*8*T8*U193</f>
        <v>2.0015791854787841E-3</v>
      </c>
      <c r="U193">
        <f>POWER(SI!E3,3)</f>
        <v>1</v>
      </c>
      <c r="V193" s="97" t="s">
        <v>33</v>
      </c>
    </row>
    <row r="194" spans="1:22" ht="16.5">
      <c r="A194" s="48" t="s">
        <v>7107</v>
      </c>
      <c r="B194" s="48" t="s">
        <v>7106</v>
      </c>
      <c r="C194" s="49" t="s">
        <v>7108</v>
      </c>
      <c r="D194" s="338">
        <f>(22.48*D6/12)*E194</f>
        <v>0.57099200000000006</v>
      </c>
      <c r="E194" s="48">
        <f>SI!E3</f>
        <v>1</v>
      </c>
      <c r="F194" s="50" t="s">
        <v>14</v>
      </c>
      <c r="G194" s="49" t="s">
        <v>7109</v>
      </c>
      <c r="H194" s="240">
        <f>POWER(D194,2)*I194</f>
        <v>0.32603186406400009</v>
      </c>
      <c r="I194" s="48">
        <f>POWER(SI!E3,2)</f>
        <v>1</v>
      </c>
      <c r="J194" s="50" t="s">
        <v>39</v>
      </c>
      <c r="K194" s="49" t="s">
        <v>7110</v>
      </c>
      <c r="L194" s="240">
        <f>(L6* 2.0071)*M194</f>
        <v>0.910405245827</v>
      </c>
      <c r="M194" s="48">
        <f>SI!E2</f>
        <v>1</v>
      </c>
      <c r="N194" s="51" t="s">
        <v>23</v>
      </c>
      <c r="O194" s="48" t="s">
        <v>7114</v>
      </c>
      <c r="P194" s="48">
        <f>POWER(D194,3)*Q194</f>
        <v>0.18616158612563155</v>
      </c>
      <c r="Q194" s="48">
        <f>POWER(SI!E3,3)</f>
        <v>1</v>
      </c>
      <c r="R194" s="114" t="s">
        <v>33</v>
      </c>
      <c r="S194" s="48" t="s">
        <v>7113</v>
      </c>
      <c r="T194" s="183">
        <f>8*T8*7.305*U194</f>
        <v>0.2574214075690584</v>
      </c>
      <c r="U194" s="48">
        <f>POWER(SI!E3,3)</f>
        <v>1</v>
      </c>
      <c r="V194" s="114" t="s">
        <v>33</v>
      </c>
    </row>
    <row r="195" spans="1:22">
      <c r="A195" s="48"/>
      <c r="B195" s="48"/>
      <c r="C195" s="49"/>
      <c r="D195" s="48"/>
      <c r="E195" s="48"/>
      <c r="F195" s="51"/>
      <c r="G195" s="48"/>
      <c r="H195" s="48"/>
      <c r="I195" s="48"/>
      <c r="J195" s="341"/>
      <c r="K195" s="48" t="s">
        <v>7111</v>
      </c>
      <c r="L195" s="340">
        <f>(L6*34.226)*M195</f>
        <v>15.52465245562</v>
      </c>
      <c r="M195" s="48">
        <f>SI!E2</f>
        <v>1</v>
      </c>
      <c r="N195" s="51" t="s">
        <v>23</v>
      </c>
      <c r="O195" s="48"/>
      <c r="P195" s="48"/>
      <c r="Q195" s="48"/>
      <c r="R195" s="50"/>
      <c r="S195" s="49"/>
      <c r="T195" s="48"/>
      <c r="U195" s="48"/>
      <c r="V195" s="51"/>
    </row>
    <row r="196" spans="1:22">
      <c r="A196" s="48"/>
      <c r="B196" s="48"/>
      <c r="C196" s="49"/>
      <c r="D196" s="48"/>
      <c r="E196" s="48"/>
      <c r="F196" s="51"/>
      <c r="G196" s="48"/>
      <c r="H196" s="48"/>
      <c r="I196" s="48"/>
      <c r="J196" s="341"/>
      <c r="K196" s="339" t="s">
        <v>7112</v>
      </c>
      <c r="L196" s="240">
        <f>(L6*35.2822)*M196</f>
        <v>16.003736716814004</v>
      </c>
      <c r="M196" s="48">
        <f>SI!E2</f>
        <v>1</v>
      </c>
      <c r="N196" s="51" t="s">
        <v>23</v>
      </c>
      <c r="O196" s="48"/>
      <c r="P196" s="48"/>
      <c r="Q196" s="48"/>
      <c r="R196" s="50"/>
      <c r="S196" s="49"/>
      <c r="T196" s="48"/>
      <c r="U196" s="48"/>
      <c r="V196" s="51"/>
    </row>
    <row r="197" spans="1:22" ht="16.5">
      <c r="A197" t="s">
        <v>7124</v>
      </c>
      <c r="B197" s="342" t="s">
        <v>7125</v>
      </c>
      <c r="C197" s="43" t="s">
        <v>7117</v>
      </c>
      <c r="D197">
        <f>1.065*E197</f>
        <v>1.0649999999999999</v>
      </c>
      <c r="E197">
        <f>SI!E3</f>
        <v>1</v>
      </c>
      <c r="F197" s="36" t="s">
        <v>14</v>
      </c>
      <c r="G197" s="43" t="s">
        <v>7120</v>
      </c>
      <c r="H197">
        <f>2000*I197</f>
        <v>2000</v>
      </c>
      <c r="I197">
        <f>POWER(SI!E3,2)</f>
        <v>1</v>
      </c>
      <c r="J197" s="124" t="s">
        <v>39</v>
      </c>
      <c r="K197" t="s">
        <v>7126</v>
      </c>
      <c r="L197">
        <f>0.00019*M197</f>
        <v>1.9000000000000001E-4</v>
      </c>
      <c r="M197">
        <f>SI!E2</f>
        <v>1</v>
      </c>
      <c r="N197" s="36" t="s">
        <v>23</v>
      </c>
      <c r="O197" s="43" t="s">
        <v>7133</v>
      </c>
      <c r="P197" s="344">
        <f>POWER(D197,3)*Q197</f>
        <v>1.2079496249999997</v>
      </c>
      <c r="Q197">
        <f>POWER(SI!E3,3)</f>
        <v>1</v>
      </c>
      <c r="R197" s="97" t="s">
        <v>33</v>
      </c>
      <c r="S197" s="43" t="s">
        <v>7133</v>
      </c>
      <c r="T197" s="344">
        <f>POWER(D197,3)*U197</f>
        <v>1.2079496249999997</v>
      </c>
      <c r="U197">
        <f>POWER(SI!E3,3)</f>
        <v>1</v>
      </c>
      <c r="V197" s="97" t="s">
        <v>33</v>
      </c>
    </row>
    <row r="198" spans="1:22">
      <c r="C198" s="43"/>
      <c r="G198" s="43"/>
      <c r="J198" s="272"/>
      <c r="K198" s="343" t="s">
        <v>910</v>
      </c>
      <c r="L198">
        <f>7.066*M198</f>
        <v>7.0659999999999998</v>
      </c>
      <c r="M198">
        <f>SI!E2</f>
        <v>1</v>
      </c>
      <c r="N198" s="36" t="s">
        <v>23</v>
      </c>
      <c r="O198" s="43"/>
      <c r="S198" s="43"/>
      <c r="V198" s="46"/>
    </row>
    <row r="199" spans="1:22" ht="16.5">
      <c r="A199" s="48" t="s">
        <v>7135</v>
      </c>
      <c r="B199" s="48" t="s">
        <v>7136</v>
      </c>
      <c r="C199" s="49" t="s">
        <v>7137</v>
      </c>
      <c r="D199" s="183">
        <f>(10/33)*E199</f>
        <v>0.30303030303030304</v>
      </c>
      <c r="E199" s="48">
        <f>SI!E3</f>
        <v>1</v>
      </c>
      <c r="F199" s="50" t="s">
        <v>14</v>
      </c>
      <c r="G199" s="49" t="s">
        <v>7138</v>
      </c>
      <c r="H199" s="161">
        <f>(100/30.25)*I199</f>
        <v>3.3057851239669422</v>
      </c>
      <c r="I199" s="48">
        <f>POWER(SI!E3,2)</f>
        <v>1</v>
      </c>
      <c r="J199" s="50" t="s">
        <v>39</v>
      </c>
      <c r="K199" s="49" t="s">
        <v>7139</v>
      </c>
      <c r="L199" s="48">
        <f>(15/4)*M199*M199</f>
        <v>3.75</v>
      </c>
      <c r="M199" s="48">
        <f>SI!E2</f>
        <v>1</v>
      </c>
      <c r="N199" s="50" t="s">
        <v>23</v>
      </c>
      <c r="O199" s="49" t="s">
        <v>7140</v>
      </c>
      <c r="P199" s="346">
        <f>(2401/1331)*0.001*Q199</f>
        <v>1.8039068369646882E-3</v>
      </c>
      <c r="Q199" s="48">
        <f>POWER(SI!E3,3)</f>
        <v>1</v>
      </c>
      <c r="R199" s="114" t="s">
        <v>33</v>
      </c>
      <c r="S199" s="48" t="s">
        <v>7141</v>
      </c>
      <c r="T199" s="347">
        <f>POWER(D199,3)*U199</f>
        <v>2.7826474107465846E-2</v>
      </c>
      <c r="U199" s="48">
        <f>POWER(SI!E3,3)</f>
        <v>1</v>
      </c>
      <c r="V199" s="114" t="s">
        <v>33</v>
      </c>
    </row>
    <row r="200" spans="1:22" ht="16.5">
      <c r="A200" t="s">
        <v>7174</v>
      </c>
      <c r="B200" t="s">
        <v>7175</v>
      </c>
      <c r="C200" s="43" t="s">
        <v>7176</v>
      </c>
      <c r="D200" s="174">
        <f>(39.13*D6/12)*E200</f>
        <v>0.99390200000000017</v>
      </c>
      <c r="E200">
        <f>SI!E3</f>
        <v>1</v>
      </c>
      <c r="F200" s="36" t="s">
        <v>14</v>
      </c>
      <c r="G200" s="43" t="s">
        <v>7177</v>
      </c>
      <c r="H200" s="71">
        <f>POWER(D200,2)*I200</f>
        <v>0.98784118560400036</v>
      </c>
      <c r="I200">
        <f>POWER(SI!E3,2)</f>
        <v>1</v>
      </c>
      <c r="J200" s="124" t="s">
        <v>39</v>
      </c>
      <c r="K200" s="333" t="s">
        <v>903</v>
      </c>
      <c r="L200">
        <f>8.75*L6*M200</f>
        <v>3.9689332375000004</v>
      </c>
      <c r="M200">
        <f>SI!E2</f>
        <v>1</v>
      </c>
      <c r="N200" s="36" t="s">
        <v>23</v>
      </c>
      <c r="O200" s="43" t="s">
        <v>7178</v>
      </c>
      <c r="P200">
        <f>7.9254*P8*Q200</f>
        <v>3.0000902552913603E-2</v>
      </c>
      <c r="Q200">
        <f>POWER(SI!E3,3)</f>
        <v>1</v>
      </c>
      <c r="R200" s="348" t="s">
        <v>33</v>
      </c>
      <c r="S200" t="s">
        <v>7179</v>
      </c>
      <c r="T200" s="349">
        <f>POWER(D200,3)*U200</f>
        <v>0.98181733005418736</v>
      </c>
      <c r="U200">
        <f>POWER(SI!E3,3)</f>
        <v>1</v>
      </c>
      <c r="V200" s="97" t="s">
        <v>33</v>
      </c>
    </row>
    <row r="201" spans="1:22" ht="16.5">
      <c r="A201" s="48" t="s">
        <v>7189</v>
      </c>
      <c r="B201" s="48" t="s">
        <v>7183</v>
      </c>
      <c r="C201" s="49" t="s">
        <v>7187</v>
      </c>
      <c r="D201" s="388">
        <f>5.5*D22*E201</f>
        <v>1.6764000000000001</v>
      </c>
      <c r="E201" s="48">
        <f>SI!E3</f>
        <v>1</v>
      </c>
      <c r="F201" s="51" t="s">
        <v>14</v>
      </c>
      <c r="G201" s="48" t="s">
        <v>7190</v>
      </c>
      <c r="H201" s="203">
        <f>POWER(D201,2)*I201</f>
        <v>2.8103169600000002</v>
      </c>
      <c r="I201" s="48">
        <f>POWER(SI!E3,2)</f>
        <v>1</v>
      </c>
      <c r="J201" s="51" t="s">
        <v>39</v>
      </c>
      <c r="K201" s="48" t="s">
        <v>2673</v>
      </c>
      <c r="L201" s="48">
        <f>0.01166375*M201</f>
        <v>1.1663750000000001E-2</v>
      </c>
      <c r="M201" s="48">
        <f>SI!E2</f>
        <v>1</v>
      </c>
      <c r="N201" s="51" t="s">
        <v>23</v>
      </c>
      <c r="O201" s="48" t="s">
        <v>7188</v>
      </c>
      <c r="P201" s="240">
        <f>POWER(D201,3)*Q201</f>
        <v>4.7112153517440003</v>
      </c>
      <c r="Q201" s="48">
        <f>POWER(SI!E3,3)</f>
        <v>1</v>
      </c>
      <c r="R201" s="114" t="s">
        <v>33</v>
      </c>
      <c r="S201" s="48" t="s">
        <v>7188</v>
      </c>
      <c r="T201" s="240">
        <f>POWER(D201,3)*U201</f>
        <v>4.7112153517440003</v>
      </c>
      <c r="U201" s="48">
        <f>POWER(SI!E3,3)</f>
        <v>1</v>
      </c>
      <c r="V201" s="114" t="s">
        <v>33</v>
      </c>
    </row>
    <row r="202" spans="1:22" ht="16.5">
      <c r="A202" t="s">
        <v>7195</v>
      </c>
      <c r="B202" t="s">
        <v>7194</v>
      </c>
      <c r="C202" s="43" t="s">
        <v>7197</v>
      </c>
      <c r="D202" s="349">
        <f>10/33</f>
        <v>0.30303030303030304</v>
      </c>
      <c r="E202">
        <f>SI!E3</f>
        <v>1</v>
      </c>
      <c r="F202" s="36" t="s">
        <v>14</v>
      </c>
      <c r="G202" s="43" t="s">
        <v>824</v>
      </c>
      <c r="H202" s="201">
        <f>(400/121)*I202</f>
        <v>3.3057851239669422</v>
      </c>
      <c r="I202">
        <f>POWER(SI!E3,2)</f>
        <v>1</v>
      </c>
      <c r="J202" s="124" t="s">
        <v>39</v>
      </c>
      <c r="K202" s="333" t="s">
        <v>7196</v>
      </c>
      <c r="L202">
        <f>(3/80)*M202</f>
        <v>3.7499999999999999E-2</v>
      </c>
      <c r="M202">
        <f>SI!E2</f>
        <v>1</v>
      </c>
      <c r="N202" s="36" t="s">
        <v>23</v>
      </c>
      <c r="O202" s="43" t="s">
        <v>1976</v>
      </c>
      <c r="P202">
        <f>0.001*Q202</f>
        <v>1E-3</v>
      </c>
      <c r="Q202">
        <f>POWER(SI!E3,3)</f>
        <v>1</v>
      </c>
      <c r="R202" s="348" t="s">
        <v>33</v>
      </c>
      <c r="S202" t="s">
        <v>7198</v>
      </c>
      <c r="T202" s="246">
        <f>POWER(D202,3)*U202</f>
        <v>2.7826474107465846E-2</v>
      </c>
      <c r="U202">
        <f>POWER(SI!E3,3)</f>
        <v>1</v>
      </c>
      <c r="V202" s="97" t="s">
        <v>33</v>
      </c>
    </row>
    <row r="203" spans="1:22" ht="16.5">
      <c r="A203" s="48" t="s">
        <v>7204</v>
      </c>
      <c r="B203" s="48" t="s">
        <v>7204</v>
      </c>
      <c r="C203" s="49" t="s">
        <v>7205</v>
      </c>
      <c r="D203" s="240">
        <f>0.933312331776*E203</f>
        <v>0.93331233177600004</v>
      </c>
      <c r="E203" s="48">
        <f>SI!E3</f>
        <v>1</v>
      </c>
      <c r="F203" s="51" t="s">
        <v>14</v>
      </c>
      <c r="G203" s="48" t="s">
        <v>7206</v>
      </c>
      <c r="H203" s="345">
        <f>I203*4840*POWER(3*D22,2)/100</f>
        <v>40.468564224000012</v>
      </c>
      <c r="I203" s="48">
        <f>POWER(SI!E3,2)</f>
        <v>1</v>
      </c>
      <c r="J203" s="115" t="s">
        <v>39</v>
      </c>
      <c r="K203" s="48" t="s">
        <v>7207</v>
      </c>
      <c r="L203" s="48">
        <f>0.048*M203</f>
        <v>4.8000000000000001E-2</v>
      </c>
      <c r="M203" s="48">
        <f>SI!E2</f>
        <v>1</v>
      </c>
      <c r="N203" s="51" t="s">
        <v>23</v>
      </c>
      <c r="O203" s="48" t="s">
        <v>7208</v>
      </c>
      <c r="P203" s="48">
        <f>0.001344*Q203</f>
        <v>1.3439999999999999E-3</v>
      </c>
      <c r="Q203" s="48">
        <f>POWER(SI!E3,3)</f>
        <v>1</v>
      </c>
      <c r="R203" s="114" t="s">
        <v>33</v>
      </c>
      <c r="S203" s="48" t="s">
        <v>7208</v>
      </c>
      <c r="T203" s="48">
        <f>0.001344*U203</f>
        <v>1.3439999999999999E-3</v>
      </c>
      <c r="U203" s="48">
        <f>POWER(SI!E3,3)</f>
        <v>1</v>
      </c>
      <c r="V203" s="114" t="s">
        <v>33</v>
      </c>
    </row>
    <row r="204" spans="1:22" ht="16.5">
      <c r="A204" s="381" t="s">
        <v>7252</v>
      </c>
      <c r="B204" s="382" t="s">
        <v>7251</v>
      </c>
      <c r="C204" s="43" t="s">
        <v>7253</v>
      </c>
      <c r="D204" s="171">
        <f>0.75*D22*E204/12</f>
        <v>1.9050000000000001E-2</v>
      </c>
      <c r="E204">
        <f>SI!E3</f>
        <v>1</v>
      </c>
      <c r="F204" s="36" t="s">
        <v>14</v>
      </c>
      <c r="G204" s="43" t="s">
        <v>165</v>
      </c>
      <c r="H204" s="66">
        <f>POWER(4.625*D22,2)*I204</f>
        <v>1.9872540900000004</v>
      </c>
      <c r="I204">
        <f>POWER(SI!E3,2)</f>
        <v>1</v>
      </c>
      <c r="J204" s="124" t="s">
        <v>39</v>
      </c>
      <c r="K204" s="333" t="s">
        <v>2673</v>
      </c>
      <c r="L204">
        <f>0.01166*M204</f>
        <v>1.166E-2</v>
      </c>
      <c r="M204">
        <f>SI!E2</f>
        <v>1</v>
      </c>
      <c r="N204" s="46" t="s">
        <v>23</v>
      </c>
      <c r="O204" t="s">
        <v>7254</v>
      </c>
      <c r="P204">
        <f>0.00454596*Q204</f>
        <v>4.5459599999999999E-3</v>
      </c>
      <c r="Q204">
        <f>POWER(SI!E3,3)</f>
        <v>1</v>
      </c>
      <c r="R204" s="348" t="s">
        <v>33</v>
      </c>
      <c r="S204" t="s">
        <v>7255</v>
      </c>
      <c r="T204" s="349">
        <f>POWER(D204,3)</f>
        <v>6.913292625000001E-6</v>
      </c>
      <c r="U204">
        <f>POWER(SI!E3,3)</f>
        <v>1</v>
      </c>
      <c r="V204" s="97" t="s">
        <v>33</v>
      </c>
    </row>
    <row r="205" spans="1:22" ht="16.5">
      <c r="A205" s="381"/>
      <c r="B205" s="382"/>
      <c r="C205" s="43"/>
      <c r="G205" s="333" t="s">
        <v>7267</v>
      </c>
      <c r="H205" s="66">
        <f>POWER(13.5*D22,2)*I205</f>
        <v>16.931579039999999</v>
      </c>
      <c r="I205">
        <f>POWER(SI!E3,2)</f>
        <v>1</v>
      </c>
      <c r="J205" s="124" t="s">
        <v>39</v>
      </c>
      <c r="K205" s="342" t="s">
        <v>7275</v>
      </c>
      <c r="L205">
        <f>0.199*M205</f>
        <v>0.19900000000000001</v>
      </c>
      <c r="M205">
        <f>SI!E2</f>
        <v>1</v>
      </c>
      <c r="N205" s="36" t="s">
        <v>23</v>
      </c>
      <c r="O205" s="43"/>
      <c r="S205" s="43"/>
      <c r="V205" s="46"/>
    </row>
    <row r="206" spans="1:22" ht="16.5">
      <c r="A206" s="48" t="s">
        <v>7301</v>
      </c>
      <c r="B206" s="48" t="s">
        <v>7302</v>
      </c>
      <c r="C206" s="49" t="s">
        <v>805</v>
      </c>
      <c r="D206" s="48">
        <f>0.3085*E206</f>
        <v>0.3085</v>
      </c>
      <c r="E206" s="48">
        <f>SI!E3</f>
        <v>1</v>
      </c>
      <c r="F206" s="50" t="s">
        <v>14</v>
      </c>
      <c r="G206" s="49" t="s">
        <v>805</v>
      </c>
      <c r="H206" s="203">
        <f>POWER(D206,2)*I206</f>
        <v>9.517225E-2</v>
      </c>
      <c r="I206" s="48">
        <f>POWER(SI!E3,2)</f>
        <v>1</v>
      </c>
      <c r="J206" s="115" t="s">
        <v>39</v>
      </c>
      <c r="K206" s="48" t="s">
        <v>7303</v>
      </c>
      <c r="L206" s="48">
        <f>0.02725*M206</f>
        <v>2.725E-2</v>
      </c>
      <c r="M206" s="48">
        <f>SI!E2</f>
        <v>1</v>
      </c>
      <c r="N206" s="51" t="s">
        <v>23</v>
      </c>
      <c r="O206" s="48" t="s">
        <v>2797</v>
      </c>
      <c r="P206" s="48">
        <f>0.00054928*Q206</f>
        <v>5.4927999999999997E-4</v>
      </c>
      <c r="Q206" s="48">
        <f>POWER(SI!E3,3)</f>
        <v>1</v>
      </c>
      <c r="R206" s="114" t="s">
        <v>33</v>
      </c>
      <c r="S206" s="48" t="s">
        <v>7304</v>
      </c>
      <c r="T206" s="240">
        <f>POWER(D206,3)*U206</f>
        <v>2.9360639125000001E-2</v>
      </c>
      <c r="U206" s="48">
        <f>POWER(SI!E3,3)</f>
        <v>1</v>
      </c>
      <c r="V206" s="114" t="s">
        <v>33</v>
      </c>
    </row>
    <row r="207" spans="1:22" ht="16.5">
      <c r="A207" s="342" t="s">
        <v>7277</v>
      </c>
      <c r="B207" s="343" t="s">
        <v>7277</v>
      </c>
      <c r="C207" s="333" t="s">
        <v>7279</v>
      </c>
      <c r="D207">
        <f>84*D22*E207/12</f>
        <v>2.1335999999999999</v>
      </c>
      <c r="E207">
        <f>SI!E3</f>
        <v>1</v>
      </c>
      <c r="F207" s="36" t="s">
        <v>14</v>
      </c>
      <c r="G207" s="43" t="s">
        <v>7280</v>
      </c>
      <c r="H207">
        <f>POWER(D207,2)*I207</f>
        <v>4.55224896</v>
      </c>
      <c r="I207">
        <f>POWER(SI!E3,2)</f>
        <v>1</v>
      </c>
      <c r="J207" s="124" t="s">
        <v>39</v>
      </c>
      <c r="K207" s="342" t="s">
        <v>7281</v>
      </c>
      <c r="L207">
        <f>0.4095*M207</f>
        <v>0.40949999999999998</v>
      </c>
      <c r="M207">
        <f>SI!E2</f>
        <v>1</v>
      </c>
      <c r="N207" s="46" t="s">
        <v>23</v>
      </c>
      <c r="O207" s="333" t="s">
        <v>1655</v>
      </c>
      <c r="P207" s="335">
        <f>12.299/3750</f>
        <v>3.2797333333333331E-3</v>
      </c>
      <c r="Q207">
        <f>POWER(SI!E3,3)</f>
        <v>1</v>
      </c>
      <c r="R207" s="348" t="s">
        <v>33</v>
      </c>
      <c r="S207" s="333" t="s">
        <v>7294</v>
      </c>
      <c r="T207" s="71">
        <f>POWER(L207,3)*U207</f>
        <v>6.8669157374999984E-2</v>
      </c>
      <c r="U207">
        <f>POWER(SI!E3,3)</f>
        <v>1</v>
      </c>
      <c r="V207" s="97" t="s">
        <v>33</v>
      </c>
    </row>
    <row r="208" spans="1:22" ht="16.5">
      <c r="A208" s="48" t="s">
        <v>7305</v>
      </c>
      <c r="B208" s="48" t="s">
        <v>7306</v>
      </c>
      <c r="C208" s="49" t="s">
        <v>7307</v>
      </c>
      <c r="D208" s="48">
        <f>0.5186*E208</f>
        <v>0.51859999999999995</v>
      </c>
      <c r="E208" s="48">
        <f>SI!E3</f>
        <v>1</v>
      </c>
      <c r="F208" s="50" t="s">
        <v>14</v>
      </c>
      <c r="G208" s="49" t="s">
        <v>7308</v>
      </c>
      <c r="H208" s="203">
        <f>POWER(D208,2)*I208</f>
        <v>0.26894595999999993</v>
      </c>
      <c r="I208" s="48">
        <f>POWER(SI!E3,2)</f>
        <v>1</v>
      </c>
      <c r="J208" s="115" t="s">
        <v>39</v>
      </c>
      <c r="K208" s="48" t="s">
        <v>7270</v>
      </c>
      <c r="L208" s="48">
        <f>0.504*M208</f>
        <v>0.504</v>
      </c>
      <c r="M208" s="48">
        <f>SI!E2</f>
        <v>1</v>
      </c>
      <c r="N208" s="51" t="s">
        <v>23</v>
      </c>
      <c r="O208" s="48" t="s">
        <v>7309</v>
      </c>
      <c r="P208" s="48">
        <f>0.001*Q208</f>
        <v>1E-3</v>
      </c>
      <c r="Q208" s="48">
        <f>POWER(SI!E3,3)</f>
        <v>1</v>
      </c>
      <c r="R208" s="114" t="s">
        <v>33</v>
      </c>
      <c r="S208" s="48" t="s">
        <v>7310</v>
      </c>
      <c r="T208" s="240">
        <f>POWER(D208,3)*U208</f>
        <v>0.13947537485599995</v>
      </c>
      <c r="U208" s="48">
        <f>POWER(SI!E3,3)</f>
        <v>1</v>
      </c>
      <c r="V208" s="114" t="s">
        <v>33</v>
      </c>
    </row>
  </sheetData>
  <mergeCells count="477">
    <mergeCell ref="B6:B7"/>
    <mergeCell ref="A6:A7"/>
    <mergeCell ref="A8:A11"/>
    <mergeCell ref="B8:B11"/>
    <mergeCell ref="A204:A205"/>
    <mergeCell ref="B204:B205"/>
    <mergeCell ref="A184:A185"/>
    <mergeCell ref="B184:B185"/>
    <mergeCell ref="A190:A191"/>
    <mergeCell ref="B190:B191"/>
    <mergeCell ref="A78:A79"/>
    <mergeCell ref="B78:B79"/>
    <mergeCell ref="A113:A115"/>
    <mergeCell ref="B113:B115"/>
    <mergeCell ref="A116:A117"/>
    <mergeCell ref="B116:B117"/>
    <mergeCell ref="A153:A154"/>
    <mergeCell ref="B153:B154"/>
    <mergeCell ref="A80:A88"/>
    <mergeCell ref="B80:B88"/>
    <mergeCell ref="A89:A90"/>
    <mergeCell ref="B89:B90"/>
    <mergeCell ref="A177:A178"/>
    <mergeCell ref="B177:B178"/>
    <mergeCell ref="A174:A176"/>
    <mergeCell ref="B174:B176"/>
    <mergeCell ref="A120:A121"/>
    <mergeCell ref="B120:B121"/>
    <mergeCell ref="A107:A112"/>
    <mergeCell ref="B107:B112"/>
    <mergeCell ref="O168:O169"/>
    <mergeCell ref="P168:P169"/>
    <mergeCell ref="A91:A94"/>
    <mergeCell ref="B91:B94"/>
    <mergeCell ref="B164:B166"/>
    <mergeCell ref="A168:A169"/>
    <mergeCell ref="B168:B169"/>
    <mergeCell ref="A149:A152"/>
    <mergeCell ref="B149:B152"/>
    <mergeCell ref="A161:A162"/>
    <mergeCell ref="B161:B162"/>
    <mergeCell ref="A164:A166"/>
    <mergeCell ref="A144:A146"/>
    <mergeCell ref="B144:B146"/>
    <mergeCell ref="A139:A140"/>
    <mergeCell ref="B139:B140"/>
    <mergeCell ref="A95:A97"/>
    <mergeCell ref="B95:B97"/>
    <mergeCell ref="A100:A101"/>
    <mergeCell ref="B100:B101"/>
    <mergeCell ref="A73:A74"/>
    <mergeCell ref="B73:B74"/>
    <mergeCell ref="C164:C166"/>
    <mergeCell ref="D164:D166"/>
    <mergeCell ref="F164:F166"/>
    <mergeCell ref="G164:G166"/>
    <mergeCell ref="H164:H166"/>
    <mergeCell ref="J164:J166"/>
    <mergeCell ref="K164:K166"/>
    <mergeCell ref="L164:L166"/>
    <mergeCell ref="N164:N166"/>
    <mergeCell ref="C1:F1"/>
    <mergeCell ref="G1:J1"/>
    <mergeCell ref="K1:N1"/>
    <mergeCell ref="O1:R1"/>
    <mergeCell ref="S1:V1"/>
    <mergeCell ref="A1:A2"/>
    <mergeCell ref="B1:B2"/>
    <mergeCell ref="S125:S127"/>
    <mergeCell ref="T125:T127"/>
    <mergeCell ref="V125:V127"/>
    <mergeCell ref="C125:C127"/>
    <mergeCell ref="D125:D127"/>
    <mergeCell ref="F125:F127"/>
    <mergeCell ref="G125:G127"/>
    <mergeCell ref="H125:H127"/>
    <mergeCell ref="J125:J127"/>
    <mergeCell ref="K125:K127"/>
    <mergeCell ref="B59:B62"/>
    <mergeCell ref="P59:P62"/>
    <mergeCell ref="R59:R62"/>
    <mergeCell ref="A47:A48"/>
    <mergeCell ref="A35:A36"/>
    <mergeCell ref="P35:P36"/>
    <mergeCell ref="G35:G36"/>
    <mergeCell ref="N161:N162"/>
    <mergeCell ref="H157:H159"/>
    <mergeCell ref="J157:J159"/>
    <mergeCell ref="K157:K159"/>
    <mergeCell ref="L157:L159"/>
    <mergeCell ref="N157:N159"/>
    <mergeCell ref="T63:T64"/>
    <mergeCell ref="V63:V64"/>
    <mergeCell ref="V141:V142"/>
    <mergeCell ref="V129:V130"/>
    <mergeCell ref="O75:O77"/>
    <mergeCell ref="N122:N123"/>
    <mergeCell ref="N73:N74"/>
    <mergeCell ref="L102:L104"/>
    <mergeCell ref="N129:N130"/>
    <mergeCell ref="N141:N142"/>
    <mergeCell ref="O141:O142"/>
    <mergeCell ref="P141:P142"/>
    <mergeCell ref="N95:N97"/>
    <mergeCell ref="N91:N94"/>
    <mergeCell ref="N125:N127"/>
    <mergeCell ref="N102:N104"/>
    <mergeCell ref="L95:L97"/>
    <mergeCell ref="O155:O156"/>
    <mergeCell ref="V164:V166"/>
    <mergeCell ref="S149:S152"/>
    <mergeCell ref="S157:S159"/>
    <mergeCell ref="T129:T130"/>
    <mergeCell ref="S95:S97"/>
    <mergeCell ref="T133:T135"/>
    <mergeCell ref="T137:T138"/>
    <mergeCell ref="R155:R156"/>
    <mergeCell ref="V168:V169"/>
    <mergeCell ref="S168:S169"/>
    <mergeCell ref="T168:T169"/>
    <mergeCell ref="S155:S156"/>
    <mergeCell ref="T155:T156"/>
    <mergeCell ref="T157:T159"/>
    <mergeCell ref="T149:T152"/>
    <mergeCell ref="V149:V152"/>
    <mergeCell ref="V155:V156"/>
    <mergeCell ref="V157:V159"/>
    <mergeCell ref="R168:R169"/>
    <mergeCell ref="T164:T166"/>
    <mergeCell ref="T122:T123"/>
    <mergeCell ref="V122:V123"/>
    <mergeCell ref="V133:V135"/>
    <mergeCell ref="T95:T97"/>
    <mergeCell ref="K73:K74"/>
    <mergeCell ref="H35:H36"/>
    <mergeCell ref="J35:J36"/>
    <mergeCell ref="L63:L64"/>
    <mergeCell ref="G59:G62"/>
    <mergeCell ref="A75:A77"/>
    <mergeCell ref="B75:B77"/>
    <mergeCell ref="C75:C77"/>
    <mergeCell ref="D75:D77"/>
    <mergeCell ref="F75:F77"/>
    <mergeCell ref="A54:A56"/>
    <mergeCell ref="H54:H56"/>
    <mergeCell ref="J54:J56"/>
    <mergeCell ref="A25:A26"/>
    <mergeCell ref="B25:B26"/>
    <mergeCell ref="S25:S26"/>
    <mergeCell ref="V25:V26"/>
    <mergeCell ref="T25:T26"/>
    <mergeCell ref="N25:N26"/>
    <mergeCell ref="L25:L26"/>
    <mergeCell ref="K25:K26"/>
    <mergeCell ref="L91:L94"/>
    <mergeCell ref="B35:B36"/>
    <mergeCell ref="A65:A67"/>
    <mergeCell ref="B65:B67"/>
    <mergeCell ref="C65:C67"/>
    <mergeCell ref="D65:D67"/>
    <mergeCell ref="C73:C74"/>
    <mergeCell ref="D73:D74"/>
    <mergeCell ref="S91:S94"/>
    <mergeCell ref="T91:T94"/>
    <mergeCell ref="V91:V94"/>
    <mergeCell ref="B54:B56"/>
    <mergeCell ref="C54:C56"/>
    <mergeCell ref="D54:D56"/>
    <mergeCell ref="F54:F56"/>
    <mergeCell ref="G54:G56"/>
    <mergeCell ref="V65:V67"/>
    <mergeCell ref="O65:O67"/>
    <mergeCell ref="P65:P67"/>
    <mergeCell ref="T65:T67"/>
    <mergeCell ref="H59:H62"/>
    <mergeCell ref="J59:J62"/>
    <mergeCell ref="K59:K62"/>
    <mergeCell ref="L59:L62"/>
    <mergeCell ref="N59:N62"/>
    <mergeCell ref="O59:O62"/>
    <mergeCell ref="R63:R64"/>
    <mergeCell ref="N63:N64"/>
    <mergeCell ref="O63:O64"/>
    <mergeCell ref="S47:S48"/>
    <mergeCell ref="T47:T48"/>
    <mergeCell ref="A179:A181"/>
    <mergeCell ref="B179:B181"/>
    <mergeCell ref="A129:A130"/>
    <mergeCell ref="C179:C181"/>
    <mergeCell ref="D179:D181"/>
    <mergeCell ref="G179:G181"/>
    <mergeCell ref="C155:C156"/>
    <mergeCell ref="D155:D156"/>
    <mergeCell ref="F155:F156"/>
    <mergeCell ref="S164:S166"/>
    <mergeCell ref="P155:P156"/>
    <mergeCell ref="N133:N135"/>
    <mergeCell ref="S133:S135"/>
    <mergeCell ref="O137:O138"/>
    <mergeCell ref="P137:P138"/>
    <mergeCell ref="R137:R138"/>
    <mergeCell ref="S137:S138"/>
    <mergeCell ref="L141:L142"/>
    <mergeCell ref="S65:S67"/>
    <mergeCell ref="A68:A71"/>
    <mergeCell ref="B68:B71"/>
    <mergeCell ref="F73:F74"/>
    <mergeCell ref="V171:V173"/>
    <mergeCell ref="A118:A119"/>
    <mergeCell ref="B118:B119"/>
    <mergeCell ref="C118:C119"/>
    <mergeCell ref="D118:D119"/>
    <mergeCell ref="F118:F119"/>
    <mergeCell ref="G118:G119"/>
    <mergeCell ref="H118:H119"/>
    <mergeCell ref="J118:J119"/>
    <mergeCell ref="K118:K119"/>
    <mergeCell ref="J171:J173"/>
    <mergeCell ref="K171:K173"/>
    <mergeCell ref="L171:L173"/>
    <mergeCell ref="N171:N173"/>
    <mergeCell ref="A155:A156"/>
    <mergeCell ref="B155:B156"/>
    <mergeCell ref="A171:A173"/>
    <mergeCell ref="B171:B173"/>
    <mergeCell ref="C171:C173"/>
    <mergeCell ref="D171:D173"/>
    <mergeCell ref="F171:F173"/>
    <mergeCell ref="G171:G173"/>
    <mergeCell ref="H171:H173"/>
    <mergeCell ref="N118:N119"/>
    <mergeCell ref="N144:N146"/>
    <mergeCell ref="A122:A123"/>
    <mergeCell ref="B122:B123"/>
    <mergeCell ref="C122:C123"/>
    <mergeCell ref="D122:D123"/>
    <mergeCell ref="F122:F123"/>
    <mergeCell ref="J122:J123"/>
    <mergeCell ref="L125:L127"/>
    <mergeCell ref="B129:B130"/>
    <mergeCell ref="A125:A127"/>
    <mergeCell ref="B125:B127"/>
    <mergeCell ref="A157:A159"/>
    <mergeCell ref="B157:B159"/>
    <mergeCell ref="C157:C159"/>
    <mergeCell ref="D157:D159"/>
    <mergeCell ref="F157:F159"/>
    <mergeCell ref="G157:G159"/>
    <mergeCell ref="F133:F135"/>
    <mergeCell ref="A141:A142"/>
    <mergeCell ref="B141:B142"/>
    <mergeCell ref="A133:A135"/>
    <mergeCell ref="A137:A138"/>
    <mergeCell ref="B137:B138"/>
    <mergeCell ref="B133:B135"/>
    <mergeCell ref="E155:E156"/>
    <mergeCell ref="G133:G135"/>
    <mergeCell ref="O144:O146"/>
    <mergeCell ref="P144:P146"/>
    <mergeCell ref="R144:R146"/>
    <mergeCell ref="P149:P152"/>
    <mergeCell ref="S144:S146"/>
    <mergeCell ref="T144:T146"/>
    <mergeCell ref="K144:K146"/>
    <mergeCell ref="C129:C130"/>
    <mergeCell ref="D129:D130"/>
    <mergeCell ref="F129:F130"/>
    <mergeCell ref="G129:G130"/>
    <mergeCell ref="H129:H130"/>
    <mergeCell ref="J129:J130"/>
    <mergeCell ref="C133:C135"/>
    <mergeCell ref="D133:D135"/>
    <mergeCell ref="R141:R142"/>
    <mergeCell ref="O149:O152"/>
    <mergeCell ref="N149:N152"/>
    <mergeCell ref="L149:L152"/>
    <mergeCell ref="K149:K152"/>
    <mergeCell ref="R149:R152"/>
    <mergeCell ref="S129:S130"/>
    <mergeCell ref="H133:H135"/>
    <mergeCell ref="J133:J135"/>
    <mergeCell ref="C95:C97"/>
    <mergeCell ref="D95:D97"/>
    <mergeCell ref="F95:F97"/>
    <mergeCell ref="G95:G97"/>
    <mergeCell ref="H95:H97"/>
    <mergeCell ref="J95:J97"/>
    <mergeCell ref="J91:J94"/>
    <mergeCell ref="K91:K94"/>
    <mergeCell ref="D102:D104"/>
    <mergeCell ref="C102:C104"/>
    <mergeCell ref="K95:K97"/>
    <mergeCell ref="K102:K104"/>
    <mergeCell ref="F102:F104"/>
    <mergeCell ref="J102:J104"/>
    <mergeCell ref="H102:H104"/>
    <mergeCell ref="G102:G104"/>
    <mergeCell ref="G100:G101"/>
    <mergeCell ref="H100:H101"/>
    <mergeCell ref="J100:J101"/>
    <mergeCell ref="G91:G94"/>
    <mergeCell ref="H91:H94"/>
    <mergeCell ref="E95:E97"/>
    <mergeCell ref="E102:E104"/>
    <mergeCell ref="I102:I104"/>
    <mergeCell ref="V95:V97"/>
    <mergeCell ref="V102:V104"/>
    <mergeCell ref="K54:K56"/>
    <mergeCell ref="L54:L56"/>
    <mergeCell ref="N54:N56"/>
    <mergeCell ref="S54:S56"/>
    <mergeCell ref="T54:T56"/>
    <mergeCell ref="J33:J34"/>
    <mergeCell ref="K33:K34"/>
    <mergeCell ref="K47:K48"/>
    <mergeCell ref="J75:J77"/>
    <mergeCell ref="R35:R36"/>
    <mergeCell ref="V73:V74"/>
    <mergeCell ref="V47:V48"/>
    <mergeCell ref="S73:S74"/>
    <mergeCell ref="T73:T74"/>
    <mergeCell ref="S63:S64"/>
    <mergeCell ref="R65:R67"/>
    <mergeCell ref="V54:V56"/>
    <mergeCell ref="R75:R77"/>
    <mergeCell ref="S75:S77"/>
    <mergeCell ref="K63:K64"/>
    <mergeCell ref="S102:S104"/>
    <mergeCell ref="T102:T104"/>
    <mergeCell ref="B102:B104"/>
    <mergeCell ref="A102:A104"/>
    <mergeCell ref="A63:A64"/>
    <mergeCell ref="B63:B64"/>
    <mergeCell ref="A59:A62"/>
    <mergeCell ref="B47:B48"/>
    <mergeCell ref="L33:L34"/>
    <mergeCell ref="C33:C34"/>
    <mergeCell ref="A50:A52"/>
    <mergeCell ref="B50:B52"/>
    <mergeCell ref="G75:G77"/>
    <mergeCell ref="F65:F67"/>
    <mergeCell ref="G65:G67"/>
    <mergeCell ref="L73:L74"/>
    <mergeCell ref="L47:L48"/>
    <mergeCell ref="H65:H67"/>
    <mergeCell ref="J65:J67"/>
    <mergeCell ref="E54:E56"/>
    <mergeCell ref="I54:I56"/>
    <mergeCell ref="I35:I36"/>
    <mergeCell ref="E73:E74"/>
    <mergeCell ref="G33:G34"/>
    <mergeCell ref="H33:H34"/>
    <mergeCell ref="H75:H77"/>
    <mergeCell ref="A27:A30"/>
    <mergeCell ref="B27:B30"/>
    <mergeCell ref="S27:S30"/>
    <mergeCell ref="T27:T30"/>
    <mergeCell ref="V27:V30"/>
    <mergeCell ref="K27:K30"/>
    <mergeCell ref="L27:L30"/>
    <mergeCell ref="N27:N30"/>
    <mergeCell ref="A39:A44"/>
    <mergeCell ref="B39:B44"/>
    <mergeCell ref="C39:C44"/>
    <mergeCell ref="D39:D44"/>
    <mergeCell ref="F39:F44"/>
    <mergeCell ref="K39:K44"/>
    <mergeCell ref="L39:L44"/>
    <mergeCell ref="N39:N44"/>
    <mergeCell ref="D33:D34"/>
    <mergeCell ref="F33:F34"/>
    <mergeCell ref="S35:S36"/>
    <mergeCell ref="T35:T36"/>
    <mergeCell ref="V35:V36"/>
    <mergeCell ref="M27:M30"/>
    <mergeCell ref="A33:A34"/>
    <mergeCell ref="B33:B34"/>
    <mergeCell ref="I95:I97"/>
    <mergeCell ref="E118:E119"/>
    <mergeCell ref="I118:I119"/>
    <mergeCell ref="I122:I123"/>
    <mergeCell ref="E122:E123"/>
    <mergeCell ref="E125:E127"/>
    <mergeCell ref="I125:I127"/>
    <mergeCell ref="E129:E130"/>
    <mergeCell ref="I129:I130"/>
    <mergeCell ref="G122:G123"/>
    <mergeCell ref="H122:H123"/>
    <mergeCell ref="I155:I156"/>
    <mergeCell ref="E179:E181"/>
    <mergeCell ref="F179:F181"/>
    <mergeCell ref="I179:I181"/>
    <mergeCell ref="I174:I176"/>
    <mergeCell ref="H174:H176"/>
    <mergeCell ref="G174:G176"/>
    <mergeCell ref="J174:J176"/>
    <mergeCell ref="G155:G156"/>
    <mergeCell ref="H155:H156"/>
    <mergeCell ref="J155:J156"/>
    <mergeCell ref="G161:G162"/>
    <mergeCell ref="H161:H162"/>
    <mergeCell ref="J161:J162"/>
    <mergeCell ref="H179:H181"/>
    <mergeCell ref="J179:J181"/>
    <mergeCell ref="G168:G169"/>
    <mergeCell ref="H168:H169"/>
    <mergeCell ref="J168:J169"/>
    <mergeCell ref="M47:M48"/>
    <mergeCell ref="Q35:Q36"/>
    <mergeCell ref="M54:M56"/>
    <mergeCell ref="M63:M64"/>
    <mergeCell ref="Q63:Q64"/>
    <mergeCell ref="M73:M74"/>
    <mergeCell ref="M95:M97"/>
    <mergeCell ref="N33:N34"/>
    <mergeCell ref="P75:P77"/>
    <mergeCell ref="P63:P64"/>
    <mergeCell ref="O35:O36"/>
    <mergeCell ref="N47:N48"/>
    <mergeCell ref="M102:M104"/>
    <mergeCell ref="M118:M119"/>
    <mergeCell ref="M122:M123"/>
    <mergeCell ref="M125:M127"/>
    <mergeCell ref="M129:M130"/>
    <mergeCell ref="M149:M152"/>
    <mergeCell ref="M174:M176"/>
    <mergeCell ref="K174:K176"/>
    <mergeCell ref="L174:L176"/>
    <mergeCell ref="K122:K123"/>
    <mergeCell ref="L118:L119"/>
    <mergeCell ref="K129:K130"/>
    <mergeCell ref="L129:L130"/>
    <mergeCell ref="L144:L146"/>
    <mergeCell ref="L122:L123"/>
    <mergeCell ref="K161:K162"/>
    <mergeCell ref="L161:L162"/>
    <mergeCell ref="K141:K142"/>
    <mergeCell ref="K133:K135"/>
    <mergeCell ref="L133:L135"/>
    <mergeCell ref="N174:N176"/>
    <mergeCell ref="O174:O176"/>
    <mergeCell ref="P174:P176"/>
    <mergeCell ref="Q174:Q176"/>
    <mergeCell ref="R174:R176"/>
    <mergeCell ref="U179:U181"/>
    <mergeCell ref="U174:U176"/>
    <mergeCell ref="S174:S176"/>
    <mergeCell ref="T174:T176"/>
    <mergeCell ref="T179:T181"/>
    <mergeCell ref="O179:O181"/>
    <mergeCell ref="P179:P181"/>
    <mergeCell ref="R179:R181"/>
    <mergeCell ref="S179:S181"/>
    <mergeCell ref="V174:V176"/>
    <mergeCell ref="Q179:Q181"/>
    <mergeCell ref="U149:U152"/>
    <mergeCell ref="U155:U156"/>
    <mergeCell ref="Q155:Q156"/>
    <mergeCell ref="Q149:Q152"/>
    <mergeCell ref="U27:U30"/>
    <mergeCell ref="U35:U36"/>
    <mergeCell ref="U47:U48"/>
    <mergeCell ref="U54:U56"/>
    <mergeCell ref="U63:U64"/>
    <mergeCell ref="U73:U74"/>
    <mergeCell ref="U95:U97"/>
    <mergeCell ref="U102:U104"/>
    <mergeCell ref="U122:U123"/>
    <mergeCell ref="U125:U127"/>
    <mergeCell ref="U129:U130"/>
    <mergeCell ref="V179:V181"/>
    <mergeCell ref="S171:S173"/>
    <mergeCell ref="T171:T173"/>
    <mergeCell ref="V137:V138"/>
    <mergeCell ref="T75:T77"/>
    <mergeCell ref="V75:V77"/>
    <mergeCell ref="S122:S123"/>
  </mergeCells>
  <phoneticPr fontId="24"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8128D-11EA-4593-96F0-D85F509E671D}">
  <sheetPr codeName="Sheet3">
    <tabColor theme="9" tint="-0.249977111117893"/>
  </sheetPr>
  <dimension ref="A1:H21"/>
  <sheetViews>
    <sheetView topLeftCell="A16" workbookViewId="0">
      <selection activeCell="D1" sqref="D1"/>
    </sheetView>
  </sheetViews>
  <sheetFormatPr defaultRowHeight="14.4"/>
  <cols>
    <col min="1" max="1" width="11.734375" customWidth="1"/>
    <col min="2" max="2" width="14.7890625" customWidth="1"/>
    <col min="3" max="3" width="18.734375" customWidth="1"/>
    <col min="4" max="4" width="20.68359375" customWidth="1"/>
    <col min="5" max="5" width="21.20703125" bestFit="1" customWidth="1"/>
    <col min="6" max="6" width="21.20703125" customWidth="1"/>
    <col min="7" max="7" width="14" customWidth="1"/>
  </cols>
  <sheetData>
    <row r="1" spans="1:8" ht="14.7" thickBot="1">
      <c r="A1" s="38" t="s">
        <v>624</v>
      </c>
      <c r="B1" s="38" t="s">
        <v>1</v>
      </c>
      <c r="C1" s="38" t="s">
        <v>2</v>
      </c>
      <c r="D1" s="169" t="s">
        <v>3</v>
      </c>
      <c r="E1" s="169" t="s">
        <v>692</v>
      </c>
      <c r="F1" s="169" t="s">
        <v>937</v>
      </c>
      <c r="G1" s="169" t="s">
        <v>799</v>
      </c>
      <c r="H1" s="169" t="s">
        <v>5</v>
      </c>
    </row>
    <row r="2" spans="1:8">
      <c r="A2" t="s">
        <v>88</v>
      </c>
      <c r="B2" t="s">
        <v>89</v>
      </c>
      <c r="C2" t="s">
        <v>90</v>
      </c>
      <c r="D2" t="s">
        <v>2842</v>
      </c>
      <c r="E2" s="170">
        <f>F2</f>
        <v>1</v>
      </c>
      <c r="F2" s="170">
        <f>1/SI!E4</f>
        <v>1</v>
      </c>
      <c r="G2" s="170" t="s">
        <v>1079</v>
      </c>
      <c r="H2" s="170" t="s">
        <v>42</v>
      </c>
    </row>
    <row r="3" spans="1:8" ht="28.8">
      <c r="A3" t="s">
        <v>140</v>
      </c>
      <c r="B3" t="s">
        <v>12</v>
      </c>
      <c r="C3" s="37" t="s">
        <v>8</v>
      </c>
      <c r="D3" t="s">
        <v>2853</v>
      </c>
      <c r="E3" s="170">
        <f t="shared" ref="E3:E21" si="0">F3</f>
        <v>1</v>
      </c>
      <c r="F3" s="170">
        <f>SI!E4*SI!E7</f>
        <v>1</v>
      </c>
      <c r="G3" s="170" t="s">
        <v>142</v>
      </c>
      <c r="H3" s="170" t="s">
        <v>42</v>
      </c>
    </row>
    <row r="4" spans="1:8" ht="16.5">
      <c r="A4" t="s">
        <v>192</v>
      </c>
      <c r="B4" t="s">
        <v>34</v>
      </c>
      <c r="C4" t="s">
        <v>27</v>
      </c>
      <c r="D4" t="s">
        <v>2854</v>
      </c>
      <c r="E4" s="170">
        <f t="shared" si="0"/>
        <v>1</v>
      </c>
      <c r="F4" s="170">
        <f>POWER(SI!E4,4)*POWER(SI!E7,2)/(SI!E2*POWER(SI!E3,2))</f>
        <v>1</v>
      </c>
      <c r="G4" s="170" t="s">
        <v>2837</v>
      </c>
      <c r="H4" s="170" t="s">
        <v>42</v>
      </c>
    </row>
    <row r="5" spans="1:8" ht="57.6">
      <c r="A5" t="s">
        <v>229</v>
      </c>
      <c r="B5" t="s">
        <v>230</v>
      </c>
      <c r="C5" s="37" t="s">
        <v>633</v>
      </c>
      <c r="D5" t="s">
        <v>2844</v>
      </c>
      <c r="E5" s="170">
        <f t="shared" si="0"/>
        <v>1</v>
      </c>
      <c r="F5" s="170">
        <f>POWER(SI!E3/SI!E4,2)</f>
        <v>1</v>
      </c>
      <c r="G5" s="170" t="s">
        <v>1111</v>
      </c>
      <c r="H5" s="170" t="s">
        <v>42</v>
      </c>
    </row>
    <row r="6" spans="1:8" ht="141.6" customHeight="1">
      <c r="A6" t="s">
        <v>235</v>
      </c>
      <c r="B6" t="s">
        <v>125</v>
      </c>
      <c r="C6" t="s">
        <v>28</v>
      </c>
      <c r="D6" t="s">
        <v>2855</v>
      </c>
      <c r="E6" s="170">
        <f t="shared" si="0"/>
        <v>1</v>
      </c>
      <c r="F6" s="170">
        <f>SI!E2*POWER(SI!E3,2)/POWER(SI!E4*SI!E7,2)</f>
        <v>1</v>
      </c>
      <c r="G6" t="s">
        <v>1115</v>
      </c>
      <c r="H6" s="170" t="s">
        <v>42</v>
      </c>
    </row>
    <row r="7" spans="1:8" ht="57" customHeight="1">
      <c r="A7" t="s">
        <v>236</v>
      </c>
      <c r="B7" t="s">
        <v>237</v>
      </c>
      <c r="C7" s="37" t="s">
        <v>155</v>
      </c>
      <c r="D7" t="s">
        <v>2842</v>
      </c>
      <c r="E7" s="170">
        <f t="shared" si="0"/>
        <v>1</v>
      </c>
      <c r="F7" s="170">
        <f>1/SI!E4</f>
        <v>1</v>
      </c>
      <c r="G7" s="170" t="s">
        <v>1079</v>
      </c>
      <c r="H7" s="170" t="s">
        <v>42</v>
      </c>
    </row>
    <row r="8" spans="1:8" ht="16.5">
      <c r="A8" t="s">
        <v>253</v>
      </c>
      <c r="B8" t="s">
        <v>15</v>
      </c>
      <c r="C8" t="s">
        <v>9</v>
      </c>
      <c r="D8" t="s">
        <v>2856</v>
      </c>
      <c r="E8" s="170">
        <f t="shared" si="0"/>
        <v>1</v>
      </c>
      <c r="F8" s="170">
        <f>SI!E2*POWER(SI!E3/SI!E4,2)</f>
        <v>1</v>
      </c>
      <c r="G8" t="s">
        <v>1078</v>
      </c>
      <c r="H8" s="170" t="s">
        <v>42</v>
      </c>
    </row>
    <row r="9" spans="1:8">
      <c r="A9" t="s">
        <v>256</v>
      </c>
      <c r="B9" t="s">
        <v>634</v>
      </c>
      <c r="C9" s="37" t="s">
        <v>250</v>
      </c>
      <c r="D9" t="s">
        <v>2845</v>
      </c>
      <c r="E9" s="170">
        <f t="shared" si="0"/>
        <v>1</v>
      </c>
      <c r="F9" s="170">
        <f>SI!E6/SI!E4</f>
        <v>1</v>
      </c>
      <c r="G9" t="s">
        <v>1133</v>
      </c>
      <c r="H9" s="170" t="s">
        <v>42</v>
      </c>
    </row>
    <row r="10" spans="1:8" ht="14.7">
      <c r="A10" t="s">
        <v>275</v>
      </c>
      <c r="B10" t="s">
        <v>276</v>
      </c>
      <c r="C10" t="s">
        <v>112</v>
      </c>
      <c r="D10" t="s">
        <v>2857</v>
      </c>
      <c r="E10" s="170">
        <f t="shared" si="0"/>
        <v>1</v>
      </c>
      <c r="F10" s="170">
        <f>SI!E8*SI!E11</f>
        <v>1</v>
      </c>
      <c r="G10" t="s">
        <v>113</v>
      </c>
      <c r="H10" s="170" t="s">
        <v>42</v>
      </c>
    </row>
    <row r="11" spans="1:8" ht="16.5">
      <c r="A11" t="s">
        <v>278</v>
      </c>
      <c r="B11" t="s">
        <v>279</v>
      </c>
      <c r="C11" s="37" t="s">
        <v>203</v>
      </c>
      <c r="D11" t="s">
        <v>2858</v>
      </c>
      <c r="E11" s="170">
        <f t="shared" si="0"/>
        <v>1</v>
      </c>
      <c r="F11" s="170">
        <f>SI!E8*SI!E11/POWER(SI!E3,2)</f>
        <v>1</v>
      </c>
      <c r="G11" t="s">
        <v>1129</v>
      </c>
      <c r="H11" s="170" t="s">
        <v>42</v>
      </c>
    </row>
    <row r="12" spans="1:8" ht="16.5">
      <c r="A12" t="s">
        <v>307</v>
      </c>
      <c r="B12" t="s">
        <v>24</v>
      </c>
      <c r="C12" t="s">
        <v>18</v>
      </c>
      <c r="D12" t="s">
        <v>2859</v>
      </c>
      <c r="E12" s="170">
        <f t="shared" si="0"/>
        <v>1</v>
      </c>
      <c r="F12" s="170">
        <f>SI!E2*SI!E3/POWER(SI!E4,2)</f>
        <v>1</v>
      </c>
      <c r="G12" t="s">
        <v>1085</v>
      </c>
      <c r="H12" s="170" t="s">
        <v>42</v>
      </c>
    </row>
    <row r="13" spans="1:8" ht="16.5">
      <c r="A13" t="s">
        <v>314</v>
      </c>
      <c r="B13" t="s">
        <v>422</v>
      </c>
      <c r="C13" s="37" t="s">
        <v>30</v>
      </c>
      <c r="D13" t="s">
        <v>2860</v>
      </c>
      <c r="E13" s="170">
        <f t="shared" si="0"/>
        <v>1</v>
      </c>
      <c r="F13" s="170">
        <f>SI!E2*POWER(SI!E3,2)/(POWER(SI!E4,3)*POWER(SI!E7,2))</f>
        <v>1</v>
      </c>
      <c r="G13" t="s">
        <v>1126</v>
      </c>
      <c r="H13" s="170" t="s">
        <v>42</v>
      </c>
    </row>
    <row r="14" spans="1:8" ht="16.5">
      <c r="A14" t="s">
        <v>320</v>
      </c>
      <c r="B14" t="s">
        <v>321</v>
      </c>
      <c r="C14" t="s">
        <v>76</v>
      </c>
      <c r="D14" t="s">
        <v>2847</v>
      </c>
      <c r="E14" s="170">
        <f t="shared" si="0"/>
        <v>1</v>
      </c>
      <c r="F14" s="170">
        <f>SI!E2/(SI!E3*POWER(SI!E4,2))</f>
        <v>1</v>
      </c>
      <c r="G14" t="s">
        <v>1076</v>
      </c>
      <c r="H14" s="170" t="s">
        <v>42</v>
      </c>
    </row>
    <row r="15" spans="1:8" ht="16.5">
      <c r="A15" t="s">
        <v>337</v>
      </c>
      <c r="B15" t="s">
        <v>635</v>
      </c>
      <c r="C15" s="37" t="s">
        <v>636</v>
      </c>
      <c r="D15" t="s">
        <v>2846</v>
      </c>
      <c r="E15" s="170">
        <f t="shared" si="0"/>
        <v>1</v>
      </c>
      <c r="F15" s="170">
        <f>SI!E2/(SI!E3*SI!E4)</f>
        <v>1</v>
      </c>
      <c r="G15" t="s">
        <v>1076</v>
      </c>
      <c r="H15" s="170" t="s">
        <v>42</v>
      </c>
    </row>
    <row r="16" spans="1:8" ht="16.5">
      <c r="A16" t="s">
        <v>379</v>
      </c>
      <c r="B16" t="s">
        <v>380</v>
      </c>
      <c r="C16" t="s">
        <v>29</v>
      </c>
      <c r="D16" t="s">
        <v>2848</v>
      </c>
      <c r="E16" s="170">
        <f t="shared" si="0"/>
        <v>1</v>
      </c>
      <c r="F16" s="170">
        <f>POWER(SI!E4,3)*POWER(SI!E7,2)/(SI!E2*POWER(SI!E3,2))</f>
        <v>1</v>
      </c>
      <c r="G16" t="s">
        <v>1090</v>
      </c>
      <c r="H16" s="170" t="s">
        <v>42</v>
      </c>
    </row>
    <row r="17" spans="1:8" ht="28.8">
      <c r="A17" t="s">
        <v>381</v>
      </c>
      <c r="B17" t="s">
        <v>384</v>
      </c>
      <c r="C17" s="37" t="s">
        <v>637</v>
      </c>
      <c r="D17" t="s">
        <v>2844</v>
      </c>
      <c r="E17" s="170">
        <f t="shared" si="0"/>
        <v>1</v>
      </c>
      <c r="F17" s="170">
        <f>POWER(SI!E3/SI!E4,2)</f>
        <v>1</v>
      </c>
      <c r="G17" t="s">
        <v>1111</v>
      </c>
      <c r="H17" s="170" t="s">
        <v>42</v>
      </c>
    </row>
    <row r="18" spans="1:8" ht="28.8">
      <c r="A18" t="s">
        <v>404</v>
      </c>
      <c r="B18" t="s">
        <v>21</v>
      </c>
      <c r="C18" s="37" t="s">
        <v>638</v>
      </c>
      <c r="D18" t="s">
        <v>2849</v>
      </c>
      <c r="E18" s="170">
        <f t="shared" si="0"/>
        <v>1</v>
      </c>
      <c r="F18" s="170">
        <f>SI!E2/POWER(SI!E4*SI!E7,2)</f>
        <v>1</v>
      </c>
      <c r="G18" t="s">
        <v>2838</v>
      </c>
      <c r="H18" s="170" t="s">
        <v>42</v>
      </c>
    </row>
    <row r="19" spans="1:8" ht="43.2">
      <c r="A19" t="s">
        <v>418</v>
      </c>
      <c r="B19" t="s">
        <v>419</v>
      </c>
      <c r="C19" s="37" t="s">
        <v>639</v>
      </c>
      <c r="D19" t="s">
        <v>2850</v>
      </c>
      <c r="E19" s="170">
        <f t="shared" si="0"/>
        <v>1</v>
      </c>
      <c r="F19" s="170">
        <f>SI!E2*POWER(SI!E3,2)/(POWER(SI!E4,3)*POWER(SI!E7,2))</f>
        <v>1</v>
      </c>
      <c r="G19" t="s">
        <v>1121</v>
      </c>
      <c r="H19" s="170" t="s">
        <v>42</v>
      </c>
    </row>
    <row r="20" spans="1:8" ht="16.5">
      <c r="A20" t="s">
        <v>424</v>
      </c>
      <c r="B20" t="s">
        <v>315</v>
      </c>
      <c r="C20" s="37" t="s">
        <v>640</v>
      </c>
      <c r="D20" t="s">
        <v>2851</v>
      </c>
      <c r="E20" s="170">
        <f t="shared" si="0"/>
        <v>1</v>
      </c>
      <c r="F20" s="170">
        <f>SI!E2*POWER(SI!E3,2)/POWER(SI!E4,3)</f>
        <v>1</v>
      </c>
      <c r="G20" t="s">
        <v>1098</v>
      </c>
      <c r="H20" s="170" t="s">
        <v>42</v>
      </c>
    </row>
    <row r="21" spans="1:8" ht="28.8">
      <c r="A21" t="s">
        <v>420</v>
      </c>
      <c r="B21" t="s">
        <v>423</v>
      </c>
      <c r="C21" s="37" t="s">
        <v>641</v>
      </c>
      <c r="D21" t="s">
        <v>2852</v>
      </c>
      <c r="E21" s="170">
        <f t="shared" si="0"/>
        <v>1</v>
      </c>
      <c r="F21" s="170">
        <f>SI!E2*POWER(SI!E3,2)/(POWER(SI!E4,2)*SI!E7)</f>
        <v>1</v>
      </c>
      <c r="G21" t="s">
        <v>1136</v>
      </c>
      <c r="H21" s="170" t="s">
        <v>42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FA637-CD7C-4266-9549-2DC016FE55C1}">
  <sheetPr codeName="Sheet7">
    <tabColor theme="9" tint="-0.249977111117893"/>
  </sheetPr>
  <dimension ref="A1:H10"/>
  <sheetViews>
    <sheetView workbookViewId="0">
      <selection activeCell="B12" sqref="B12"/>
    </sheetView>
  </sheetViews>
  <sheetFormatPr defaultRowHeight="14.4"/>
  <cols>
    <col min="1" max="2" width="16.20703125" customWidth="1"/>
    <col min="3" max="3" width="23.83984375" customWidth="1"/>
    <col min="4" max="4" width="14.89453125" customWidth="1"/>
    <col min="5" max="5" width="18.734375" customWidth="1"/>
    <col min="6" max="6" width="22.05078125" customWidth="1"/>
    <col min="7" max="7" width="12.41796875" customWidth="1"/>
  </cols>
  <sheetData>
    <row r="1" spans="1:8">
      <c r="A1" s="202" t="s">
        <v>938</v>
      </c>
      <c r="B1" s="202" t="s">
        <v>1</v>
      </c>
      <c r="C1" s="202" t="s">
        <v>2</v>
      </c>
      <c r="D1" s="202" t="s">
        <v>3</v>
      </c>
      <c r="E1" s="202" t="s">
        <v>692</v>
      </c>
      <c r="F1" s="202" t="s">
        <v>937</v>
      </c>
      <c r="G1" s="202" t="s">
        <v>799</v>
      </c>
      <c r="H1" s="202" t="s">
        <v>5</v>
      </c>
    </row>
    <row r="2" spans="1:8" ht="16.5">
      <c r="A2" t="s">
        <v>7536</v>
      </c>
      <c r="B2" t="s">
        <v>242</v>
      </c>
      <c r="C2" s="37" t="s">
        <v>7</v>
      </c>
      <c r="D2" s="37" t="s">
        <v>2864</v>
      </c>
      <c r="E2" s="125">
        <f>6.62607015E-34*F2</f>
        <v>6.6260701499999998E-34</v>
      </c>
      <c r="F2" s="170">
        <f>SI!E2*POWER(SI!E3,2)/SI!E4</f>
        <v>1</v>
      </c>
      <c r="G2" t="s">
        <v>1135</v>
      </c>
      <c r="H2" t="s">
        <v>42</v>
      </c>
    </row>
    <row r="3" spans="1:8">
      <c r="A3" t="s">
        <v>6702</v>
      </c>
      <c r="B3" t="s">
        <v>111</v>
      </c>
      <c r="C3" s="37" t="s">
        <v>1052</v>
      </c>
      <c r="D3" s="37" t="s">
        <v>2865</v>
      </c>
      <c r="E3" s="125">
        <f>299792458*F3</f>
        <v>299792458</v>
      </c>
      <c r="F3" s="170">
        <f>SI!E3/SI!E4</f>
        <v>1</v>
      </c>
      <c r="G3" t="s">
        <v>1081</v>
      </c>
      <c r="H3" t="s">
        <v>42</v>
      </c>
    </row>
    <row r="4" spans="1:8" ht="28.8">
      <c r="A4" t="s">
        <v>6799</v>
      </c>
      <c r="B4" t="s">
        <v>972</v>
      </c>
      <c r="C4" s="37" t="s">
        <v>8</v>
      </c>
      <c r="D4" s="37" t="s">
        <v>2866</v>
      </c>
      <c r="E4" s="126">
        <f>1.602176634E-19*F4</f>
        <v>1.6021766339999999E-19</v>
      </c>
      <c r="F4" s="170">
        <f>SI!E7*SI!E4</f>
        <v>1</v>
      </c>
      <c r="G4" t="s">
        <v>142</v>
      </c>
      <c r="H4" t="s">
        <v>42</v>
      </c>
    </row>
    <row r="5" spans="1:8" ht="16.5">
      <c r="A5" t="s">
        <v>7537</v>
      </c>
      <c r="B5" t="s">
        <v>658</v>
      </c>
      <c r="C5" s="37" t="s">
        <v>1053</v>
      </c>
      <c r="D5" s="37" t="s">
        <v>2867</v>
      </c>
      <c r="E5" s="127">
        <f>1.380649E-23*F5</f>
        <v>1.3806490000000001E-23</v>
      </c>
      <c r="F5" s="170">
        <f>SI!E2*POWER(SI!E3,2)/(POWER(SI!E4,2)*SI!E5)</f>
        <v>1</v>
      </c>
      <c r="G5" t="s">
        <v>1108</v>
      </c>
      <c r="H5" t="s">
        <v>42</v>
      </c>
    </row>
    <row r="6" spans="1:8" ht="28.8">
      <c r="A6" t="s">
        <v>7538</v>
      </c>
      <c r="B6" t="s">
        <v>24</v>
      </c>
      <c r="C6" s="37" t="s">
        <v>71</v>
      </c>
      <c r="D6" s="37" t="s">
        <v>2868</v>
      </c>
      <c r="E6" s="125">
        <f>6.02214076E+23*F6</f>
        <v>6.0221407599999999E+23</v>
      </c>
      <c r="F6" s="170">
        <f>1/SI!E6</f>
        <v>1</v>
      </c>
      <c r="G6" t="s">
        <v>1082</v>
      </c>
      <c r="H6" t="s">
        <v>42</v>
      </c>
    </row>
    <row r="8" spans="1:8">
      <c r="E8" s="127"/>
      <c r="F8" s="127"/>
    </row>
    <row r="10" spans="1:8">
      <c r="E10" s="127"/>
      <c r="F10" s="127"/>
    </row>
  </sheetData>
  <phoneticPr fontId="24" type="noConversion"/>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EDA9A-55D6-416C-BF83-EA69DF402A96}">
  <sheetPr codeName="Sheet8">
    <tabColor theme="9" tint="-0.249977111117893"/>
  </sheetPr>
  <dimension ref="A1:H34"/>
  <sheetViews>
    <sheetView topLeftCell="A10" workbookViewId="0">
      <selection activeCell="K31" sqref="K31"/>
    </sheetView>
  </sheetViews>
  <sheetFormatPr defaultRowHeight="14.4"/>
  <cols>
    <col min="1" max="1" width="33.3671875" customWidth="1"/>
    <col min="2" max="2" width="12.89453125" customWidth="1"/>
    <col min="3" max="4" width="18.41796875" customWidth="1"/>
    <col min="5" max="5" width="19.9453125" customWidth="1"/>
    <col min="6" max="6" width="19.68359375" customWidth="1"/>
    <col min="7" max="7" width="19" customWidth="1"/>
  </cols>
  <sheetData>
    <row r="1" spans="1:8">
      <c r="A1" s="202" t="s">
        <v>624</v>
      </c>
      <c r="B1" s="202" t="s">
        <v>1</v>
      </c>
      <c r="C1" s="202" t="s">
        <v>2</v>
      </c>
      <c r="D1" s="202" t="s">
        <v>3</v>
      </c>
      <c r="E1" s="202" t="s">
        <v>692</v>
      </c>
      <c r="F1" s="202" t="s">
        <v>937</v>
      </c>
      <c r="G1" s="202" t="s">
        <v>799</v>
      </c>
      <c r="H1" s="202" t="s">
        <v>5</v>
      </c>
    </row>
    <row r="2" spans="1:8" ht="16.5">
      <c r="A2" t="s">
        <v>6800</v>
      </c>
      <c r="B2" t="s">
        <v>393</v>
      </c>
      <c r="C2" t="s">
        <v>76</v>
      </c>
      <c r="D2" t="s">
        <v>2847</v>
      </c>
      <c r="E2" s="42">
        <f>101325*F2</f>
        <v>101325</v>
      </c>
      <c r="F2" s="170">
        <f>SI!E2/(POWER(SI!E3,2)*SI!E4)</f>
        <v>1</v>
      </c>
      <c r="G2" t="s">
        <v>1076</v>
      </c>
      <c r="H2" t="s">
        <v>1148</v>
      </c>
    </row>
    <row r="3" spans="1:8" ht="44.1" customHeight="1">
      <c r="A3" t="s">
        <v>74</v>
      </c>
      <c r="B3" t="s">
        <v>26</v>
      </c>
      <c r="C3" t="s">
        <v>76</v>
      </c>
      <c r="D3" t="s">
        <v>2847</v>
      </c>
      <c r="E3" s="42">
        <f>100000*F3</f>
        <v>100000</v>
      </c>
      <c r="F3" s="170">
        <f>SI!E2/(POWER(SI!E3,2)*SI!E4)</f>
        <v>1</v>
      </c>
      <c r="G3" t="s">
        <v>1076</v>
      </c>
      <c r="H3" s="1" t="s">
        <v>982</v>
      </c>
    </row>
    <row r="4" spans="1:8">
      <c r="A4" t="s">
        <v>299</v>
      </c>
      <c r="B4" t="s">
        <v>1054</v>
      </c>
      <c r="C4" t="s">
        <v>1057</v>
      </c>
      <c r="D4" t="s">
        <v>21</v>
      </c>
      <c r="E4" s="42">
        <f>60*F4</f>
        <v>60</v>
      </c>
      <c r="F4" s="170">
        <f>SI!E4</f>
        <v>1</v>
      </c>
      <c r="G4" t="s">
        <v>22</v>
      </c>
      <c r="H4" s="1" t="s">
        <v>58</v>
      </c>
    </row>
    <row r="5" spans="1:8">
      <c r="A5" t="s">
        <v>241</v>
      </c>
      <c r="B5" t="s">
        <v>6452</v>
      </c>
      <c r="C5" t="s">
        <v>1057</v>
      </c>
      <c r="D5" t="s">
        <v>21</v>
      </c>
      <c r="E5" s="42">
        <f>3600*F5</f>
        <v>3600</v>
      </c>
      <c r="F5" s="170">
        <f>SI!E4</f>
        <v>1</v>
      </c>
      <c r="G5" t="s">
        <v>22</v>
      </c>
      <c r="H5" s="1" t="s">
        <v>58</v>
      </c>
    </row>
    <row r="6" spans="1:8">
      <c r="A6" t="s">
        <v>944</v>
      </c>
      <c r="B6" t="s">
        <v>26</v>
      </c>
      <c r="C6" t="s">
        <v>1057</v>
      </c>
      <c r="D6" t="s">
        <v>21</v>
      </c>
      <c r="E6" s="42">
        <f>86400*F6</f>
        <v>86400</v>
      </c>
      <c r="F6" s="170">
        <f>SI!E4</f>
        <v>1</v>
      </c>
      <c r="G6" t="s">
        <v>22</v>
      </c>
      <c r="H6" s="1" t="s">
        <v>626</v>
      </c>
    </row>
    <row r="7" spans="1:8">
      <c r="A7" t="s">
        <v>6468</v>
      </c>
      <c r="B7" t="s">
        <v>6807</v>
      </c>
      <c r="C7" t="s">
        <v>1057</v>
      </c>
      <c r="D7" t="s">
        <v>21</v>
      </c>
      <c r="E7" s="42">
        <f>365*86400*F7</f>
        <v>31536000</v>
      </c>
      <c r="F7" s="170">
        <f>SI!E4</f>
        <v>1</v>
      </c>
      <c r="G7" t="s">
        <v>22</v>
      </c>
      <c r="H7" s="1" t="s">
        <v>626</v>
      </c>
    </row>
    <row r="8" spans="1:8">
      <c r="A8" t="s">
        <v>6477</v>
      </c>
      <c r="B8" t="s">
        <v>6474</v>
      </c>
      <c r="C8" t="s">
        <v>1057</v>
      </c>
      <c r="D8" t="s">
        <v>21</v>
      </c>
      <c r="E8" s="42">
        <f>365.25*86400*F8</f>
        <v>31557600</v>
      </c>
      <c r="F8" s="170">
        <f>SI!E4</f>
        <v>1</v>
      </c>
      <c r="G8" t="s">
        <v>22</v>
      </c>
      <c r="H8" s="1" t="s">
        <v>626</v>
      </c>
    </row>
    <row r="9" spans="1:8" ht="16.5">
      <c r="A9" t="s">
        <v>1976</v>
      </c>
      <c r="B9" t="s">
        <v>246</v>
      </c>
      <c r="C9" t="s">
        <v>37</v>
      </c>
      <c r="D9" t="s">
        <v>32</v>
      </c>
      <c r="E9" s="206">
        <f>0.001*F9</f>
        <v>1E-3</v>
      </c>
      <c r="F9" s="170">
        <f>POWER(SI!E3,3)</f>
        <v>1</v>
      </c>
      <c r="G9" t="s">
        <v>33</v>
      </c>
      <c r="H9" s="1" t="s">
        <v>58</v>
      </c>
    </row>
    <row r="10" spans="1:8" ht="17.7">
      <c r="A10" t="s">
        <v>6801</v>
      </c>
      <c r="B10" t="s">
        <v>4328</v>
      </c>
      <c r="C10" t="s">
        <v>17</v>
      </c>
      <c r="D10" t="s">
        <v>32</v>
      </c>
      <c r="E10" s="206">
        <f>0.001*F10</f>
        <v>1E-3</v>
      </c>
      <c r="F10" s="170">
        <f>POWER(SI!E3,3)</f>
        <v>1</v>
      </c>
      <c r="G10" t="s">
        <v>33</v>
      </c>
      <c r="H10" s="1" t="s">
        <v>982</v>
      </c>
    </row>
    <row r="11" spans="1:8" ht="14.7">
      <c r="A11" t="s">
        <v>359</v>
      </c>
      <c r="B11" t="s">
        <v>26</v>
      </c>
      <c r="C11" t="s">
        <v>504</v>
      </c>
      <c r="D11" s="39" t="s">
        <v>2870</v>
      </c>
      <c r="E11" s="42">
        <f>500*F11</f>
        <v>500</v>
      </c>
      <c r="F11" s="170">
        <f>SI!E13</f>
        <v>1</v>
      </c>
      <c r="G11" t="s">
        <v>504</v>
      </c>
      <c r="H11" s="1" t="s">
        <v>58</v>
      </c>
    </row>
    <row r="12" spans="1:8" ht="14.7">
      <c r="A12" t="s">
        <v>5918</v>
      </c>
      <c r="B12" t="s">
        <v>26</v>
      </c>
      <c r="C12" t="s">
        <v>504</v>
      </c>
      <c r="D12" s="39" t="s">
        <v>2870</v>
      </c>
      <c r="E12" s="42">
        <f>480*F12</f>
        <v>480</v>
      </c>
      <c r="F12" s="170">
        <f>SI!E13</f>
        <v>1</v>
      </c>
      <c r="G12" t="s">
        <v>504</v>
      </c>
      <c r="H12" s="1" t="s">
        <v>81</v>
      </c>
    </row>
    <row r="13" spans="1:8" ht="17.7">
      <c r="A13" t="s">
        <v>6802</v>
      </c>
      <c r="B13" t="s">
        <v>4330</v>
      </c>
      <c r="C13" t="s">
        <v>121</v>
      </c>
      <c r="D13" t="s">
        <v>2841</v>
      </c>
      <c r="E13" s="171">
        <f>9.80665*F13</f>
        <v>9.8066499999999994</v>
      </c>
      <c r="F13" s="170">
        <f>SI!E3/POWER(SI!E4,2)</f>
        <v>1</v>
      </c>
      <c r="G13" t="s">
        <v>1077</v>
      </c>
      <c r="H13" s="1" t="s">
        <v>982</v>
      </c>
    </row>
    <row r="14" spans="1:8">
      <c r="A14" t="s">
        <v>114</v>
      </c>
      <c r="B14" t="s">
        <v>115</v>
      </c>
      <c r="C14" t="s">
        <v>17</v>
      </c>
      <c r="D14" t="s">
        <v>20</v>
      </c>
      <c r="E14" s="137">
        <f>0.0002*F14</f>
        <v>2.0000000000000001E-4</v>
      </c>
      <c r="F14" s="170">
        <f>SI!E2</f>
        <v>1</v>
      </c>
      <c r="G14" t="s">
        <v>23</v>
      </c>
      <c r="H14" s="1" t="s">
        <v>58</v>
      </c>
    </row>
    <row r="15" spans="1:8" ht="16.5">
      <c r="A15" t="s">
        <v>6803</v>
      </c>
      <c r="B15" t="s">
        <v>1056</v>
      </c>
      <c r="C15" t="s">
        <v>9</v>
      </c>
      <c r="D15" t="s">
        <v>2856</v>
      </c>
      <c r="E15" s="66">
        <f>1055.05585262*F15</f>
        <v>1055.05585262</v>
      </c>
      <c r="F15" s="170">
        <f>SI!E2*POWER(SI!E3,2)/POWER(SI!E4,2)</f>
        <v>1</v>
      </c>
      <c r="G15" t="s">
        <v>1078</v>
      </c>
      <c r="H15" s="1" t="s">
        <v>46</v>
      </c>
    </row>
    <row r="16" spans="1:8" ht="16.5">
      <c r="A16" t="s">
        <v>6804</v>
      </c>
      <c r="B16" t="s">
        <v>4329</v>
      </c>
      <c r="C16" t="s">
        <v>9</v>
      </c>
      <c r="D16" t="s">
        <v>2856</v>
      </c>
      <c r="E16" s="206">
        <f>4.184*F16</f>
        <v>4.1840000000000002</v>
      </c>
      <c r="F16" s="170">
        <f>SI!E2*POWER(SI!E3,2)/POWER(SI!E4,2)</f>
        <v>1</v>
      </c>
      <c r="G16" t="s">
        <v>1078</v>
      </c>
      <c r="H16" s="1" t="s">
        <v>982</v>
      </c>
    </row>
    <row r="17" spans="1:8">
      <c r="A17" t="s">
        <v>6805</v>
      </c>
      <c r="B17" t="s">
        <v>565</v>
      </c>
      <c r="C17" t="s">
        <v>16</v>
      </c>
      <c r="D17" t="s">
        <v>19</v>
      </c>
      <c r="E17" s="42">
        <f>1852*F17</f>
        <v>1852</v>
      </c>
      <c r="F17" s="170">
        <f>SI!E3</f>
        <v>1</v>
      </c>
      <c r="G17" t="s">
        <v>14</v>
      </c>
      <c r="H17" s="1" t="s">
        <v>58</v>
      </c>
    </row>
    <row r="18" spans="1:8" ht="16.5">
      <c r="A18" t="s">
        <v>7539</v>
      </c>
      <c r="B18" t="s">
        <v>6806</v>
      </c>
      <c r="C18" t="s">
        <v>9</v>
      </c>
      <c r="D18" t="s">
        <v>2856</v>
      </c>
      <c r="E18" s="137">
        <f>4.1868*F18</f>
        <v>4.1867999999999999</v>
      </c>
      <c r="F18" s="170">
        <f>SI!E2*POWER(SI!E3,2)/POWER(SI!E4,2)</f>
        <v>1</v>
      </c>
      <c r="G18" t="s">
        <v>1101</v>
      </c>
      <c r="H18" s="1" t="s">
        <v>58</v>
      </c>
    </row>
    <row r="19" spans="1:8">
      <c r="A19" t="s">
        <v>958</v>
      </c>
      <c r="B19" t="s">
        <v>341</v>
      </c>
      <c r="C19" t="s">
        <v>72</v>
      </c>
      <c r="D19" t="s">
        <v>2869</v>
      </c>
      <c r="E19" s="174">
        <f>0.000258*F19</f>
        <v>2.5799999999999998E-4</v>
      </c>
      <c r="F19" s="170">
        <f>SI!E4*SI!E7/SI!E2</f>
        <v>1</v>
      </c>
      <c r="G19" t="s">
        <v>1080</v>
      </c>
      <c r="H19" s="1" t="s">
        <v>982</v>
      </c>
    </row>
    <row r="20" spans="1:8" ht="28.8">
      <c r="A20" t="s">
        <v>513</v>
      </c>
      <c r="B20" t="s">
        <v>1055</v>
      </c>
      <c r="C20" s="37" t="s">
        <v>536</v>
      </c>
      <c r="D20" s="39" t="s">
        <v>2870</v>
      </c>
      <c r="E20" s="42">
        <f>12*F20</f>
        <v>12</v>
      </c>
      <c r="F20" s="170">
        <f>SI!E13</f>
        <v>1</v>
      </c>
      <c r="G20" t="s">
        <v>504</v>
      </c>
      <c r="H20" s="1" t="s">
        <v>81</v>
      </c>
    </row>
    <row r="21" spans="1:8">
      <c r="A21" t="s">
        <v>966</v>
      </c>
      <c r="B21" t="s">
        <v>95</v>
      </c>
      <c r="C21" t="s">
        <v>16</v>
      </c>
      <c r="D21" t="s">
        <v>19</v>
      </c>
      <c r="E21" s="206">
        <f>0.001*F21</f>
        <v>1E-3</v>
      </c>
      <c r="F21" s="170">
        <f>SI!E3</f>
        <v>1</v>
      </c>
      <c r="G21" t="s">
        <v>14</v>
      </c>
      <c r="H21" s="1" t="s">
        <v>42</v>
      </c>
    </row>
    <row r="22" spans="1:8">
      <c r="A22" t="s">
        <v>967</v>
      </c>
      <c r="B22" t="s">
        <v>124</v>
      </c>
      <c r="C22" t="s">
        <v>16</v>
      </c>
      <c r="D22" t="s">
        <v>19</v>
      </c>
      <c r="E22" s="187">
        <f>0.01*F22</f>
        <v>0.01</v>
      </c>
      <c r="F22" s="170">
        <f>SI!E3</f>
        <v>1</v>
      </c>
      <c r="G22" t="s">
        <v>14</v>
      </c>
      <c r="H22" s="1" t="s">
        <v>42</v>
      </c>
    </row>
    <row r="23" spans="1:8">
      <c r="A23" t="s">
        <v>236</v>
      </c>
      <c r="B23" t="s">
        <v>237</v>
      </c>
      <c r="C23" t="s">
        <v>155</v>
      </c>
      <c r="D23" t="s">
        <v>2842</v>
      </c>
      <c r="E23" s="42">
        <f>1*F23</f>
        <v>1</v>
      </c>
      <c r="F23" s="170">
        <f>1/SI!E4</f>
        <v>1</v>
      </c>
      <c r="G23" t="s">
        <v>1079</v>
      </c>
      <c r="H23" s="1" t="s">
        <v>42</v>
      </c>
    </row>
    <row r="24" spans="1:8" ht="16.5">
      <c r="A24" t="s">
        <v>968</v>
      </c>
      <c r="B24" t="s">
        <v>181</v>
      </c>
      <c r="C24" t="s">
        <v>18</v>
      </c>
      <c r="D24" t="s">
        <v>2859</v>
      </c>
      <c r="E24" s="171">
        <f>0.00001*F24</f>
        <v>1.0000000000000001E-5</v>
      </c>
      <c r="F24" s="170">
        <f>SI!E2*SI!E3/POWER(SI!E4,2)</f>
        <v>1</v>
      </c>
      <c r="G24" t="s">
        <v>1076</v>
      </c>
      <c r="H24" s="1" t="s">
        <v>36</v>
      </c>
    </row>
    <row r="25" spans="1:8">
      <c r="A25" t="s">
        <v>970</v>
      </c>
      <c r="B25" t="s">
        <v>171</v>
      </c>
      <c r="C25" t="s">
        <v>16</v>
      </c>
      <c r="D25" t="s">
        <v>19</v>
      </c>
      <c r="E25" s="207">
        <f>0.1*F25</f>
        <v>0.1</v>
      </c>
      <c r="F25" s="170">
        <f>SI!E3</f>
        <v>1</v>
      </c>
      <c r="G25" t="s">
        <v>14</v>
      </c>
      <c r="H25" s="1" t="s">
        <v>42</v>
      </c>
    </row>
    <row r="26" spans="1:8">
      <c r="A26" t="s">
        <v>227</v>
      </c>
      <c r="B26" t="s">
        <v>174</v>
      </c>
      <c r="C26" t="s">
        <v>17</v>
      </c>
      <c r="D26" t="s">
        <v>20</v>
      </c>
      <c r="E26" s="206">
        <f>0.001*F26</f>
        <v>1E-3</v>
      </c>
      <c r="F26" s="170">
        <f>SI!E2</f>
        <v>1</v>
      </c>
      <c r="G26" t="s">
        <v>23</v>
      </c>
      <c r="H26" s="1" t="s">
        <v>36</v>
      </c>
    </row>
    <row r="27" spans="1:8">
      <c r="A27" t="s">
        <v>4975</v>
      </c>
      <c r="B27" t="s">
        <v>6947</v>
      </c>
      <c r="C27" t="s">
        <v>17</v>
      </c>
      <c r="D27" t="s">
        <v>20</v>
      </c>
      <c r="E27" s="137">
        <f>0.0002*F27</f>
        <v>2.0000000000000001E-4</v>
      </c>
      <c r="F27" s="170">
        <f>SI!E2</f>
        <v>1</v>
      </c>
      <c r="G27" t="s">
        <v>23</v>
      </c>
      <c r="H27" s="1" t="s">
        <v>58</v>
      </c>
    </row>
    <row r="28" spans="1:8">
      <c r="A28" s="1" t="s">
        <v>56</v>
      </c>
      <c r="B28" s="1" t="s">
        <v>13</v>
      </c>
      <c r="C28" t="s">
        <v>16</v>
      </c>
      <c r="D28" t="s">
        <v>19</v>
      </c>
      <c r="E28" s="160">
        <f>0.0000000001*F28</f>
        <v>1E-10</v>
      </c>
      <c r="F28" s="170">
        <f>SI!E3</f>
        <v>1</v>
      </c>
      <c r="G28" t="s">
        <v>14</v>
      </c>
      <c r="H28" s="1" t="s">
        <v>58</v>
      </c>
    </row>
    <row r="29" spans="1:8">
      <c r="A29" t="s">
        <v>4813</v>
      </c>
      <c r="B29" t="s">
        <v>2943</v>
      </c>
      <c r="C29" t="s">
        <v>16</v>
      </c>
      <c r="D29" t="s">
        <v>19</v>
      </c>
      <c r="E29" s="42">
        <f>1852*F29</f>
        <v>1852</v>
      </c>
      <c r="F29" s="170">
        <f>SI!E3</f>
        <v>1</v>
      </c>
      <c r="G29" t="s">
        <v>14</v>
      </c>
      <c r="H29" s="1" t="s">
        <v>58</v>
      </c>
    </row>
    <row r="30" spans="1:8" ht="28.8">
      <c r="A30" t="s">
        <v>6935</v>
      </c>
      <c r="B30" t="s">
        <v>26</v>
      </c>
      <c r="C30" s="37" t="s">
        <v>536</v>
      </c>
      <c r="D30" s="39" t="s">
        <v>2870</v>
      </c>
      <c r="E30" s="42">
        <f>512*F30</f>
        <v>512</v>
      </c>
      <c r="F30" s="170">
        <f>SI!E13</f>
        <v>1</v>
      </c>
      <c r="G30" t="s">
        <v>504</v>
      </c>
      <c r="H30" s="1" t="s">
        <v>47</v>
      </c>
    </row>
    <row r="31" spans="1:8">
      <c r="A31" t="s">
        <v>4331</v>
      </c>
      <c r="B31" t="s">
        <v>2871</v>
      </c>
      <c r="C31" t="s">
        <v>16</v>
      </c>
      <c r="D31" t="s">
        <v>19</v>
      </c>
      <c r="E31" s="42">
        <f>149597870700*F31</f>
        <v>149597870700</v>
      </c>
      <c r="F31" s="170">
        <f>SI!E3</f>
        <v>1</v>
      </c>
      <c r="G31" t="s">
        <v>14</v>
      </c>
      <c r="H31" s="1" t="s">
        <v>202</v>
      </c>
    </row>
    <row r="32" spans="1:8">
      <c r="A32" t="s">
        <v>6808</v>
      </c>
      <c r="B32" t="s">
        <v>62</v>
      </c>
      <c r="C32" t="s">
        <v>16</v>
      </c>
      <c r="D32" t="s">
        <v>19</v>
      </c>
      <c r="E32" s="42">
        <f>6378137*F32</f>
        <v>6378137</v>
      </c>
      <c r="F32" s="170">
        <f>SI!E3</f>
        <v>1</v>
      </c>
      <c r="G32" t="s">
        <v>14</v>
      </c>
      <c r="H32" s="1" t="s">
        <v>1058</v>
      </c>
    </row>
    <row r="33" spans="1:8" ht="14.7">
      <c r="A33" t="s">
        <v>7540</v>
      </c>
      <c r="B33" t="s">
        <v>21</v>
      </c>
      <c r="C33" t="s">
        <v>2949</v>
      </c>
      <c r="D33" s="39" t="s">
        <v>123</v>
      </c>
      <c r="E33">
        <f>293.15*F33</f>
        <v>293.14999999999998</v>
      </c>
      <c r="F33" s="170">
        <f>SI!E5</f>
        <v>1</v>
      </c>
      <c r="G33" t="s">
        <v>247</v>
      </c>
      <c r="H33" t="s">
        <v>982</v>
      </c>
    </row>
    <row r="34" spans="1:8" ht="88.5" customHeight="1">
      <c r="A34" s="1" t="s">
        <v>150</v>
      </c>
      <c r="B34" s="1" t="s">
        <v>152</v>
      </c>
      <c r="C34" s="1" t="s">
        <v>90</v>
      </c>
      <c r="D34" s="1" t="s">
        <v>2842</v>
      </c>
      <c r="E34" s="12">
        <f>37000000000*F34</f>
        <v>37000000000</v>
      </c>
      <c r="F34" s="12">
        <f>1/SI!E4</f>
        <v>1</v>
      </c>
      <c r="G34" s="1" t="s">
        <v>1079</v>
      </c>
      <c r="H34" s="1" t="s">
        <v>58</v>
      </c>
    </row>
  </sheetData>
  <pageMargins left="0.7" right="0.7" top="0.75" bottom="0.75" header="0.3" footer="0.3"/>
  <pageSetup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44F9B-FF76-4A99-8072-ECBB3E0F2D3A}">
  <sheetPr codeName="Sheet9">
    <tabColor theme="9" tint="-0.249977111117893"/>
  </sheetPr>
  <dimension ref="A1:H26"/>
  <sheetViews>
    <sheetView topLeftCell="A7" workbookViewId="0">
      <selection activeCell="F35" sqref="F35"/>
    </sheetView>
  </sheetViews>
  <sheetFormatPr defaultRowHeight="14.4"/>
  <cols>
    <col min="1" max="1" width="26.3671875" customWidth="1"/>
    <col min="2" max="4" width="22.5234375" customWidth="1"/>
    <col min="5" max="6" width="21.3125" customWidth="1"/>
    <col min="7" max="7" width="21.62890625" customWidth="1"/>
  </cols>
  <sheetData>
    <row r="1" spans="1:8">
      <c r="A1" s="202" t="s">
        <v>624</v>
      </c>
      <c r="B1" s="202" t="s">
        <v>1</v>
      </c>
      <c r="C1" s="202" t="s">
        <v>2</v>
      </c>
      <c r="D1" s="202" t="s">
        <v>3</v>
      </c>
      <c r="E1" s="202" t="s">
        <v>692</v>
      </c>
      <c r="F1" s="202" t="s">
        <v>937</v>
      </c>
      <c r="G1" s="202" t="s">
        <v>799</v>
      </c>
      <c r="H1" s="202" t="s">
        <v>5</v>
      </c>
    </row>
    <row r="2" spans="1:8" ht="17.7">
      <c r="A2" t="s">
        <v>6809</v>
      </c>
      <c r="B2" s="204" t="s">
        <v>1059</v>
      </c>
      <c r="C2" s="204" t="s">
        <v>1069</v>
      </c>
      <c r="D2" s="204" t="s">
        <v>2861</v>
      </c>
      <c r="E2" s="138">
        <f>8.8541878128E-12*F2</f>
        <v>8.8541878128000006E-12</v>
      </c>
      <c r="F2" s="170">
        <f>POWER(SI!E3,4)*POWER(SI!E7,2)/(SI!E2*POWER(SI!E3,3))</f>
        <v>1</v>
      </c>
      <c r="G2" t="s">
        <v>1070</v>
      </c>
      <c r="H2" t="s">
        <v>982</v>
      </c>
    </row>
    <row r="3" spans="1:8" ht="17.7">
      <c r="A3" t="s">
        <v>6810</v>
      </c>
      <c r="B3" s="204" t="s">
        <v>1060</v>
      </c>
      <c r="C3" s="204" t="s">
        <v>240</v>
      </c>
      <c r="D3" s="204" t="s">
        <v>2862</v>
      </c>
      <c r="E3" s="138">
        <f>0.000001256637062*F3</f>
        <v>1.2566370619999999E-6</v>
      </c>
      <c r="F3" s="170">
        <f>SI!E2*SI!E3/POWER(SI!E4*SI!E7,2)</f>
        <v>1</v>
      </c>
      <c r="G3" t="s">
        <v>1071</v>
      </c>
      <c r="H3" t="s">
        <v>982</v>
      </c>
    </row>
    <row r="4" spans="1:8" ht="16.8">
      <c r="A4" t="s">
        <v>6811</v>
      </c>
      <c r="B4" t="s">
        <v>1061</v>
      </c>
      <c r="C4" t="s">
        <v>17</v>
      </c>
      <c r="D4" t="s">
        <v>20</v>
      </c>
      <c r="E4" s="138">
        <f>9.1093837015E-31*F4</f>
        <v>9.1093837015000008E-31</v>
      </c>
      <c r="F4" s="170">
        <f>SI!E2</f>
        <v>1</v>
      </c>
      <c r="G4" t="s">
        <v>23</v>
      </c>
      <c r="H4" t="s">
        <v>982</v>
      </c>
    </row>
    <row r="5" spans="1:8" ht="16.8">
      <c r="A5" t="s">
        <v>4335</v>
      </c>
      <c r="B5" t="s">
        <v>1062</v>
      </c>
      <c r="C5" t="s">
        <v>16</v>
      </c>
      <c r="D5" t="s">
        <v>19</v>
      </c>
      <c r="E5" s="140">
        <f>5.29177210903E-11*F5</f>
        <v>5.2917721090299998E-11</v>
      </c>
      <c r="F5" s="170">
        <f>SI!E3</f>
        <v>1</v>
      </c>
      <c r="G5" t="s">
        <v>14</v>
      </c>
      <c r="H5" t="s">
        <v>982</v>
      </c>
    </row>
    <row r="6" spans="1:8" ht="16.5">
      <c r="A6" t="s">
        <v>6936</v>
      </c>
      <c r="B6" t="s">
        <v>6812</v>
      </c>
      <c r="C6" t="s">
        <v>1067</v>
      </c>
      <c r="D6" t="s">
        <v>2840</v>
      </c>
      <c r="E6" s="138">
        <f>999.8395*F6</f>
        <v>999.83950000000004</v>
      </c>
      <c r="F6" s="170">
        <f>SI!E2/POWER(SI!E3,3)</f>
        <v>1</v>
      </c>
      <c r="G6" t="s">
        <v>1072</v>
      </c>
      <c r="H6" t="s">
        <v>982</v>
      </c>
    </row>
    <row r="7" spans="1:8" ht="16.5">
      <c r="A7" t="s">
        <v>6937</v>
      </c>
      <c r="B7" t="s">
        <v>6813</v>
      </c>
      <c r="C7" t="s">
        <v>1067</v>
      </c>
      <c r="D7" t="s">
        <v>2840</v>
      </c>
      <c r="E7" s="138">
        <f>999.0141*F7</f>
        <v>999.01409999999998</v>
      </c>
      <c r="F7" s="170">
        <f>SI!E2/POWER(SI!E3,3)</f>
        <v>1</v>
      </c>
      <c r="G7" t="s">
        <v>1072</v>
      </c>
      <c r="H7" t="s">
        <v>982</v>
      </c>
    </row>
    <row r="8" spans="1:8" ht="16.5">
      <c r="A8" t="s">
        <v>6938</v>
      </c>
      <c r="B8" t="s">
        <v>6814</v>
      </c>
      <c r="C8" t="s">
        <v>1067</v>
      </c>
      <c r="D8" t="s">
        <v>2840</v>
      </c>
      <c r="E8" s="138">
        <f>13595.08*F8</f>
        <v>13595.08</v>
      </c>
      <c r="F8" s="170">
        <f>SI!E2/POWER(SI!E3,3)</f>
        <v>1</v>
      </c>
      <c r="G8" t="s">
        <v>1072</v>
      </c>
      <c r="H8" t="s">
        <v>982</v>
      </c>
    </row>
    <row r="9" spans="1:8" ht="16.5">
      <c r="A9" t="s">
        <v>6939</v>
      </c>
      <c r="B9" t="s">
        <v>6815</v>
      </c>
      <c r="C9" t="s">
        <v>1067</v>
      </c>
      <c r="D9" t="s">
        <v>2840</v>
      </c>
      <c r="E9" s="138">
        <f>13556.79*F9</f>
        <v>13556.79</v>
      </c>
      <c r="F9" s="170">
        <f>SI!E2/POWER(SI!E3,3)</f>
        <v>1</v>
      </c>
      <c r="G9" t="s">
        <v>1072</v>
      </c>
      <c r="H9" t="s">
        <v>982</v>
      </c>
    </row>
    <row r="10" spans="1:8" ht="16.8">
      <c r="A10" s="41" t="s">
        <v>6816</v>
      </c>
      <c r="B10" s="41" t="s">
        <v>182</v>
      </c>
      <c r="C10" t="s">
        <v>16</v>
      </c>
      <c r="D10" t="s">
        <v>19</v>
      </c>
      <c r="E10" s="138">
        <f>2.8179403262E-15*F10</f>
        <v>2.8179403262E-15</v>
      </c>
      <c r="F10" s="170">
        <f>SI!E3</f>
        <v>1</v>
      </c>
      <c r="G10" t="s">
        <v>14</v>
      </c>
      <c r="H10" t="s">
        <v>982</v>
      </c>
    </row>
    <row r="11" spans="1:8" ht="17.7">
      <c r="A11" t="s">
        <v>7535</v>
      </c>
      <c r="B11" t="s">
        <v>1063</v>
      </c>
      <c r="C11" t="s">
        <v>1068</v>
      </c>
      <c r="D11" t="s">
        <v>2843</v>
      </c>
      <c r="E11" s="172">
        <f>2.6867774E+25*F11</f>
        <v>2.6867773999999998E+25</v>
      </c>
      <c r="F11" s="170">
        <f>1/POWER(SI!E3,3)</f>
        <v>1</v>
      </c>
      <c r="G11" t="s">
        <v>1073</v>
      </c>
      <c r="H11" t="s">
        <v>982</v>
      </c>
    </row>
    <row r="12" spans="1:8">
      <c r="A12" t="s">
        <v>958</v>
      </c>
      <c r="B12" t="s">
        <v>6948</v>
      </c>
      <c r="C12" t="s">
        <v>72</v>
      </c>
      <c r="D12" t="s">
        <v>2863</v>
      </c>
      <c r="E12" s="174">
        <f>0.000258*F12</f>
        <v>2.5799999999999998E-4</v>
      </c>
      <c r="F12" s="170">
        <f>SI!E7*SI!E4/SI!E2</f>
        <v>1</v>
      </c>
      <c r="G12" t="s">
        <v>1074</v>
      </c>
      <c r="H12" t="s">
        <v>982</v>
      </c>
    </row>
    <row r="13" spans="1:8">
      <c r="A13" t="s">
        <v>1477</v>
      </c>
      <c r="B13" t="s">
        <v>1064</v>
      </c>
      <c r="C13" t="s">
        <v>17</v>
      </c>
      <c r="D13" t="s">
        <v>20</v>
      </c>
      <c r="E13" s="138">
        <f>1.6605390666E-27*F13</f>
        <v>1.6605390666E-27</v>
      </c>
      <c r="F13" s="170">
        <f>SI!E2</f>
        <v>1</v>
      </c>
      <c r="G13" t="s">
        <v>23</v>
      </c>
      <c r="H13" t="s">
        <v>982</v>
      </c>
    </row>
    <row r="14" spans="1:8" ht="16.8">
      <c r="A14" t="s">
        <v>6817</v>
      </c>
      <c r="B14" t="s">
        <v>1065</v>
      </c>
      <c r="C14" t="s">
        <v>17</v>
      </c>
      <c r="D14" t="s">
        <v>20</v>
      </c>
      <c r="E14" s="177">
        <f>1.67262192369E-27*F14</f>
        <v>1.6726219236900001E-27</v>
      </c>
      <c r="F14" s="205">
        <f>SI!E2</f>
        <v>1</v>
      </c>
      <c r="G14" t="s">
        <v>23</v>
      </c>
      <c r="H14" t="s">
        <v>982</v>
      </c>
    </row>
    <row r="15" spans="1:8">
      <c r="A15" s="41" t="s">
        <v>4343</v>
      </c>
      <c r="B15" s="41" t="s">
        <v>2930</v>
      </c>
      <c r="C15" s="41" t="s">
        <v>17</v>
      </c>
      <c r="D15" s="41" t="s">
        <v>20</v>
      </c>
      <c r="E15" s="178">
        <f>1.98847E+30*F15</f>
        <v>1.98847E+30</v>
      </c>
      <c r="F15" s="170">
        <f>SI!E2</f>
        <v>1</v>
      </c>
      <c r="G15" t="s">
        <v>23</v>
      </c>
      <c r="H15" t="s">
        <v>982</v>
      </c>
    </row>
    <row r="16" spans="1:8" ht="16.5">
      <c r="A16" t="s">
        <v>6940</v>
      </c>
      <c r="B16" t="s">
        <v>6818</v>
      </c>
      <c r="C16" t="s">
        <v>1067</v>
      </c>
      <c r="D16" t="s">
        <v>2840</v>
      </c>
      <c r="E16" s="138">
        <f>13537.7*F16</f>
        <v>13537.7</v>
      </c>
      <c r="F16" s="170">
        <f>SI!E2/POWER(SI!E3,3)</f>
        <v>1</v>
      </c>
      <c r="G16" t="s">
        <v>1072</v>
      </c>
      <c r="H16" t="s">
        <v>982</v>
      </c>
    </row>
    <row r="17" spans="1:8" ht="17.7">
      <c r="A17" t="s">
        <v>6819</v>
      </c>
      <c r="B17" s="204" t="s">
        <v>1066</v>
      </c>
      <c r="C17" t="s">
        <v>1067</v>
      </c>
      <c r="D17" t="s">
        <v>2840</v>
      </c>
      <c r="E17" s="186">
        <f>1025*F17</f>
        <v>1025</v>
      </c>
      <c r="F17" s="170">
        <f>SI!E2/POWER(SI!E3,3)</f>
        <v>1</v>
      </c>
      <c r="G17" t="s">
        <v>1072</v>
      </c>
      <c r="H17" t="s">
        <v>982</v>
      </c>
    </row>
    <row r="18" spans="1:8" ht="16.5">
      <c r="A18" t="s">
        <v>6820</v>
      </c>
      <c r="B18" t="s">
        <v>341</v>
      </c>
      <c r="C18" t="s">
        <v>2947</v>
      </c>
      <c r="D18" t="s">
        <v>2946</v>
      </c>
      <c r="E18">
        <f>286*F18</f>
        <v>286</v>
      </c>
      <c r="F18" s="170">
        <f>POWER(SI!E3/SI!E4,2)/SI!E5</f>
        <v>1</v>
      </c>
      <c r="G18" t="s">
        <v>1107</v>
      </c>
      <c r="H18" t="s">
        <v>982</v>
      </c>
    </row>
    <row r="19" spans="1:8" ht="14.7">
      <c r="A19" t="s">
        <v>6821</v>
      </c>
      <c r="B19" s="39" t="s">
        <v>174</v>
      </c>
      <c r="C19" t="s">
        <v>2948</v>
      </c>
      <c r="D19" s="39" t="s">
        <v>2870</v>
      </c>
      <c r="E19">
        <f>1.4*F19</f>
        <v>1.4</v>
      </c>
      <c r="F19" s="170">
        <f>SI!E13</f>
        <v>1</v>
      </c>
      <c r="G19" s="39" t="s">
        <v>2870</v>
      </c>
      <c r="H19" t="s">
        <v>982</v>
      </c>
    </row>
    <row r="20" spans="1:8" ht="14.7">
      <c r="D20" s="39"/>
      <c r="F20" s="170"/>
    </row>
    <row r="21" spans="1:8" ht="16.5">
      <c r="A21" t="s">
        <v>6822</v>
      </c>
      <c r="B21" t="s">
        <v>26</v>
      </c>
      <c r="C21" t="s">
        <v>9</v>
      </c>
      <c r="D21" t="s">
        <v>2856</v>
      </c>
      <c r="E21" s="36">
        <f>1055.87*F21</f>
        <v>1055.8699999999999</v>
      </c>
      <c r="F21" s="205">
        <f>SI!E2*POWER(SI!E3,2)/POWER(SI!E4,2)</f>
        <v>1</v>
      </c>
      <c r="G21" t="s">
        <v>1078</v>
      </c>
      <c r="H21" s="1" t="s">
        <v>117</v>
      </c>
    </row>
    <row r="22" spans="1:8" ht="16.5">
      <c r="A22" s="1" t="s">
        <v>5934</v>
      </c>
      <c r="B22" s="1" t="s">
        <v>5935</v>
      </c>
      <c r="C22" s="1" t="s">
        <v>9</v>
      </c>
      <c r="D22" s="1" t="s">
        <v>2856</v>
      </c>
      <c r="E22" s="258">
        <f>4.1855*F22</f>
        <v>4.1855000000000002</v>
      </c>
      <c r="F22" s="259">
        <f>SI!E2*POWER(SI!E3/SI!E4,2)</f>
        <v>1</v>
      </c>
      <c r="G22" s="1" t="s">
        <v>1101</v>
      </c>
      <c r="H22" s="1" t="s">
        <v>982</v>
      </c>
    </row>
    <row r="23" spans="1:8" ht="16.5">
      <c r="A23" s="1" t="s">
        <v>5940</v>
      </c>
      <c r="B23" s="1" t="s">
        <v>5936</v>
      </c>
      <c r="C23" s="1" t="s">
        <v>9</v>
      </c>
      <c r="D23" s="1" t="s">
        <v>2856</v>
      </c>
      <c r="E23" s="262">
        <f>4.19002*F23</f>
        <v>4.1900199999999996</v>
      </c>
      <c r="F23" s="259">
        <f>SI!E2*POWER(SI!E3/SI!E4,2)</f>
        <v>1</v>
      </c>
      <c r="G23" s="1" t="s">
        <v>1101</v>
      </c>
      <c r="H23" s="1" t="s">
        <v>982</v>
      </c>
    </row>
    <row r="24" spans="1:8" ht="16.5">
      <c r="A24" s="1" t="s">
        <v>5941</v>
      </c>
      <c r="B24" s="1" t="s">
        <v>5937</v>
      </c>
      <c r="C24" s="1" t="s">
        <v>9</v>
      </c>
      <c r="D24" s="1" t="s">
        <v>2856</v>
      </c>
      <c r="E24" s="262">
        <f>4.2045*F24</f>
        <v>4.2045000000000003</v>
      </c>
      <c r="F24" s="259">
        <f>SI!E2*POWER(SI!E3/SI!E4,2)</f>
        <v>1</v>
      </c>
      <c r="G24" s="1" t="s">
        <v>1101</v>
      </c>
      <c r="H24" s="1" t="s">
        <v>982</v>
      </c>
    </row>
    <row r="25" spans="1:8" ht="16.5">
      <c r="A25" s="1" t="s">
        <v>5943</v>
      </c>
      <c r="B25" s="1" t="s">
        <v>2831</v>
      </c>
      <c r="C25" s="1" t="s">
        <v>9</v>
      </c>
      <c r="D25" s="1" t="s">
        <v>2856</v>
      </c>
      <c r="E25" s="262">
        <f>4.19002*F25</f>
        <v>4.1900199999999996</v>
      </c>
      <c r="F25" s="259">
        <f>SI!E2*POWER(SI!E3/SI!E4,2)</f>
        <v>1</v>
      </c>
      <c r="G25" s="1" t="s">
        <v>1101</v>
      </c>
      <c r="H25" s="1" t="s">
        <v>982</v>
      </c>
    </row>
    <row r="26" spans="1:8" ht="16.5">
      <c r="A26" t="s">
        <v>6941</v>
      </c>
      <c r="B26" t="s">
        <v>6823</v>
      </c>
      <c r="C26" t="s">
        <v>1067</v>
      </c>
      <c r="D26" t="s">
        <v>2840</v>
      </c>
      <c r="E26" s="138">
        <f>13600*F26</f>
        <v>13600</v>
      </c>
      <c r="F26" s="170">
        <f>SI!E2/POWER(SI!E3,3)</f>
        <v>1</v>
      </c>
      <c r="G26" t="s">
        <v>1072</v>
      </c>
      <c r="H26" t="s">
        <v>982</v>
      </c>
    </row>
  </sheetData>
  <phoneticPr fontId="24" type="noConversion"/>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697B3-07FB-491E-8D38-B61B28E8E18E}">
  <sheetPr codeName="Sheet2">
    <tabColor theme="9" tint="-0.249977111117893"/>
  </sheetPr>
  <dimension ref="A1:H16"/>
  <sheetViews>
    <sheetView workbookViewId="0">
      <selection activeCell="B23" sqref="B23"/>
    </sheetView>
  </sheetViews>
  <sheetFormatPr defaultRowHeight="14.4"/>
  <cols>
    <col min="1" max="3" width="22.68359375" customWidth="1"/>
    <col min="4" max="4" width="20.578125" customWidth="1"/>
    <col min="5" max="5" width="22.9453125" customWidth="1"/>
    <col min="6" max="6" width="20.9453125" customWidth="1"/>
    <col min="7" max="7" width="11.62890625" customWidth="1"/>
  </cols>
  <sheetData>
    <row r="1" spans="1:8" ht="14.7" thickBot="1">
      <c r="A1" s="38" t="s">
        <v>624</v>
      </c>
      <c r="B1" s="38" t="s">
        <v>1</v>
      </c>
      <c r="C1" s="38" t="s">
        <v>2</v>
      </c>
      <c r="D1" s="38" t="s">
        <v>3</v>
      </c>
      <c r="E1" s="169" t="s">
        <v>692</v>
      </c>
      <c r="F1" s="169" t="s">
        <v>937</v>
      </c>
      <c r="G1" s="169" t="s">
        <v>0</v>
      </c>
      <c r="H1" s="169" t="s">
        <v>5</v>
      </c>
    </row>
    <row r="2" spans="1:8">
      <c r="A2" t="s">
        <v>262</v>
      </c>
      <c r="B2" t="s">
        <v>23</v>
      </c>
      <c r="C2" t="s">
        <v>484</v>
      </c>
      <c r="D2" t="s">
        <v>20</v>
      </c>
      <c r="E2" s="170">
        <v>1</v>
      </c>
      <c r="F2" s="170">
        <v>1</v>
      </c>
      <c r="G2" t="s">
        <v>23</v>
      </c>
      <c r="H2" t="s">
        <v>42</v>
      </c>
    </row>
    <row r="3" spans="1:8">
      <c r="A3" t="s">
        <v>1977</v>
      </c>
      <c r="B3" t="s">
        <v>14</v>
      </c>
      <c r="C3" t="s">
        <v>625</v>
      </c>
      <c r="D3" t="s">
        <v>19</v>
      </c>
      <c r="E3" s="170">
        <v>1</v>
      </c>
      <c r="F3" s="170">
        <v>1</v>
      </c>
      <c r="G3" t="s">
        <v>14</v>
      </c>
      <c r="H3" t="s">
        <v>42</v>
      </c>
    </row>
    <row r="4" spans="1:8">
      <c r="A4" t="s">
        <v>372</v>
      </c>
      <c r="B4" t="s">
        <v>22</v>
      </c>
      <c r="C4" t="s">
        <v>626</v>
      </c>
      <c r="D4" t="s">
        <v>21</v>
      </c>
      <c r="E4" s="170">
        <v>1</v>
      </c>
      <c r="F4" s="170">
        <v>1</v>
      </c>
      <c r="G4" t="s">
        <v>22</v>
      </c>
      <c r="H4" t="s">
        <v>42</v>
      </c>
    </row>
    <row r="5" spans="1:8" ht="14.7">
      <c r="A5" t="s">
        <v>260</v>
      </c>
      <c r="B5" t="s">
        <v>247</v>
      </c>
      <c r="C5" t="s">
        <v>627</v>
      </c>
      <c r="D5" s="39" t="s">
        <v>123</v>
      </c>
      <c r="E5" s="170">
        <v>1</v>
      </c>
      <c r="F5" s="170">
        <v>1</v>
      </c>
      <c r="G5" t="s">
        <v>247</v>
      </c>
      <c r="H5" t="s">
        <v>42</v>
      </c>
    </row>
    <row r="6" spans="1:8">
      <c r="A6" t="s">
        <v>300</v>
      </c>
      <c r="B6" t="s">
        <v>301</v>
      </c>
      <c r="C6" t="s">
        <v>628</v>
      </c>
      <c r="D6" t="s">
        <v>24</v>
      </c>
      <c r="E6" s="170">
        <v>1</v>
      </c>
      <c r="F6" s="170">
        <v>1</v>
      </c>
      <c r="G6" t="s">
        <v>301</v>
      </c>
      <c r="H6" t="s">
        <v>42</v>
      </c>
    </row>
    <row r="7" spans="1:8">
      <c r="A7" t="s">
        <v>53</v>
      </c>
      <c r="B7" t="s">
        <v>13</v>
      </c>
      <c r="C7" t="s">
        <v>629</v>
      </c>
      <c r="D7" t="s">
        <v>10</v>
      </c>
      <c r="E7" s="170">
        <v>1</v>
      </c>
      <c r="F7" s="170">
        <v>1</v>
      </c>
      <c r="G7" t="s">
        <v>13</v>
      </c>
      <c r="H7" t="s">
        <v>42</v>
      </c>
    </row>
    <row r="8" spans="1:8">
      <c r="A8" t="s">
        <v>110</v>
      </c>
      <c r="B8" t="s">
        <v>104</v>
      </c>
      <c r="C8" t="s">
        <v>630</v>
      </c>
      <c r="D8" t="s">
        <v>15</v>
      </c>
      <c r="E8" s="170">
        <v>1</v>
      </c>
      <c r="F8" s="170">
        <v>1</v>
      </c>
      <c r="G8" t="s">
        <v>104</v>
      </c>
      <c r="H8" t="s">
        <v>42</v>
      </c>
    </row>
    <row r="10" spans="1:8" ht="14.7">
      <c r="A10" t="s">
        <v>356</v>
      </c>
      <c r="B10" t="s">
        <v>133</v>
      </c>
      <c r="C10" t="s">
        <v>631</v>
      </c>
      <c r="D10" s="39" t="s">
        <v>62</v>
      </c>
      <c r="E10" s="170">
        <v>1</v>
      </c>
      <c r="F10" s="170">
        <v>1</v>
      </c>
      <c r="G10" t="s">
        <v>133</v>
      </c>
      <c r="H10" t="s">
        <v>42</v>
      </c>
    </row>
    <row r="11" spans="1:8" ht="14.7">
      <c r="A11" t="s">
        <v>395</v>
      </c>
      <c r="B11" t="s">
        <v>391</v>
      </c>
      <c r="C11" t="s">
        <v>632</v>
      </c>
      <c r="D11" s="39" t="s">
        <v>315</v>
      </c>
      <c r="E11" s="170">
        <v>1</v>
      </c>
      <c r="F11" s="170">
        <v>1</v>
      </c>
      <c r="G11" t="s">
        <v>391</v>
      </c>
      <c r="H11" t="s">
        <v>42</v>
      </c>
    </row>
    <row r="13" spans="1:8" ht="14.7">
      <c r="A13" t="s">
        <v>116</v>
      </c>
      <c r="B13" t="s">
        <v>115</v>
      </c>
      <c r="C13" t="s">
        <v>504</v>
      </c>
      <c r="D13" s="39" t="s">
        <v>2870</v>
      </c>
      <c r="E13" s="170">
        <v>1</v>
      </c>
      <c r="F13" s="170">
        <v>1</v>
      </c>
      <c r="G13" t="s">
        <v>115</v>
      </c>
      <c r="H13" t="s">
        <v>42</v>
      </c>
    </row>
    <row r="14" spans="1:8">
      <c r="A14" t="s">
        <v>694</v>
      </c>
      <c r="B14" t="s">
        <v>80</v>
      </c>
      <c r="C14" t="s">
        <v>2952</v>
      </c>
      <c r="D14" t="s">
        <v>91</v>
      </c>
      <c r="E14" s="170">
        <v>1</v>
      </c>
      <c r="F14" s="170">
        <v>1</v>
      </c>
      <c r="G14" t="s">
        <v>91</v>
      </c>
      <c r="H14" t="s">
        <v>42</v>
      </c>
    </row>
    <row r="15" spans="1:8">
      <c r="A15" t="s">
        <v>333</v>
      </c>
      <c r="B15" t="s">
        <v>7093</v>
      </c>
      <c r="C15" t="s">
        <v>333</v>
      </c>
      <c r="D15" t="s">
        <v>339</v>
      </c>
      <c r="E15" s="170">
        <v>1</v>
      </c>
      <c r="F15" s="170">
        <v>1</v>
      </c>
      <c r="G15" t="s">
        <v>339</v>
      </c>
      <c r="H15" t="s">
        <v>42</v>
      </c>
    </row>
    <row r="16" spans="1:8">
      <c r="A16" t="s">
        <v>617</v>
      </c>
      <c r="B16" t="s">
        <v>7094</v>
      </c>
      <c r="C16" t="s">
        <v>617</v>
      </c>
      <c r="D16" t="s">
        <v>2953</v>
      </c>
      <c r="E16" s="170">
        <v>1</v>
      </c>
      <c r="F16" s="170">
        <v>1</v>
      </c>
      <c r="G16" t="s">
        <v>2953</v>
      </c>
      <c r="H16" t="s">
        <v>42</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8B5E5-87DB-490F-B0B2-EAAF8D84F362}">
  <sheetPr codeName="Sheet33">
    <tabColor theme="9" tint="-0.249977111117893"/>
  </sheetPr>
  <dimension ref="A1:H11"/>
  <sheetViews>
    <sheetView workbookViewId="0">
      <selection activeCell="D1" sqref="D1"/>
    </sheetView>
  </sheetViews>
  <sheetFormatPr defaultRowHeight="14.4"/>
  <cols>
    <col min="1" max="1" width="18.3125" customWidth="1"/>
    <col min="2" max="2" width="16.734375" customWidth="1"/>
    <col min="3" max="3" width="15.15625" customWidth="1"/>
    <col min="4" max="4" width="20.1015625" customWidth="1"/>
    <col min="5" max="5" width="20.05078125" customWidth="1"/>
    <col min="6" max="6" width="22.9453125" customWidth="1"/>
    <col min="7" max="7" width="11.1015625" customWidth="1"/>
    <col min="8" max="8" width="10.15625" customWidth="1"/>
  </cols>
  <sheetData>
    <row r="1" spans="1:8">
      <c r="A1" s="202" t="s">
        <v>938</v>
      </c>
      <c r="B1" s="202" t="s">
        <v>1</v>
      </c>
      <c r="C1" s="202" t="s">
        <v>2</v>
      </c>
      <c r="D1" s="202" t="s">
        <v>3</v>
      </c>
      <c r="E1" s="202" t="s">
        <v>692</v>
      </c>
      <c r="F1" s="202" t="s">
        <v>937</v>
      </c>
      <c r="G1" s="202" t="s">
        <v>799</v>
      </c>
      <c r="H1" s="202" t="s">
        <v>5</v>
      </c>
    </row>
    <row r="2" spans="1:8">
      <c r="A2" t="s">
        <v>6824</v>
      </c>
      <c r="B2" t="s">
        <v>62</v>
      </c>
      <c r="C2" t="s">
        <v>3033</v>
      </c>
      <c r="D2" t="s">
        <v>19</v>
      </c>
      <c r="E2" s="170">
        <v>6378137</v>
      </c>
      <c r="F2" s="170">
        <f>SI!E3</f>
        <v>1</v>
      </c>
      <c r="G2" t="s">
        <v>14</v>
      </c>
      <c r="H2" t="s">
        <v>4319</v>
      </c>
    </row>
    <row r="3" spans="1:8">
      <c r="A3" t="s">
        <v>6825</v>
      </c>
      <c r="B3" t="s">
        <v>4320</v>
      </c>
      <c r="C3" t="s">
        <v>116</v>
      </c>
      <c r="D3" s="4" t="s">
        <v>2870</v>
      </c>
      <c r="E3" s="170">
        <v>298.25722356300003</v>
      </c>
      <c r="F3" s="170">
        <f>SI!E13</f>
        <v>1</v>
      </c>
      <c r="G3" s="4" t="s">
        <v>2870</v>
      </c>
      <c r="H3" t="s">
        <v>4319</v>
      </c>
    </row>
    <row r="4" spans="1:8">
      <c r="A4" t="s">
        <v>4321</v>
      </c>
      <c r="B4" t="s">
        <v>209</v>
      </c>
      <c r="C4" t="s">
        <v>116</v>
      </c>
      <c r="D4" s="4" t="s">
        <v>2870</v>
      </c>
      <c r="E4" s="170">
        <f>1/E3</f>
        <v>3.3528106647474805E-3</v>
      </c>
      <c r="F4" s="170">
        <f>SI!E13</f>
        <v>1</v>
      </c>
      <c r="G4" s="4" t="s">
        <v>2870</v>
      </c>
      <c r="H4" t="s">
        <v>4319</v>
      </c>
    </row>
    <row r="5" spans="1:8" ht="14.7">
      <c r="A5" t="s">
        <v>6826</v>
      </c>
      <c r="B5" t="s">
        <v>422</v>
      </c>
      <c r="C5" t="s">
        <v>4322</v>
      </c>
      <c r="D5" s="204" t="s">
        <v>2899</v>
      </c>
      <c r="E5" s="170">
        <v>7.2921099999999995E-5</v>
      </c>
      <c r="F5" s="170">
        <f>SI!E10/SI!E4</f>
        <v>1</v>
      </c>
      <c r="G5" t="s">
        <v>1123</v>
      </c>
      <c r="H5" t="s">
        <v>4319</v>
      </c>
    </row>
    <row r="6" spans="1:8">
      <c r="A6" t="s">
        <v>6827</v>
      </c>
      <c r="B6" t="s">
        <v>80</v>
      </c>
      <c r="C6" t="s">
        <v>3033</v>
      </c>
      <c r="D6" t="s">
        <v>19</v>
      </c>
      <c r="E6" s="170">
        <f>E2*(1-E4)</f>
        <v>6356752.3142451793</v>
      </c>
      <c r="F6" s="170">
        <f>SI!E3</f>
        <v>1</v>
      </c>
      <c r="G6" t="s">
        <v>14</v>
      </c>
      <c r="H6" t="s">
        <v>4319</v>
      </c>
    </row>
    <row r="7" spans="1:8" ht="16.5">
      <c r="A7" t="s">
        <v>6828</v>
      </c>
      <c r="B7" t="s">
        <v>4323</v>
      </c>
      <c r="C7" t="s">
        <v>116</v>
      </c>
      <c r="D7" s="4" t="s">
        <v>2870</v>
      </c>
      <c r="E7" s="170">
        <f>1-(1-E4)*(1-E4)</f>
        <v>6.6943799901413303E-3</v>
      </c>
      <c r="F7" s="170">
        <f>SI!E13</f>
        <v>1</v>
      </c>
      <c r="G7" s="4" t="s">
        <v>2870</v>
      </c>
      <c r="H7" t="s">
        <v>4319</v>
      </c>
    </row>
    <row r="8" spans="1:8">
      <c r="A8" t="s">
        <v>4324</v>
      </c>
      <c r="B8" t="s">
        <v>972</v>
      </c>
      <c r="C8" t="s">
        <v>116</v>
      </c>
      <c r="D8" s="4" t="s">
        <v>2870</v>
      </c>
      <c r="E8" s="170">
        <f>SQRT(E7)</f>
        <v>8.181919084262157E-2</v>
      </c>
      <c r="F8" s="170">
        <f>SI!E13</f>
        <v>1</v>
      </c>
      <c r="G8" s="4" t="s">
        <v>2870</v>
      </c>
      <c r="H8" t="s">
        <v>4319</v>
      </c>
    </row>
    <row r="9" spans="1:8" ht="16.8">
      <c r="A9" t="s">
        <v>6829</v>
      </c>
      <c r="B9" t="s">
        <v>4325</v>
      </c>
      <c r="C9" t="s">
        <v>121</v>
      </c>
      <c r="D9" s="1" t="s">
        <v>2841</v>
      </c>
      <c r="E9" s="170">
        <v>9.7803253359000006</v>
      </c>
      <c r="F9" s="170">
        <f>SI!E3/POWER(SI!E4,2)</f>
        <v>1</v>
      </c>
      <c r="G9" s="1" t="s">
        <v>1077</v>
      </c>
      <c r="H9" t="s">
        <v>4319</v>
      </c>
    </row>
    <row r="10" spans="1:8" ht="16.8">
      <c r="A10" t="s">
        <v>6830</v>
      </c>
      <c r="B10" t="s">
        <v>4326</v>
      </c>
      <c r="C10" t="s">
        <v>121</v>
      </c>
      <c r="D10" s="1" t="s">
        <v>2841</v>
      </c>
      <c r="E10" s="170">
        <v>9.8321849377999992</v>
      </c>
      <c r="F10" s="170">
        <f>SI!E3/POWER(SI!E4,2)</f>
        <v>1</v>
      </c>
      <c r="G10" s="1" t="s">
        <v>1077</v>
      </c>
      <c r="H10" t="s">
        <v>4319</v>
      </c>
    </row>
    <row r="11" spans="1:8" ht="16.8">
      <c r="A11" t="s">
        <v>6831</v>
      </c>
      <c r="B11" t="s">
        <v>4327</v>
      </c>
      <c r="C11" t="s">
        <v>116</v>
      </c>
      <c r="D11" s="4" t="s">
        <v>2870</v>
      </c>
      <c r="E11" s="170">
        <f>(E6*E10-E2*E9)/(E2*E9)</f>
        <v>1.9318526463960384E-3</v>
      </c>
      <c r="F11" s="170">
        <f>SI!E13</f>
        <v>1</v>
      </c>
      <c r="G11" s="4" t="s">
        <v>2870</v>
      </c>
      <c r="H11" t="s">
        <v>4319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F3DA6-7C87-4EEC-B2D8-628C78062CFA}">
  <sheetPr codeName="Sheet5">
    <tabColor rgb="FF7030A0"/>
  </sheetPr>
  <dimension ref="A1:D13"/>
  <sheetViews>
    <sheetView workbookViewId="0">
      <selection activeCell="D10" sqref="D10"/>
    </sheetView>
  </sheetViews>
  <sheetFormatPr defaultRowHeight="14.4"/>
  <cols>
    <col min="2" max="2" width="16.7890625" bestFit="1" customWidth="1"/>
    <col min="3" max="3" width="20.9453125" customWidth="1"/>
    <col min="4" max="4" width="35.05078125" customWidth="1"/>
  </cols>
  <sheetData>
    <row r="1" spans="1:4">
      <c r="A1" s="202" t="s">
        <v>624</v>
      </c>
      <c r="B1" s="202" t="s">
        <v>234</v>
      </c>
      <c r="C1" s="202" t="s">
        <v>224</v>
      </c>
    </row>
    <row r="2" spans="1:4">
      <c r="A2" t="s">
        <v>96</v>
      </c>
      <c r="B2">
        <v>1</v>
      </c>
      <c r="C2">
        <f>1/8</f>
        <v>0.125</v>
      </c>
    </row>
    <row r="3" spans="1:4">
      <c r="A3" t="s">
        <v>693</v>
      </c>
      <c r="B3">
        <v>4</v>
      </c>
      <c r="C3">
        <f>1/2</f>
        <v>0.5</v>
      </c>
    </row>
    <row r="4" spans="1:4">
      <c r="A4" t="s">
        <v>694</v>
      </c>
      <c r="B4">
        <v>8</v>
      </c>
      <c r="C4">
        <v>1</v>
      </c>
    </row>
    <row r="5" spans="1:4">
      <c r="A5" t="s">
        <v>695</v>
      </c>
      <c r="B5">
        <f>8*C5</f>
        <v>8192</v>
      </c>
      <c r="C5">
        <v>1024</v>
      </c>
    </row>
    <row r="6" spans="1:4">
      <c r="A6" t="s">
        <v>696</v>
      </c>
      <c r="B6">
        <f>8*C6</f>
        <v>8388608</v>
      </c>
      <c r="C6">
        <f>1024*C5</f>
        <v>1048576</v>
      </c>
    </row>
    <row r="7" spans="1:4">
      <c r="A7" t="s">
        <v>223</v>
      </c>
      <c r="B7" s="42">
        <f>8*C7</f>
        <v>8589934592</v>
      </c>
      <c r="C7">
        <f>1024*C6</f>
        <v>1073741824</v>
      </c>
    </row>
    <row r="8" spans="1:4">
      <c r="A8" t="s">
        <v>697</v>
      </c>
      <c r="B8" s="42">
        <f>8*C8</f>
        <v>8796093022208</v>
      </c>
      <c r="C8" s="42">
        <f>1024*C7</f>
        <v>1099511627776</v>
      </c>
      <c r="D8" s="42"/>
    </row>
    <row r="9" spans="1:4">
      <c r="A9" t="s">
        <v>698</v>
      </c>
      <c r="B9" s="42"/>
      <c r="C9" s="42"/>
      <c r="D9" s="42"/>
    </row>
    <row r="10" spans="1:4">
      <c r="A10" t="s">
        <v>699</v>
      </c>
      <c r="C10" s="42"/>
      <c r="D10" s="42"/>
    </row>
    <row r="11" spans="1:4">
      <c r="A11" t="s">
        <v>700</v>
      </c>
      <c r="D11" s="42"/>
    </row>
    <row r="12" spans="1:4">
      <c r="A12" t="s">
        <v>701</v>
      </c>
      <c r="D12" s="42"/>
    </row>
    <row r="13" spans="1:4">
      <c r="D13" s="42"/>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11078-0D83-4203-9B27-D4C2B713F398}">
  <sheetPr codeName="Sheet4">
    <tabColor rgb="FF7030A0"/>
  </sheetPr>
  <dimension ref="A1:D21"/>
  <sheetViews>
    <sheetView workbookViewId="0">
      <selection activeCell="F27" sqref="F27"/>
    </sheetView>
  </sheetViews>
  <sheetFormatPr defaultRowHeight="14.4"/>
  <sheetData>
    <row r="1" spans="1:4" ht="14.7" thickBot="1">
      <c r="A1" s="38" t="s">
        <v>642</v>
      </c>
      <c r="B1" s="38" t="s">
        <v>1</v>
      </c>
      <c r="C1" s="38" t="s">
        <v>643</v>
      </c>
      <c r="D1" s="38" t="s">
        <v>692</v>
      </c>
    </row>
    <row r="2" spans="1:4" ht="16.5">
      <c r="A2" t="s">
        <v>644</v>
      </c>
      <c r="B2" t="s">
        <v>654</v>
      </c>
      <c r="C2" s="40" t="s">
        <v>672</v>
      </c>
      <c r="D2" s="41">
        <v>9.9999999999999998E+23</v>
      </c>
    </row>
    <row r="3" spans="1:4" ht="16.5">
      <c r="A3" t="s">
        <v>645</v>
      </c>
      <c r="B3" t="s">
        <v>655</v>
      </c>
      <c r="C3" s="40" t="s">
        <v>673</v>
      </c>
      <c r="D3" s="41">
        <v>1E+21</v>
      </c>
    </row>
    <row r="4" spans="1:4" ht="16.5">
      <c r="A4" t="s">
        <v>646</v>
      </c>
      <c r="B4" t="s">
        <v>623</v>
      </c>
      <c r="C4" s="40" t="s">
        <v>674</v>
      </c>
      <c r="D4" s="41">
        <v>1E+18</v>
      </c>
    </row>
    <row r="5" spans="1:4" ht="16.5">
      <c r="A5" t="s">
        <v>647</v>
      </c>
      <c r="B5" t="s">
        <v>656</v>
      </c>
      <c r="C5" s="40" t="s">
        <v>675</v>
      </c>
      <c r="D5" s="41">
        <v>1000000000000000</v>
      </c>
    </row>
    <row r="6" spans="1:4" ht="16.5">
      <c r="A6" t="s">
        <v>648</v>
      </c>
      <c r="B6" t="s">
        <v>21</v>
      </c>
      <c r="C6" s="40" t="s">
        <v>676</v>
      </c>
      <c r="D6" s="41">
        <v>1000000000000</v>
      </c>
    </row>
    <row r="7" spans="1:4" ht="16.5">
      <c r="A7" t="s">
        <v>649</v>
      </c>
      <c r="B7" t="s">
        <v>657</v>
      </c>
      <c r="C7" s="40" t="s">
        <v>677</v>
      </c>
      <c r="D7" s="41">
        <v>1000000000</v>
      </c>
    </row>
    <row r="8" spans="1:4" ht="16.5">
      <c r="A8" t="s">
        <v>650</v>
      </c>
      <c r="B8" t="s">
        <v>20</v>
      </c>
      <c r="C8" s="40" t="s">
        <v>678</v>
      </c>
      <c r="D8" s="41">
        <v>1000000</v>
      </c>
    </row>
    <row r="9" spans="1:4" ht="16.5">
      <c r="A9" t="s">
        <v>651</v>
      </c>
      <c r="B9" t="s">
        <v>658</v>
      </c>
      <c r="C9" s="40" t="s">
        <v>679</v>
      </c>
      <c r="D9" s="41">
        <v>1000</v>
      </c>
    </row>
    <row r="10" spans="1:4" ht="16.5">
      <c r="A10" t="s">
        <v>652</v>
      </c>
      <c r="B10" t="s">
        <v>242</v>
      </c>
      <c r="C10" s="40" t="s">
        <v>680</v>
      </c>
      <c r="D10" s="41">
        <v>100</v>
      </c>
    </row>
    <row r="11" spans="1:4">
      <c r="A11" t="s">
        <v>653</v>
      </c>
      <c r="B11" t="s">
        <v>659</v>
      </c>
      <c r="C11" s="40" t="s">
        <v>681</v>
      </c>
      <c r="D11" s="41">
        <v>10</v>
      </c>
    </row>
    <row r="12" spans="1:4" ht="16.5">
      <c r="A12" t="s">
        <v>660</v>
      </c>
      <c r="B12" t="s">
        <v>160</v>
      </c>
      <c r="C12" s="40" t="s">
        <v>685</v>
      </c>
      <c r="D12" s="41">
        <v>0.1</v>
      </c>
    </row>
    <row r="13" spans="1:4" ht="16.5">
      <c r="A13" t="s">
        <v>661</v>
      </c>
      <c r="B13" t="s">
        <v>111</v>
      </c>
      <c r="C13" s="40" t="s">
        <v>682</v>
      </c>
      <c r="D13" s="41">
        <v>0.01</v>
      </c>
    </row>
    <row r="14" spans="1:4" ht="16.5">
      <c r="A14" t="s">
        <v>662</v>
      </c>
      <c r="B14" t="s">
        <v>14</v>
      </c>
      <c r="C14" s="40" t="s">
        <v>683</v>
      </c>
      <c r="D14" s="41">
        <v>1E-3</v>
      </c>
    </row>
    <row r="15" spans="1:4" ht="16.5">
      <c r="A15" t="s">
        <v>663</v>
      </c>
      <c r="B15" s="39" t="s">
        <v>14</v>
      </c>
      <c r="C15" s="40" t="s">
        <v>684</v>
      </c>
      <c r="D15" s="41">
        <v>9.9999999999999995E-7</v>
      </c>
    </row>
    <row r="16" spans="1:4" ht="16.5">
      <c r="A16" t="s">
        <v>664</v>
      </c>
      <c r="B16" t="s">
        <v>671</v>
      </c>
      <c r="C16" s="40" t="s">
        <v>686</v>
      </c>
      <c r="D16" s="41">
        <v>1.0000000000000001E-9</v>
      </c>
    </row>
    <row r="17" spans="1:4" ht="16.5">
      <c r="A17" t="s">
        <v>665</v>
      </c>
      <c r="B17" t="s">
        <v>339</v>
      </c>
      <c r="C17" s="40" t="s">
        <v>687</v>
      </c>
      <c r="D17" s="41">
        <v>9.9999999999999998E-13</v>
      </c>
    </row>
    <row r="18" spans="1:4" ht="16.5">
      <c r="A18" t="s">
        <v>666</v>
      </c>
      <c r="B18" t="s">
        <v>209</v>
      </c>
      <c r="C18" s="40" t="s">
        <v>688</v>
      </c>
      <c r="D18" s="41">
        <v>1.0000000000000001E-15</v>
      </c>
    </row>
    <row r="19" spans="1:4" ht="16.5">
      <c r="A19" t="s">
        <v>667</v>
      </c>
      <c r="B19" t="s">
        <v>62</v>
      </c>
      <c r="C19" s="40" t="s">
        <v>689</v>
      </c>
      <c r="D19" s="41">
        <v>1.0000000000000001E-18</v>
      </c>
    </row>
    <row r="20" spans="1:4" ht="16.5">
      <c r="A20" t="s">
        <v>668</v>
      </c>
      <c r="B20" t="s">
        <v>585</v>
      </c>
      <c r="C20" s="40" t="s">
        <v>690</v>
      </c>
      <c r="D20" s="41">
        <v>9.9999999999999991E-22</v>
      </c>
    </row>
    <row r="21" spans="1:4" ht="16.5">
      <c r="A21" t="s">
        <v>669</v>
      </c>
      <c r="B21" t="s">
        <v>670</v>
      </c>
      <c r="C21" s="40" t="s">
        <v>691</v>
      </c>
      <c r="D21" s="41">
        <v>9.9999999999999992E-25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DC57F-1186-40ED-A6C7-830F2C3215CD}">
  <sheetPr codeName="Sheet10">
    <tabColor theme="5" tint="-0.249977111117893"/>
  </sheetPr>
  <dimension ref="A1:D92"/>
  <sheetViews>
    <sheetView topLeftCell="A79" workbookViewId="0">
      <selection activeCell="O82" sqref="O82"/>
    </sheetView>
  </sheetViews>
  <sheetFormatPr defaultRowHeight="14.4"/>
  <cols>
    <col min="1" max="1" width="26" customWidth="1"/>
    <col min="2" max="2" width="19.1015625" customWidth="1"/>
    <col min="3" max="3" width="22.15625" customWidth="1"/>
    <col min="4" max="4" width="15.9453125" customWidth="1"/>
  </cols>
  <sheetData>
    <row r="1" spans="1:4">
      <c r="A1" s="275" t="s">
        <v>11</v>
      </c>
      <c r="B1" s="275" t="s">
        <v>7419</v>
      </c>
      <c r="C1" s="275" t="s">
        <v>708</v>
      </c>
      <c r="D1" s="275" t="s">
        <v>7420</v>
      </c>
    </row>
    <row r="2" spans="1:4" ht="14.7">
      <c r="A2" t="s">
        <v>7361</v>
      </c>
      <c r="B2" s="39" t="s">
        <v>62</v>
      </c>
      <c r="C2" t="s">
        <v>133</v>
      </c>
      <c r="D2" t="s">
        <v>983</v>
      </c>
    </row>
    <row r="3" spans="1:4" ht="14.7">
      <c r="A3" t="s">
        <v>7362</v>
      </c>
      <c r="B3" s="39" t="s">
        <v>315</v>
      </c>
      <c r="C3" t="s">
        <v>391</v>
      </c>
      <c r="D3" t="s">
        <v>983</v>
      </c>
    </row>
    <row r="4" spans="1:4" ht="14.7">
      <c r="A4" t="s">
        <v>7363</v>
      </c>
      <c r="B4" s="204" t="s">
        <v>2899</v>
      </c>
      <c r="C4" t="s">
        <v>1123</v>
      </c>
      <c r="D4" t="s">
        <v>983</v>
      </c>
    </row>
    <row r="5" spans="1:4" ht="16.5">
      <c r="A5" t="s">
        <v>4301</v>
      </c>
      <c r="B5" s="204" t="s">
        <v>2921</v>
      </c>
      <c r="C5" t="s">
        <v>1141</v>
      </c>
      <c r="D5" t="s">
        <v>983</v>
      </c>
    </row>
    <row r="6" spans="1:4">
      <c r="A6" t="s">
        <v>7364</v>
      </c>
      <c r="B6" t="s">
        <v>694</v>
      </c>
      <c r="C6" t="s">
        <v>694</v>
      </c>
      <c r="D6" t="s">
        <v>562</v>
      </c>
    </row>
    <row r="7" spans="1:4">
      <c r="A7" t="s">
        <v>4304</v>
      </c>
      <c r="B7" t="s">
        <v>333</v>
      </c>
      <c r="C7" t="s">
        <v>333</v>
      </c>
      <c r="D7" t="s">
        <v>562</v>
      </c>
    </row>
    <row r="8" spans="1:4">
      <c r="A8" t="s">
        <v>617</v>
      </c>
      <c r="B8" t="s">
        <v>617</v>
      </c>
      <c r="C8" t="s">
        <v>617</v>
      </c>
      <c r="D8" t="s">
        <v>562</v>
      </c>
    </row>
    <row r="9" spans="1:4" ht="14.7">
      <c r="A9" t="s">
        <v>504</v>
      </c>
      <c r="B9" s="39" t="s">
        <v>2870</v>
      </c>
      <c r="C9" s="39" t="s">
        <v>2870</v>
      </c>
      <c r="D9" t="s">
        <v>7095</v>
      </c>
    </row>
    <row r="10" spans="1:4">
      <c r="A10" t="s">
        <v>4296</v>
      </c>
      <c r="B10" t="s">
        <v>2884</v>
      </c>
      <c r="C10" t="s">
        <v>1075</v>
      </c>
      <c r="D10" t="s">
        <v>7365</v>
      </c>
    </row>
    <row r="11" spans="1:4" ht="16.5">
      <c r="A11" t="s">
        <v>4297</v>
      </c>
      <c r="B11" t="s">
        <v>2903</v>
      </c>
      <c r="C11" t="s">
        <v>1103</v>
      </c>
      <c r="D11" t="s">
        <v>7365</v>
      </c>
    </row>
    <row r="12" spans="1:4" ht="16.5">
      <c r="A12" t="s">
        <v>1068</v>
      </c>
      <c r="B12" t="s">
        <v>2840</v>
      </c>
      <c r="C12" t="s">
        <v>1072</v>
      </c>
      <c r="D12" t="s">
        <v>7365</v>
      </c>
    </row>
    <row r="13" spans="1:4">
      <c r="A13" t="s">
        <v>7366</v>
      </c>
      <c r="B13" t="s">
        <v>10</v>
      </c>
      <c r="C13" t="s">
        <v>13</v>
      </c>
      <c r="D13" t="s">
        <v>7367</v>
      </c>
    </row>
    <row r="14" spans="1:4">
      <c r="A14" t="s">
        <v>1172</v>
      </c>
      <c r="B14" t="s">
        <v>2866</v>
      </c>
      <c r="C14" t="s">
        <v>189</v>
      </c>
      <c r="D14" t="s">
        <v>7367</v>
      </c>
    </row>
    <row r="15" spans="1:4">
      <c r="A15" s="1" t="s">
        <v>4279</v>
      </c>
      <c r="B15" s="1" t="s">
        <v>2887</v>
      </c>
      <c r="C15" s="1" t="s">
        <v>1095</v>
      </c>
      <c r="D15" t="s">
        <v>7367</v>
      </c>
    </row>
    <row r="16" spans="1:4">
      <c r="A16" s="1" t="s">
        <v>325</v>
      </c>
      <c r="B16" s="1" t="s">
        <v>2927</v>
      </c>
      <c r="C16" s="1" t="s">
        <v>1140</v>
      </c>
      <c r="D16" t="s">
        <v>7367</v>
      </c>
    </row>
    <row r="17" spans="1:4" ht="16.5">
      <c r="A17" s="1" t="s">
        <v>4280</v>
      </c>
      <c r="B17" s="1" t="s">
        <v>2878</v>
      </c>
      <c r="C17" s="1" t="s">
        <v>179</v>
      </c>
      <c r="D17" t="s">
        <v>7367</v>
      </c>
    </row>
    <row r="18" spans="1:4" ht="16.5">
      <c r="A18" t="s">
        <v>7368</v>
      </c>
      <c r="B18" s="1" t="s">
        <v>2900</v>
      </c>
      <c r="C18" s="1" t="s">
        <v>1096</v>
      </c>
      <c r="D18" t="s">
        <v>7367</v>
      </c>
    </row>
    <row r="19" spans="1:4" ht="16.5">
      <c r="A19" t="s">
        <v>7369</v>
      </c>
      <c r="B19" s="1" t="s">
        <v>2924</v>
      </c>
      <c r="C19" s="1" t="s">
        <v>7360</v>
      </c>
      <c r="D19" t="s">
        <v>7367</v>
      </c>
    </row>
    <row r="20" spans="1:4" ht="16.5">
      <c r="A20" t="s">
        <v>7370</v>
      </c>
      <c r="B20" s="1" t="s">
        <v>2879</v>
      </c>
      <c r="C20" s="1" t="s">
        <v>1083</v>
      </c>
      <c r="D20" t="s">
        <v>7367</v>
      </c>
    </row>
    <row r="21" spans="1:4" ht="16.5">
      <c r="A21" t="s">
        <v>4284</v>
      </c>
      <c r="B21" s="1" t="s">
        <v>2910</v>
      </c>
      <c r="C21" s="1" t="s">
        <v>1145</v>
      </c>
      <c r="D21" t="s">
        <v>7367</v>
      </c>
    </row>
    <row r="22" spans="1:4" ht="16.5">
      <c r="A22" s="1" t="s">
        <v>4285</v>
      </c>
      <c r="B22" s="1" t="s">
        <v>2928</v>
      </c>
      <c r="C22" s="1" t="s">
        <v>1122</v>
      </c>
      <c r="D22" t="s">
        <v>7367</v>
      </c>
    </row>
    <row r="23" spans="1:4" ht="16.5">
      <c r="A23" s="1" t="s">
        <v>4286</v>
      </c>
      <c r="B23" s="1" t="s">
        <v>2848</v>
      </c>
      <c r="C23" s="1" t="s">
        <v>1090</v>
      </c>
      <c r="D23" t="s">
        <v>7367</v>
      </c>
    </row>
    <row r="24" spans="1:4" ht="16.5">
      <c r="A24" t="s">
        <v>7371</v>
      </c>
      <c r="B24" s="1" t="s">
        <v>2854</v>
      </c>
      <c r="C24" s="1" t="s">
        <v>1089</v>
      </c>
      <c r="D24" t="s">
        <v>7367</v>
      </c>
    </row>
    <row r="25" spans="1:4" ht="16.5">
      <c r="A25" t="s">
        <v>7372</v>
      </c>
      <c r="B25" s="1" t="s">
        <v>2890</v>
      </c>
      <c r="C25" s="1" t="s">
        <v>1143</v>
      </c>
      <c r="D25" t="s">
        <v>7367</v>
      </c>
    </row>
    <row r="26" spans="1:4" ht="16.5">
      <c r="A26" t="s">
        <v>7373</v>
      </c>
      <c r="B26" s="1" t="s">
        <v>2892</v>
      </c>
      <c r="C26" s="1" t="s">
        <v>1142</v>
      </c>
      <c r="D26" t="s">
        <v>7367</v>
      </c>
    </row>
    <row r="27" spans="1:4" ht="16.5">
      <c r="A27" t="s">
        <v>7374</v>
      </c>
      <c r="B27" s="1" t="s">
        <v>2852</v>
      </c>
      <c r="C27" s="1" t="s">
        <v>1136</v>
      </c>
      <c r="D27" t="s">
        <v>7367</v>
      </c>
    </row>
    <row r="28" spans="1:4" ht="16.5">
      <c r="A28" t="s">
        <v>7375</v>
      </c>
      <c r="B28" s="1" t="s">
        <v>2855</v>
      </c>
      <c r="C28" s="1" t="s">
        <v>1115</v>
      </c>
      <c r="D28" t="s">
        <v>7367</v>
      </c>
    </row>
    <row r="29" spans="1:4" ht="16.5">
      <c r="A29" t="s">
        <v>7376</v>
      </c>
      <c r="B29" s="1" t="s">
        <v>2850</v>
      </c>
      <c r="C29" s="1" t="s">
        <v>1121</v>
      </c>
      <c r="D29" t="s">
        <v>7367</v>
      </c>
    </row>
    <row r="30" spans="1:4" ht="16.5">
      <c r="A30" t="s">
        <v>7377</v>
      </c>
      <c r="B30" s="1" t="s">
        <v>2860</v>
      </c>
      <c r="C30" s="1" t="s">
        <v>1126</v>
      </c>
      <c r="D30" t="s">
        <v>7367</v>
      </c>
    </row>
    <row r="31" spans="1:4" ht="16.5">
      <c r="A31" t="s">
        <v>7378</v>
      </c>
      <c r="B31" s="1" t="s">
        <v>2905</v>
      </c>
      <c r="C31" s="1" t="s">
        <v>1132</v>
      </c>
      <c r="D31" t="s">
        <v>7367</v>
      </c>
    </row>
    <row r="32" spans="1:4" ht="16.5">
      <c r="A32" t="s">
        <v>7379</v>
      </c>
      <c r="B32" s="1" t="s">
        <v>2894</v>
      </c>
      <c r="C32" s="1" t="s">
        <v>1092</v>
      </c>
      <c r="D32" t="s">
        <v>7367</v>
      </c>
    </row>
    <row r="33" spans="1:4" ht="16.5">
      <c r="A33" t="s">
        <v>7380</v>
      </c>
      <c r="B33" s="1" t="s">
        <v>2881</v>
      </c>
      <c r="C33" s="1" t="s">
        <v>1084</v>
      </c>
      <c r="D33" t="s">
        <v>7367</v>
      </c>
    </row>
    <row r="34" spans="1:4" ht="16.5">
      <c r="A34" t="s">
        <v>7381</v>
      </c>
      <c r="B34" s="1" t="s">
        <v>2849</v>
      </c>
      <c r="C34" s="1" t="s">
        <v>1088</v>
      </c>
      <c r="D34" t="s">
        <v>7367</v>
      </c>
    </row>
    <row r="35" spans="1:4" ht="16.5">
      <c r="A35" t="s">
        <v>7382</v>
      </c>
      <c r="B35" s="1" t="s">
        <v>2882</v>
      </c>
      <c r="C35" s="1" t="s">
        <v>1086</v>
      </c>
      <c r="D35" t="s">
        <v>7367</v>
      </c>
    </row>
    <row r="36" spans="1:4" ht="16.5">
      <c r="A36" t="s">
        <v>7383</v>
      </c>
      <c r="B36" s="1" t="s">
        <v>2926</v>
      </c>
      <c r="C36" s="1" t="s">
        <v>1147</v>
      </c>
      <c r="D36" t="s">
        <v>7367</v>
      </c>
    </row>
    <row r="37" spans="1:4" ht="16.5">
      <c r="A37" s="1" t="s">
        <v>4295</v>
      </c>
      <c r="B37" s="1" t="s">
        <v>4088</v>
      </c>
      <c r="C37" s="1" t="s">
        <v>1071</v>
      </c>
      <c r="D37" t="s">
        <v>7367</v>
      </c>
    </row>
    <row r="38" spans="1:4" ht="16.5">
      <c r="A38" t="s">
        <v>7384</v>
      </c>
      <c r="B38" s="1" t="s">
        <v>2856</v>
      </c>
      <c r="C38" s="1" t="s">
        <v>1101</v>
      </c>
      <c r="D38" t="s">
        <v>7385</v>
      </c>
    </row>
    <row r="39" spans="1:4" ht="16.5">
      <c r="A39" t="s">
        <v>7386</v>
      </c>
      <c r="B39" s="1" t="s">
        <v>2906</v>
      </c>
      <c r="C39" s="1" t="s">
        <v>1110</v>
      </c>
      <c r="D39" t="s">
        <v>7385</v>
      </c>
    </row>
    <row r="40" spans="1:4" ht="16.5">
      <c r="A40" s="1" t="s">
        <v>4265</v>
      </c>
      <c r="B40" s="1" t="s">
        <v>2925</v>
      </c>
      <c r="C40" s="1" t="s">
        <v>1146</v>
      </c>
      <c r="D40" t="s">
        <v>7385</v>
      </c>
    </row>
    <row r="41" spans="1:4" ht="16.5">
      <c r="A41" t="s">
        <v>7387</v>
      </c>
      <c r="B41" s="1" t="s">
        <v>2907</v>
      </c>
      <c r="C41" s="1" t="s">
        <v>1112</v>
      </c>
      <c r="D41" t="s">
        <v>7385</v>
      </c>
    </row>
    <row r="42" spans="1:4" ht="16.5">
      <c r="A42" s="1" t="s">
        <v>4263</v>
      </c>
      <c r="B42" s="1" t="s">
        <v>2895</v>
      </c>
      <c r="C42" s="1" t="s">
        <v>1109</v>
      </c>
      <c r="D42" t="s">
        <v>7385</v>
      </c>
    </row>
    <row r="43" spans="1:4" ht="16.5">
      <c r="A43" t="s">
        <v>7388</v>
      </c>
      <c r="B43" s="1" t="s">
        <v>2877</v>
      </c>
      <c r="C43" s="1" t="s">
        <v>1124</v>
      </c>
      <c r="D43" t="s">
        <v>7385</v>
      </c>
    </row>
    <row r="44" spans="1:4" ht="16.5">
      <c r="A44" s="1" t="s">
        <v>107</v>
      </c>
      <c r="B44" s="1" t="s">
        <v>2904</v>
      </c>
      <c r="C44" s="1" t="s">
        <v>1108</v>
      </c>
      <c r="D44" t="s">
        <v>7385</v>
      </c>
    </row>
    <row r="45" spans="1:4" ht="16.5">
      <c r="A45" s="1" t="s">
        <v>4261</v>
      </c>
      <c r="B45" s="1" t="s">
        <v>2918</v>
      </c>
      <c r="C45" s="1" t="s">
        <v>1127</v>
      </c>
      <c r="D45" t="s">
        <v>7385</v>
      </c>
    </row>
    <row r="46" spans="1:4" ht="16.5">
      <c r="A46" t="s">
        <v>7389</v>
      </c>
      <c r="B46" s="1" t="s">
        <v>2902</v>
      </c>
      <c r="C46" s="1" t="s">
        <v>1118</v>
      </c>
      <c r="D46" t="s">
        <v>7385</v>
      </c>
    </row>
    <row r="47" spans="1:4" ht="16.5">
      <c r="A47" s="1" t="s">
        <v>4259</v>
      </c>
      <c r="B47" s="1" t="s">
        <v>2891</v>
      </c>
      <c r="C47" s="1" t="s">
        <v>1106</v>
      </c>
      <c r="D47" t="s">
        <v>7385</v>
      </c>
    </row>
    <row r="48" spans="1:4" ht="16.5">
      <c r="A48" s="1" t="s">
        <v>4258</v>
      </c>
      <c r="B48" s="1" t="s">
        <v>2913</v>
      </c>
      <c r="C48" s="1" t="s">
        <v>1107</v>
      </c>
      <c r="D48" t="s">
        <v>7385</v>
      </c>
    </row>
    <row r="49" spans="1:4" ht="16.5">
      <c r="A49" s="1" t="s">
        <v>4257</v>
      </c>
      <c r="B49" s="1" t="s">
        <v>2916</v>
      </c>
      <c r="C49" s="1" t="s">
        <v>1114</v>
      </c>
      <c r="D49" t="s">
        <v>7385</v>
      </c>
    </row>
    <row r="50" spans="1:4">
      <c r="A50" s="1" t="s">
        <v>3033</v>
      </c>
      <c r="B50" s="1" t="s">
        <v>19</v>
      </c>
      <c r="C50" s="1" t="s">
        <v>14</v>
      </c>
      <c r="D50" s="1" t="s">
        <v>7096</v>
      </c>
    </row>
    <row r="51" spans="1:4" ht="16.5">
      <c r="A51" s="1" t="s">
        <v>3034</v>
      </c>
      <c r="B51" s="1" t="s">
        <v>38</v>
      </c>
      <c r="C51" s="1" t="s">
        <v>39</v>
      </c>
      <c r="D51" s="1" t="s">
        <v>7096</v>
      </c>
    </row>
    <row r="52" spans="1:4" ht="16.5">
      <c r="A52" s="1" t="s">
        <v>2936</v>
      </c>
      <c r="B52" s="1" t="s">
        <v>32</v>
      </c>
      <c r="C52" s="1" t="s">
        <v>33</v>
      </c>
      <c r="D52" s="1" t="s">
        <v>7096</v>
      </c>
    </row>
    <row r="53" spans="1:4" ht="16.5">
      <c r="A53" s="1" t="s">
        <v>2935</v>
      </c>
      <c r="B53" s="1" t="s">
        <v>32</v>
      </c>
      <c r="C53" s="1" t="s">
        <v>33</v>
      </c>
      <c r="D53" s="1" t="s">
        <v>7096</v>
      </c>
    </row>
    <row r="54" spans="1:4">
      <c r="A54" s="1" t="s">
        <v>17</v>
      </c>
      <c r="B54" s="1" t="s">
        <v>20</v>
      </c>
      <c r="C54" s="1" t="s">
        <v>23</v>
      </c>
      <c r="D54" s="1" t="s">
        <v>7096</v>
      </c>
    </row>
    <row r="55" spans="1:4">
      <c r="A55" t="s">
        <v>155</v>
      </c>
      <c r="B55" s="1" t="s">
        <v>2842</v>
      </c>
      <c r="C55" s="1" t="s">
        <v>1079</v>
      </c>
      <c r="D55" t="s">
        <v>7390</v>
      </c>
    </row>
    <row r="56" spans="1:4" ht="16.5">
      <c r="A56" s="1" t="s">
        <v>7391</v>
      </c>
      <c r="B56" s="1" t="s">
        <v>2883</v>
      </c>
      <c r="C56" s="1" t="s">
        <v>1102</v>
      </c>
      <c r="D56" s="1" t="s">
        <v>7392</v>
      </c>
    </row>
    <row r="57" spans="1:4" ht="16.5">
      <c r="A57" s="1" t="s">
        <v>7393</v>
      </c>
      <c r="B57" s="1" t="s">
        <v>2859</v>
      </c>
      <c r="C57" s="1" t="s">
        <v>1085</v>
      </c>
      <c r="D57" s="1" t="s">
        <v>7394</v>
      </c>
    </row>
    <row r="58" spans="1:4">
      <c r="A58" t="s">
        <v>7395</v>
      </c>
      <c r="B58" s="1" t="s">
        <v>2880</v>
      </c>
      <c r="C58" s="1" t="s">
        <v>1087</v>
      </c>
      <c r="D58" s="1" t="s">
        <v>7394</v>
      </c>
    </row>
    <row r="59" spans="1:4" ht="16.5">
      <c r="A59" s="1" t="s">
        <v>7396</v>
      </c>
      <c r="B59" s="1" t="s">
        <v>2864</v>
      </c>
      <c r="C59" s="1" t="s">
        <v>1135</v>
      </c>
      <c r="D59" s="1" t="s">
        <v>7394</v>
      </c>
    </row>
    <row r="60" spans="1:4">
      <c r="A60" t="s">
        <v>7397</v>
      </c>
      <c r="B60" s="1" t="s">
        <v>2919</v>
      </c>
      <c r="C60" s="1" t="s">
        <v>1137</v>
      </c>
      <c r="D60" s="1" t="s">
        <v>7394</v>
      </c>
    </row>
    <row r="61" spans="1:4" ht="16.5">
      <c r="A61" t="s">
        <v>7398</v>
      </c>
      <c r="B61" s="1" t="s">
        <v>83</v>
      </c>
      <c r="C61" s="1" t="s">
        <v>82</v>
      </c>
      <c r="D61" s="1" t="s">
        <v>7394</v>
      </c>
    </row>
    <row r="62" spans="1:4">
      <c r="A62" s="1" t="s">
        <v>4241</v>
      </c>
      <c r="B62" s="1" t="s">
        <v>15</v>
      </c>
      <c r="C62" s="1" t="s">
        <v>104</v>
      </c>
      <c r="D62" s="1" t="s">
        <v>7399</v>
      </c>
    </row>
    <row r="63" spans="1:4" ht="14.7">
      <c r="A63" s="1" t="s">
        <v>4242</v>
      </c>
      <c r="B63" s="1" t="s">
        <v>2857</v>
      </c>
      <c r="C63" s="1" t="s">
        <v>113</v>
      </c>
      <c r="D63" s="1" t="s">
        <v>7399</v>
      </c>
    </row>
    <row r="64" spans="1:4" ht="16.5">
      <c r="A64" t="s">
        <v>7400</v>
      </c>
      <c r="B64" s="1" t="s">
        <v>2885</v>
      </c>
      <c r="C64" s="1" t="s">
        <v>1097</v>
      </c>
      <c r="D64" s="1" t="s">
        <v>7399</v>
      </c>
    </row>
    <row r="65" spans="1:4" ht="16.5">
      <c r="A65" s="1" t="s">
        <v>203</v>
      </c>
      <c r="B65" s="1" t="s">
        <v>2897</v>
      </c>
      <c r="C65" s="1" t="s">
        <v>1129</v>
      </c>
      <c r="D65" s="1" t="s">
        <v>7399</v>
      </c>
    </row>
    <row r="66" spans="1:4" ht="16.5">
      <c r="A66" s="1" t="s">
        <v>4244</v>
      </c>
      <c r="B66" s="1" t="s">
        <v>2893</v>
      </c>
      <c r="C66" s="1" t="s">
        <v>1138</v>
      </c>
      <c r="D66" s="1" t="s">
        <v>7399</v>
      </c>
    </row>
    <row r="67" spans="1:4" ht="16.5">
      <c r="A67" t="s">
        <v>7401</v>
      </c>
      <c r="B67" s="1" t="s">
        <v>2908</v>
      </c>
      <c r="C67" s="1" t="s">
        <v>1093</v>
      </c>
      <c r="D67" t="s">
        <v>7402</v>
      </c>
    </row>
    <row r="68" spans="1:4" ht="16.5">
      <c r="A68" t="s">
        <v>7403</v>
      </c>
      <c r="B68" s="1" t="s">
        <v>2912</v>
      </c>
      <c r="C68" s="1" t="s">
        <v>1130</v>
      </c>
      <c r="D68" t="s">
        <v>7402</v>
      </c>
    </row>
    <row r="69" spans="1:4" ht="16.5">
      <c r="A69" s="1" t="s">
        <v>4235</v>
      </c>
      <c r="B69" s="1" t="s">
        <v>2914</v>
      </c>
      <c r="C69" s="1" t="s">
        <v>1094</v>
      </c>
      <c r="D69" t="s">
        <v>7402</v>
      </c>
    </row>
    <row r="70" spans="1:4" ht="16.5">
      <c r="A70" t="s">
        <v>7404</v>
      </c>
      <c r="B70" s="1" t="s">
        <v>2923</v>
      </c>
      <c r="C70" s="1" t="s">
        <v>1144</v>
      </c>
      <c r="D70" t="s">
        <v>7402</v>
      </c>
    </row>
    <row r="71" spans="1:4" ht="16.5">
      <c r="A71" s="1" t="s">
        <v>4237</v>
      </c>
      <c r="B71" s="1" t="s">
        <v>2909</v>
      </c>
      <c r="C71" s="1" t="s">
        <v>1131</v>
      </c>
      <c r="D71" t="s">
        <v>7402</v>
      </c>
    </row>
    <row r="72" spans="1:4">
      <c r="A72" t="s">
        <v>7405</v>
      </c>
      <c r="B72" s="1" t="s">
        <v>24</v>
      </c>
      <c r="C72" s="1" t="s">
        <v>301</v>
      </c>
      <c r="D72" t="s">
        <v>7402</v>
      </c>
    </row>
    <row r="73" spans="1:4">
      <c r="A73" s="1" t="s">
        <v>4238</v>
      </c>
      <c r="B73" s="1" t="s">
        <v>2845</v>
      </c>
      <c r="C73" s="1" t="s">
        <v>1133</v>
      </c>
      <c r="D73" t="s">
        <v>7402</v>
      </c>
    </row>
    <row r="74" spans="1:4">
      <c r="A74" t="s">
        <v>7406</v>
      </c>
      <c r="B74" s="1" t="s">
        <v>2920</v>
      </c>
      <c r="C74" s="1" t="s">
        <v>1128</v>
      </c>
      <c r="D74" t="s">
        <v>7402</v>
      </c>
    </row>
    <row r="75" spans="1:4" ht="16.5">
      <c r="A75" s="1" t="s">
        <v>31</v>
      </c>
      <c r="B75" s="1" t="s">
        <v>2851</v>
      </c>
      <c r="C75" s="1" t="s">
        <v>1098</v>
      </c>
      <c r="D75" s="1" t="s">
        <v>7407</v>
      </c>
    </row>
    <row r="76" spans="1:4" ht="16.5">
      <c r="A76" s="1" t="s">
        <v>7408</v>
      </c>
      <c r="B76" s="1" t="s">
        <v>2847</v>
      </c>
      <c r="C76" s="1" t="s">
        <v>1076</v>
      </c>
      <c r="D76" s="1" t="s">
        <v>7409</v>
      </c>
    </row>
    <row r="77" spans="1:4" ht="16.5">
      <c r="A77" t="s">
        <v>7410</v>
      </c>
      <c r="B77" s="1" t="s">
        <v>2876</v>
      </c>
      <c r="C77" s="1" t="s">
        <v>1139</v>
      </c>
      <c r="D77" t="s">
        <v>7411</v>
      </c>
    </row>
    <row r="78" spans="1:4" ht="16.5">
      <c r="A78" s="1" t="s">
        <v>4229</v>
      </c>
      <c r="B78" s="1" t="s">
        <v>2844</v>
      </c>
      <c r="C78" s="1" t="s">
        <v>1111</v>
      </c>
      <c r="D78" t="s">
        <v>7411</v>
      </c>
    </row>
    <row r="79" spans="1:4" ht="16.5">
      <c r="A79" s="1" t="s">
        <v>4230</v>
      </c>
      <c r="B79" s="1" t="s">
        <v>2915</v>
      </c>
      <c r="C79" s="1" t="s">
        <v>1104</v>
      </c>
      <c r="D79" t="s">
        <v>7411</v>
      </c>
    </row>
    <row r="80" spans="1:4">
      <c r="A80" s="1" t="s">
        <v>4231</v>
      </c>
      <c r="B80" s="1" t="s">
        <v>2898</v>
      </c>
      <c r="C80" s="1" t="s">
        <v>1125</v>
      </c>
      <c r="D80" t="s">
        <v>7411</v>
      </c>
    </row>
    <row r="81" spans="1:4">
      <c r="A81" s="1" t="s">
        <v>4232</v>
      </c>
      <c r="B81" s="1" t="s">
        <v>2917</v>
      </c>
      <c r="C81" s="1" t="s">
        <v>1105</v>
      </c>
      <c r="D81" t="s">
        <v>7411</v>
      </c>
    </row>
    <row r="82" spans="1:4">
      <c r="A82" s="1" t="s">
        <v>72</v>
      </c>
      <c r="B82" s="1" t="s">
        <v>2869</v>
      </c>
      <c r="C82" s="1" t="s">
        <v>1080</v>
      </c>
      <c r="D82" t="s">
        <v>7411</v>
      </c>
    </row>
    <row r="83" spans="1:4">
      <c r="A83" s="1" t="s">
        <v>4228</v>
      </c>
      <c r="B83" s="1" t="s">
        <v>2901</v>
      </c>
      <c r="C83" s="1" t="s">
        <v>1119</v>
      </c>
      <c r="D83" s="1" t="s">
        <v>7412</v>
      </c>
    </row>
    <row r="84" spans="1:4" ht="16.5">
      <c r="A84" s="1" t="s">
        <v>4227</v>
      </c>
      <c r="B84" s="1" t="s">
        <v>2896</v>
      </c>
      <c r="C84" s="1" t="s">
        <v>1100</v>
      </c>
      <c r="D84" s="1" t="s">
        <v>7412</v>
      </c>
    </row>
    <row r="85" spans="1:4">
      <c r="A85" s="1" t="s">
        <v>122</v>
      </c>
      <c r="B85" s="4" t="s">
        <v>123</v>
      </c>
      <c r="C85" s="1" t="s">
        <v>247</v>
      </c>
      <c r="D85" t="s">
        <v>627</v>
      </c>
    </row>
    <row r="86" spans="1:4">
      <c r="A86" s="1" t="s">
        <v>1057</v>
      </c>
      <c r="B86" s="1" t="s">
        <v>21</v>
      </c>
      <c r="C86" s="1" t="s">
        <v>22</v>
      </c>
      <c r="D86" s="1" t="s">
        <v>626</v>
      </c>
    </row>
    <row r="87" spans="1:4">
      <c r="A87" t="s">
        <v>7413</v>
      </c>
      <c r="B87" s="1" t="s">
        <v>2865</v>
      </c>
      <c r="C87" s="1" t="s">
        <v>1081</v>
      </c>
      <c r="D87" t="s">
        <v>7414</v>
      </c>
    </row>
    <row r="88" spans="1:4" ht="16.5">
      <c r="A88" s="1" t="s">
        <v>121</v>
      </c>
      <c r="B88" s="1" t="s">
        <v>2841</v>
      </c>
      <c r="C88" s="1" t="s">
        <v>1077</v>
      </c>
      <c r="D88" t="s">
        <v>7414</v>
      </c>
    </row>
    <row r="89" spans="1:4" ht="16.5">
      <c r="A89" s="1" t="s">
        <v>542</v>
      </c>
      <c r="B89" s="1" t="s">
        <v>2889</v>
      </c>
      <c r="C89" s="1" t="s">
        <v>1134</v>
      </c>
      <c r="D89" t="s">
        <v>7414</v>
      </c>
    </row>
    <row r="90" spans="1:4" ht="16.5">
      <c r="A90" s="1" t="s">
        <v>4222</v>
      </c>
      <c r="B90" s="1" t="s">
        <v>2888</v>
      </c>
      <c r="C90" s="1" t="s">
        <v>1117</v>
      </c>
      <c r="D90" s="1" t="s">
        <v>7415</v>
      </c>
    </row>
    <row r="91" spans="1:4">
      <c r="A91" t="s">
        <v>7416</v>
      </c>
      <c r="B91" s="1" t="s">
        <v>2846</v>
      </c>
      <c r="C91" s="1" t="s">
        <v>1116</v>
      </c>
      <c r="D91" s="1" t="s">
        <v>7415</v>
      </c>
    </row>
    <row r="92" spans="1:4">
      <c r="A92" t="s">
        <v>7417</v>
      </c>
      <c r="B92" s="1" t="s">
        <v>2886</v>
      </c>
      <c r="C92" s="1" t="s">
        <v>1099</v>
      </c>
      <c r="D92" t="s">
        <v>7418</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jZGU1M2FjMS1iZjVmLTRhYWUtOWNmMS0wNzUwOWUyM2E0YjAiIG9yaWdpbj0iZGVmYXVsdFZhbHVlIj48ZWxlbWVudCB1aWQ9ImJiYTk0YzY1LWFjM2QtNGYzNC1iMmUxLThkZTExZWY2ZjAxYyIgdmFsdWU9IiIgeG1sbnM9Imh0dHA6Ly93d3cuYm9sZG9uamFtZXMuY29tLzIwMDgvMDEvc2llL2ludGVybmFsL2xhYmVsIiAvPjwvc2lzbD48VXNlck5hbWU+VVNcU1QwOTk5MjwvVXNlck5hbWU+PERhdGVUaW1lPjEyLzE2LzIwMjEgOTo1OToxOCBQTTwvRGF0ZVRpbWU+PExhYmVsU3RyaW5nPk9yaWdpbiBKdXJpc2RpY3Rpb246IFVTIDwvTGFiZWxTdHJpbmc+PC9pdGVtPjwvbGFiZWxIaXN0b3J5Pg==</Value>
</WrappedLabelHistory>
</file>

<file path=customXml/item2.xml><?xml version="1.0" encoding="utf-8"?>
<sisl xmlns:xsi="http://www.w3.org/2001/XMLSchema-instance" xmlns:xsd="http://www.w3.org/2001/XMLSchema" xmlns="http://www.boldonjames.com/2008/01/sie/internal/label" sislVersion="0" policy="cde53ac1-bf5f-4aae-9cf1-07509e23a4b0" origin="defaultValue">
  <element uid="bba94c65-ac3d-4f34-b2e1-8de11ef6f01c" value=""/>
</sisl>
</file>

<file path=customXml/itemProps1.xml><?xml version="1.0" encoding="utf-8"?>
<ds:datastoreItem xmlns:ds="http://schemas.openxmlformats.org/officeDocument/2006/customXml" ds:itemID="{4B6AD33A-0B0C-429C-AE7E-BBCBF0B17770}">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6E0FFB8F-1CFE-4FB7-8312-B45AFD837DAE}">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Generate</vt:lpstr>
      <vt:lpstr>Angle</vt:lpstr>
      <vt:lpstr>Computer</vt:lpstr>
      <vt:lpstr>Count</vt:lpstr>
      <vt:lpstr>Density</vt:lpstr>
      <vt:lpstr>EM</vt:lpstr>
      <vt:lpstr>Energy</vt:lpstr>
      <vt:lpstr>Factors</vt:lpstr>
      <vt:lpstr>Frequency</vt:lpstr>
      <vt:lpstr>Flow</vt:lpstr>
      <vt:lpstr>Force</vt:lpstr>
      <vt:lpstr>Luminosity</vt:lpstr>
      <vt:lpstr>Molarity</vt:lpstr>
      <vt:lpstr>Power</vt:lpstr>
      <vt:lpstr>Pressure</vt:lpstr>
      <vt:lpstr>Radiation</vt:lpstr>
      <vt:lpstr>SpecificDensity</vt:lpstr>
      <vt:lpstr>Temperature</vt:lpstr>
      <vt:lpstr>Time</vt:lpstr>
      <vt:lpstr>VelAccJrk</vt:lpstr>
      <vt:lpstr>Viscosity</vt:lpstr>
      <vt:lpstr>Wavenumber</vt:lpstr>
      <vt:lpstr>Systems</vt:lpstr>
      <vt:lpstr>Derived Units</vt:lpstr>
      <vt:lpstr>Physical Constants</vt:lpstr>
      <vt:lpstr>Physical Definitions</vt:lpstr>
      <vt:lpstr>Physical Measurements</vt:lpstr>
      <vt:lpstr>SI</vt:lpstr>
      <vt:lpstr>WGS84 Model</vt:lpstr>
      <vt:lpstr>Binary</vt:lpstr>
      <vt:lpstr>Prefixes</vt:lpstr>
      <vt:lpstr>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||rtnexportcontrolcountry:usa||</dc:subject>
  <dc:creator>Mark Pumar</dc:creator>
  <cp:lastModifiedBy>map525y@gmail.com</cp:lastModifiedBy>
  <cp:lastPrinted>2022-05-13T21:57:35Z</cp:lastPrinted>
  <dcterms:created xsi:type="dcterms:W3CDTF">2021-12-16T21:18:48Z</dcterms:created>
  <dcterms:modified xsi:type="dcterms:W3CDTF">2024-02-04T19:02:10Z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cbdccbd4-ec8d-448e-a2ec-1c1588493250</vt:lpwstr>
  </property>
  <property fmtid="{D5CDD505-2E9C-101B-9397-08002B2CF9AE}" pid="3" name="bjDocumentLabelXML">
    <vt:lpwstr>&lt;?xml version="1.0" encoding="us-ascii"?&gt;&lt;sisl xmlns:xsi="http://www.w3.org/2001/XMLSchema-instance" xmlns:xsd="http://www.w3.org/2001/XMLSchema" sislVersion="0" policy="cde53ac1-bf5f-4aae-9cf1-07509e23a4b0" origin="defaultValue" xmlns="http://www.boldonj</vt:lpwstr>
  </property>
  <property fmtid="{D5CDD505-2E9C-101B-9397-08002B2CF9AE}" pid="4" name="bjDocumentLabelXML-0">
    <vt:lpwstr>ames.com/2008/01/sie/internal/label"&gt;&lt;element uid="bba94c65-ac3d-4f34-b2e1-8de11ef6f01c" value="" /&gt;&lt;/sisl&gt;</vt:lpwstr>
  </property>
  <property fmtid="{D5CDD505-2E9C-101B-9397-08002B2CF9AE}" pid="5" name="bjDocumentSecurityLabel">
    <vt:lpwstr>Origin Jurisdiction: US </vt:lpwstr>
  </property>
  <property fmtid="{D5CDD505-2E9C-101B-9397-08002B2CF9AE}" pid="6" name="rtxCustomDocumentProperties">
    <vt:lpwstr>rtnexportcontrolcountry:usa|</vt:lpwstr>
  </property>
  <property fmtid="{D5CDD505-2E9C-101B-9397-08002B2CF9AE}" pid="7" name="bjSaver">
    <vt:lpwstr>GGWqFHNRJZQkvyj7KgxN0iYLuLCLBU8f</vt:lpwstr>
  </property>
  <property fmtid="{D5CDD505-2E9C-101B-9397-08002B2CF9AE}" pid="8" name="bjClsUserRVM">
    <vt:lpwstr>[]</vt:lpwstr>
  </property>
  <property fmtid="{D5CDD505-2E9C-101B-9397-08002B2CF9AE}" pid="9" name="bjLabelHistoryID">
    <vt:lpwstr>{4B6AD33A-0B0C-429C-AE7E-BBCBF0B17770}</vt:lpwstr>
  </property>
</Properties>
</file>